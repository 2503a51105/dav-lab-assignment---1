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ask 1 - Exploration" sheetId="2" state="visible" r:id="rId2"/>
    <sheet xmlns:r="http://schemas.openxmlformats.org/officeDocument/2006/relationships" name="Task 2 - Quality Audi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Data Quality Summary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PivotTables" sheetId="8" state="visible" r:id="rId8"/>
  </sheets>
  <definedNames>
    <definedName name="_xlnm._FilterDatabase" localSheetId="0" hidden="1">'Data'!$A$1:$Z$1001</definedName>
  </definedNames>
  <calcPr calcId="124519" fullCalcOnLoad="1" refMode="A1" iterate="0" iterateCount="100" iterateDelta="0.0001"/>
  <pivotCaches>
    <pivotCache xmlns:r="http://schemas.openxmlformats.org/officeDocument/2006/relationships" cacheId="1" r:id="rId9"/>
  </pivotCaches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\ hh:mm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color rgb="FFFFFFFF"/>
      <sz val="2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5"/>
    </font>
    <font>
      <name val="Cambria"/>
      <charset val="1"/>
      <family val="0"/>
      <color rgb="FF0563C1"/>
      <sz val="11"/>
      <u val="single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b val="1"/>
      <sz val="13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D9EA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AF2F8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0" fillId="0" borderId="2" applyAlignment="1" pivotButton="0" quotePrefix="0" xfId="20">
      <alignment horizontal="general" vertical="bottom"/>
    </xf>
    <xf numFmtId="0" fontId="0" fillId="0" borderId="3" applyAlignment="1" pivotButton="0" quotePrefix="0" xfId="23">
      <alignment horizontal="left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2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0" fillId="0" borderId="2" applyAlignment="1" pivotButton="0" quotePrefix="0" xfId="20">
      <alignment horizontal="general" vertical="bottom"/>
    </xf>
    <xf numFmtId="0" fontId="0" fillId="0" borderId="3" applyAlignment="1" pivotButton="0" quotePrefix="0" xfId="23">
      <alignment horizontal="left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5">
      <alignment horizontal="general" vertical="bottom"/>
    </xf>
    <xf numFmtId="0" fontId="4" fillId="0" borderId="0" pivotButton="0" quotePrefix="0" xfId="0"/>
    <xf numFmtId="0" fontId="1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orner" xfId="6"/>
    <cellStyle name="Pivot Table Value" xfId="7"/>
    <cellStyle name="Pivot Table Field" xfId="8"/>
    <cellStyle name="Pivot Table Category" xfId="9"/>
    <cellStyle name="Pivot Table Title" xfId="10"/>
    <cellStyle name="Pivot Table Result" xfId="11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'Task 1 - Exploration'!B13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'Task 1 - Exploration'!$A$14:$A$22</f>
              <strCache>
                <ptCount val="9"/>
                <pt idx="0">
                  <v>Mi</v>
                </pt>
                <pt idx="1">
                  <v>mb</v>
                </pt>
                <pt idx="2">
                  <v>md</v>
                </pt>
                <pt idx="3">
                  <v>ml</v>
                </pt>
                <pt idx="4">
                  <v>ms</v>
                </pt>
                <pt idx="5">
                  <v>mw</v>
                </pt>
                <pt idx="6">
                  <v>mwb</v>
                </pt>
                <pt idx="7">
                  <v>mwc</v>
                </pt>
                <pt idx="8">
                  <v>mww</v>
                </pt>
              </strCache>
            </strRef>
          </cat>
          <val>
            <numRef>
              <f>'Task 1 - Exploration'!$B$14:$B$22</f>
              <numCache>
                <formatCode>General</formatCode>
                <ptCount val="9"/>
                <pt idx="0">
                  <v>5</v>
                </pt>
                <pt idx="1">
                  <v>4</v>
                </pt>
                <pt idx="2">
                  <v>2</v>
                </pt>
                <pt idx="3">
                  <v>1</v>
                </pt>
                <pt idx="4">
                  <v>3</v>
                </pt>
                <pt idx="5">
                  <v>51</v>
                </pt>
                <pt idx="6">
                  <v>100</v>
                </pt>
                <pt idx="7">
                  <v>332</v>
                </pt>
                <pt idx="8">
                  <v>502</v>
                </pt>
              </numCache>
            </numRef>
          </val>
        </ser>
        <gapWidth val="150"/>
        <overlap val="0"/>
        <axId val="21220148"/>
        <axId val="55464953"/>
      </barChart>
      <catAx>
        <axId val="2122014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 Type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5464953"/>
        <crosses val="autoZero"/>
        <auto val="1"/>
        <lblAlgn val="ctr"/>
        <lblOffset val="100"/>
        <noMultiLvlLbl val="0"/>
      </catAx>
      <valAx>
        <axId val="5546495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122014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Earthquake Events by Magnitude Band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'Task 1 - Exploration'!B34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'Task 1 - Exploration'!$A$35:$A$38</f>
              <strCache>
                <ptCount val="4"/>
                <pt idx="0">
                  <v>6.5–6.9</v>
                </pt>
                <pt idx="1">
                  <v>7.0–7.4</v>
                </pt>
                <pt idx="2">
                  <v>7.5–7.9</v>
                </pt>
                <pt idx="3">
                  <v>8.0+</v>
                </pt>
              </strCache>
            </strRef>
          </cat>
          <val>
            <numRef>
              <f>'Task 1 - Exploration'!$B$35:$B$38</f>
              <numCache>
                <formatCode>General</formatCode>
                <ptCount val="4"/>
                <pt idx="0">
                  <v>627</v>
                </pt>
                <pt idx="1">
                  <v>229</v>
                </pt>
                <pt idx="2">
                  <v>112</v>
                </pt>
                <pt idx="3">
                  <v>32</v>
                </pt>
              </numCache>
            </numRef>
          </val>
        </ser>
        <gapWidth val="150"/>
        <overlap val="0"/>
        <axId val="89767366"/>
        <axId val="39701883"/>
      </barChart>
      <catAx>
        <axId val="8976736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 Band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9701883"/>
        <crosses val="autoZero"/>
        <auto val="1"/>
        <lblAlgn val="ctr"/>
        <lblOffset val="100"/>
        <noMultiLvlLbl val="0"/>
      </catAx>
      <valAx>
        <axId val="3970188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97673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Alert Level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PivotTables!B5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PivotTables!$A$6:$A$10</f>
              <strCache>
                <ptCount val="5"/>
                <pt idx="0">
                  <v>Blank</v>
                </pt>
                <pt idx="1">
                  <v>green</v>
                </pt>
                <pt idx="2">
                  <v>yellow</v>
                </pt>
                <pt idx="3">
                  <v>orange</v>
                </pt>
                <pt idx="4">
                  <v>red</v>
                </pt>
              </strCache>
            </strRef>
          </cat>
          <val>
            <numRef>
              <f>PivotTables!$B$6:$B$10</f>
              <numCache>
                <formatCode>General</formatCode>
                <ptCount val="5"/>
                <pt idx="0">
                  <v>551</v>
                </pt>
                <pt idx="1">
                  <v>353</v>
                </pt>
                <pt idx="2">
                  <v>59</v>
                </pt>
                <pt idx="3">
                  <v>24</v>
                </pt>
                <pt idx="4">
                  <v>13</v>
                </pt>
              </numCache>
            </numRef>
          </val>
        </ser>
        <gapWidth val="150"/>
        <overlap val="0"/>
        <axId val="8365814"/>
        <axId val="54878253"/>
      </barChart>
      <catAx>
        <axId val="836581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Alert Level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4878253"/>
        <crosses val="autoZero"/>
        <auto val="1"/>
        <lblAlgn val="ctr"/>
        <lblOffset val="100"/>
        <noMultiLvlLbl val="0"/>
      </catAx>
      <valAx>
        <axId val="5487825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36581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PivotTables!E5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PivotTables!$D$6:$D$14</f>
              <strCache>
                <ptCount val="9"/>
                <pt idx="0">
                  <v>Mi</v>
                </pt>
                <pt idx="1">
                  <v>mb</v>
                </pt>
                <pt idx="2">
                  <v>md</v>
                </pt>
                <pt idx="3">
                  <v>ml</v>
                </pt>
                <pt idx="4">
                  <v>ms</v>
                </pt>
                <pt idx="5">
                  <v>mw</v>
                </pt>
                <pt idx="6">
                  <v>mwb</v>
                </pt>
                <pt idx="7">
                  <v>mwc</v>
                </pt>
                <pt idx="8">
                  <v>Duplicate Status</v>
                </pt>
              </strCache>
            </strRef>
          </cat>
          <val>
            <numRef>
              <f>PivotTables!$E$6:$E$14</f>
              <numCache>
                <formatCode>General</formatCode>
                <ptCount val="9"/>
                <pt idx="0">
                  <v>5</v>
                </pt>
                <pt idx="1">
                  <v>4</v>
                </pt>
                <pt idx="2">
                  <v>2</v>
                </pt>
                <pt idx="3">
                  <v>1</v>
                </pt>
                <pt idx="4">
                  <v>3</v>
                </pt>
                <pt idx="5">
                  <v>51</v>
                </pt>
                <pt idx="6">
                  <v>100</v>
                </pt>
                <pt idx="7">
                  <v>332</v>
                </pt>
                <pt idx="8">
                  <v>0</v>
                </pt>
              </numCache>
            </numRef>
          </val>
        </ser>
        <gapWidth val="150"/>
        <overlap val="0"/>
        <axId val="24253431"/>
        <axId val="88652232"/>
      </barChart>
      <catAx>
        <axId val="2425343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magType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8652232"/>
        <crosses val="autoZero"/>
        <auto val="1"/>
        <lblAlgn val="ctr"/>
        <lblOffset val="100"/>
        <noMultiLvlLbl val="0"/>
      </catAx>
      <valAx>
        <axId val="8865223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425343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Significant Earthquakes by Year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PivotTables!B22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PivotTables!$A$23:$A$51</f>
              <strCache>
                <ptCount val="29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Filter</v>
                </pt>
                <pt idx="8">
                  <v>None</v>
                </pt>
                <pt idx="9">
                  <v>alert</v>
                </pt>
                <pt idx="10">
                  <v>green</v>
                </pt>
                <pt idx="11">
                  <v>orange</v>
                </pt>
                <pt idx="12">
                  <v>red</v>
                </pt>
                <pt idx="13">
                  <v>yellow</v>
                </pt>
                <pt idx="14">
                  <v>(empty)</v>
                </pt>
                <pt idx="15">
                  <v>Total Result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</strCache>
            </strRef>
          </cat>
          <val>
            <numRef>
              <f>PivotTables!$B$23:$B$51</f>
              <numCache>
                <formatCode>General</formatCode>
                <ptCount val="29"/>
                <pt idx="0">
                  <v>29</v>
                </pt>
                <pt idx="1">
                  <v>35</v>
                </pt>
                <pt idx="2">
                  <v>28</v>
                </pt>
                <pt idx="3">
                  <v>23</v>
                </pt>
                <pt idx="4">
                  <v>33</v>
                </pt>
                <pt idx="5">
                  <v>35</v>
                </pt>
                <pt idx="6">
                  <v>28</v>
                </pt>
                <pt idx="10">
                  <v>353</v>
                </pt>
                <pt idx="11">
                  <v>24</v>
                </pt>
                <pt idx="12">
                  <v>13</v>
                </pt>
                <pt idx="13">
                  <v>59</v>
                </pt>
                <pt idx="14">
                  <v>551</v>
                </pt>
                <pt idx="15">
                  <v>1000</v>
                </pt>
                <pt idx="16">
                  <v>34</v>
                </pt>
                <pt idx="17">
                  <v>31</v>
                </pt>
                <pt idx="18">
                  <v>53</v>
                </pt>
                <pt idx="19">
                  <v>48</v>
                </pt>
                <pt idx="20">
                  <v>53</v>
                </pt>
                <pt idx="21">
                  <v>43</v>
                </pt>
                <pt idx="22">
                  <v>36</v>
                </pt>
                <pt idx="23">
                  <v>43</v>
                </pt>
                <pt idx="24">
                  <v>33</v>
                </pt>
                <pt idx="25">
                  <v>27</v>
                </pt>
                <pt idx="26">
                  <v>42</v>
                </pt>
                <pt idx="27">
                  <v>41</v>
                </pt>
                <pt idx="28">
                  <v>34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1952415"/>
        <axId val="10008706"/>
      </lineChart>
      <catAx>
        <axId val="5195241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0008706"/>
        <crosses val="autoZero"/>
        <auto val="1"/>
        <lblAlgn val="ctr"/>
        <lblOffset val="100"/>
        <noMultiLvlLbl val="0"/>
      </catAx>
      <valAx>
        <axId val="1000870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Events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19524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 Records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'Graphs'!B4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'Graphs'!$A$5:$A$4</f>
            </numRef>
          </cat>
          <val>
            <numRef>
              <f>'Graphs'!$C$4:$B$4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 Records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'Graphs'!$A$5:$A$4</f>
            </numRef>
          </cat>
          <val>
            <numRef>
              <f>'Graphs'!$C$4:$B$4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Earthquake Magnitudes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'Graphs'!B38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'Graphs'!$A$39:$A$44</f>
            </numRef>
          </cat>
          <val>
            <numRef>
              <f>'Graphs'!$B$39:$B$44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Magnitude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 Magnitude vs Depth</a:t>
            </a:r>
          </a:p>
        </rich>
      </tx>
    </title>
    <plotArea>
      <scatterChart>
        <ser>
          <idx val="0"/>
          <order val="0"/>
          <tx>
            <v>Earthquakes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'Graphs'!$A$62:$A$1061</f>
            </numRef>
          </xVal>
          <yVal>
            <numRef>
              <f>'Graphs'!$B$62:$B$1061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Magnitude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 Records by Decade</a:t>
            </a:r>
          </a:p>
        </rich>
      </tx>
    </title>
    <plotArea>
      <pieChart>
        <varyColors val="1"/>
        <ser>
          <idx val="0"/>
          <order val="0"/>
          <tx>
            <strRef>
              <f>'Graphs'!E5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'Graphs'!$D$6:$D$5</f>
            </numRef>
          </cat>
          <val>
            <numRef>
              <f>'Graphs'!$F$5:$E$5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</row>
      <rowOff>130680</rowOff>
    </from>
    <to>
      <col>6</col>
      <colOff>873000</colOff>
      <row>16</row>
      <rowOff>137880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0</colOff>
      <row>18</row>
      <rowOff>116280</rowOff>
    </from>
    <to>
      <col>6</col>
      <colOff>873000</colOff>
      <row>33</row>
      <rowOff>123480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8</row>
      <rowOff>171000</rowOff>
    </from>
    <to>
      <col>4</col>
      <colOff>168120</colOff>
      <row>24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8</row>
      <rowOff>171000</rowOff>
    </from>
    <to>
      <col>13</col>
      <colOff>168120</colOff>
      <row>24</row>
      <rowOff>2160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25</row>
      <rowOff>171000</rowOff>
    </from>
    <to>
      <col>4</col>
      <colOff>168120</colOff>
      <row>41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53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69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1000" r:id="rId1">
  <cacheSource type="worksheet">
    <worksheetSource ref="A1:Z1001" sheet="Data"/>
  </cacheSource>
  <cacheFields count="26">
    <cacheField name="title" uniqueList="1" numFmtId="0" sqlType="0" hierarchy="0" level="0" databaseField="1">
      <sharedItems count="984">
        <s v="M 6.5 - 10 km NE of San Simeon, California"/>
        <s v="M 6.5 - 10 km SW of Juradó, Colombia"/>
        <s v="M 6.5 - 105 km ESE of Kokopo, Papua New Guinea"/>
        <s v="M 6.5 - 106 km SW of Padang, Indonesia"/>
        <s v="M 6.5 - 107 km NE of Calama, Chile"/>
        <s v="M 6.5 - 107 km SSW of Tarauacá, Brazil"/>
        <s v="M 6.5 - 107 km WSW of Vernon, Canada"/>
        <s v="M 6.5 - 108 km NW of Kimbe, Papua New Guinea"/>
        <s v="M 6.5 - 108 km WNW of Manokwari, Indonesia"/>
        <s v="M 6.5 - 108 km WSW of Adak, Alaska"/>
        <s v="M 6.5 - 109 km NW of Nago, Japan"/>
        <s v="M 6.5 - 11 km N of Mabua, Philippines"/>
        <s v="M 6.5 - 110 km SE of Punta de Burica, Panama"/>
        <s v="M 6.5 - 111 km E of Kimbe, Papua New Guinea"/>
        <s v="M 6.5 - 114 km SSE of San Jose Village, Northern Mariana Islands"/>
        <s v="M 6.5 - 117 km WNW of Manokwari, Indonesia"/>
        <s v="M 6.5 - 118 km ESE of Kokopo, Papua New Guinea"/>
        <s v="M 6.5 - 118 km ESE of Madang, Papua New Guinea"/>
        <s v="M 6.5 - 11km S of Kairatu, Indonesia"/>
        <s v="M 6.5 - 12 km ENE of Selfoss, Iceland"/>
        <s v="M 6.5 - 12 km SSW of Kawalu, Indonesia"/>
        <s v="M 6.5 - 123 km WNW of Tobelo, Indonesia"/>
        <s v="M 6.5 - 124 km N of Labuan Bajo, Indonesia"/>
        <s v="M 6.5 - 128 km NE of Bathsheba, Barbados"/>
        <s v="M 6.5 - 13 km NNE of San Sebastián, El Salvador"/>
        <s v="M 6.5 - 130 km NNW of Lautoka, Fiji"/>
        <s v="M 6.5 - 130 km SSW of Abepura, Indonesia"/>
        <s v="M 6.5 - 131 km W of Iwanai, Japan"/>
        <s v="M 6.5 - 132 km WSW of Moijabana, Botswana"/>
        <s v="M 6.5 - 139 km ESE of Namie, Japan"/>
        <s v="M 6.5 - 14 km SE of Punta de Burica, Panama"/>
        <s v="M 6.5 - 14 km WNW of Reuleuet, Indonesia"/>
        <s v="M 6.5 - 15 km W of Nkove, Tanzania"/>
        <s v="M 6.5 - 152 km NNE of Bamboo Flat, India"/>
        <s v="M 6.5 - 154 km S of Severo-Kuril’sk, Russia"/>
        <s v="M 6.5 - 166 km WSW of Sungai Penuh, Indonesia"/>
        <s v="M 6.5 - 166km SSW of Ndoi Island, Fiji"/>
        <s v="M 6.5 - 168 km SW of Mawu, China"/>
        <s v="M 6.5 - 171 km E of Tadine, New Caledonia"/>
        <s v="M 6.5 - 171 km NNE of Greenland, Barbados"/>
        <s v="M 6.5 - 177 km SE of Gizo, Solomon Islands"/>
        <s v="M 6.5 - 18 km E of Talisay, Philippines"/>
        <s v="M 6.5 - 18 km W of Parrita, Costa Rica"/>
        <s v="M 6.5 - 180 km NE of Lospalos, Timor Leste"/>
        <s v="M 6.5 - 181 km SSW of Alo, Wallis and Futuna"/>
        <s v="M 6.5 - 19 km SSW of Lefkáda, Greece"/>
        <s v="M 6.5 - 2 km S of Lim-oo, Philippines"/>
        <s v="M 6.5 - 207 km WSW of Haveluloto, Tonga"/>
        <s v="M 6.5 - 217 km SSE of Kokopo, Papua New Guinea"/>
        <s v="M 6.5 - 223 km SW of Port McNeill, Canada"/>
        <s v="M 6.5 - 225 km WNW of Pangai, Tonga"/>
        <s v="M 6.5 - 227 km SE of Sarangani, Philippines"/>
        <s v="M 6.5 - 23 km SSE of Badamdar, Azerbaijan"/>
        <s v="M 6.5 - 236 km S of Punta de Burica, Panama"/>
        <s v="M 6.5 - 237 km SW of Port McNeill, Canada"/>
        <s v="M 6.5 - 24 km NNW of El Habillal, Mexico"/>
        <s v="M 6.5 - 24 km SSW of Larsen Bay, Alaska"/>
        <s v="M 6.5 - 247 km ESE of Attu Station, Alaska"/>
        <s v="M 6.5 - 25 km E of Selfoss, Iceland"/>
        <s v="M 6.5 - 265 km SSE of Alo, Wallis and Futuna"/>
        <s v="M 6.5 - 28 km NNW of Dompu, Indonesia"/>
        <s v="M 6.5 - 29 km SE of Blenheim, New Zealand"/>
        <s v="M 6.5 - 2km ESE of Kisante, Philippines"/>
        <s v="M 6.5 - 3 km NW of Hanamaki, Japan"/>
        <s v="M 6.5 - 3 km SSE of Progreso, Panama"/>
        <s v="M 6.5 - 31 km SE of Puli, Taiwan"/>
        <s v="M 6.5 - 31 km SW of Ashk?sham, Afghanistan"/>
        <s v="M 6.5 - 31 km WSW of Malango, Solomon Islands"/>
        <s v="M 6.5 - 32 km E of Port-Olry, Vanuatu"/>
        <s v="M 6.5 - 32 km NNE of Biak, Indonesia"/>
        <s v="M 6.5 - 32 km SW of Champerico, Guatemala"/>
        <s v="M 6.5 - 32 km W of Sola, Vanuatu"/>
        <s v="M 6.5 - 32 km WNW of Skýros, Greece"/>
        <s v="M 6.5 - 33 km N of Rabaul, Papua New Guinea"/>
        <s v="M 6.5 - 33 km S of Puerto San José, Guatemala"/>
        <s v="M 6.5 - 34 km N of Dompu, Indonesia"/>
        <s v="M 6.5 - 36 km E of Finschhafen, Papua New Guinea"/>
        <s v="M 6.5 - 37 km WNW of Ferndale, California"/>
        <s v="M 6.5 - 38 km ESE of Blenheim, New Zealand"/>
        <s v="M 6.5 - 4 km ESE of Finschhafen, Papua New Guinea"/>
        <s v="M 6.5 - 4 km NW of Can-Avid, Philippines"/>
        <s v="M 6.5 - 40 km SSE of Jurm, Afghanistan"/>
        <s v="M 6.5 - 41 km E of Padilla, Bolivia"/>
        <s v="M 6.5 - 41 km N of Rabaul, Papua New Guinea"/>
        <s v="M 6.5 - 41 km NW of El Habillal, Mexico"/>
        <s v="M 6.5 - 41 km SSW of Ambon, Indonesia"/>
        <s v="M 6.5 - 42 km W of Sola, Vanuatu"/>
        <s v="M 6.5 - 43 km S of Intipucá, El Salvador"/>
        <s v="M 6.5 - 44 km W of Masachapa, Nicaragua"/>
        <s v="M 6.5 - 45 km WSW of Iquique, Chile"/>
        <s v="M 6.5 - 46 km NE of Ruteng, Indonesia"/>
        <s v="M 6.5 - 47 km NW of Maubara, Timor Leste"/>
        <s v="M 6.5 - 48 km NW of Sola, Vanuatu"/>
        <s v="M 6.5 - 49 km N of Yigo Village, Guam"/>
        <s v="M 6.5 - 49 km NW of Barranca, Peru"/>
        <s v="M 6.5 - 49 km W of Finschhafen, Papua New Guinea"/>
        <s v="M 6.5 - 5 km ENE of Churumuco de Morelos, Mexico"/>
        <s v="M 6.5 - 5 km NE of Sultanda??, Turkey"/>
        <s v="M 6.5 - 50 km S of Koróni, Greece"/>
        <s v="M 6.5 - 50 km SE of Sucúa, Ecuador"/>
        <s v="M 6.5 - 51 km S of Jurm, Afghanistan"/>
        <s v="M 6.5 - 52 km ENE of Kokopo, Papua New Guinea"/>
        <s v="M 6.5 - 53 km SW of Ashk?sham, Afghanistan"/>
        <s v="M 6.5 - 54 km WNW of Illapel, Chile"/>
        <s v="M 6.5 - 57 km SE of Sinabang, Indonesia"/>
        <s v="M 6.5 - 58 km S of Kushiro, Japan"/>
        <s v="M 6.5 - 59 km ENE of Namie, Japan"/>
        <s v="M 6.5 - 59 km SSW of Abhar, Iran"/>
        <s v="M 6.5 - 59 km SSW of Labuan, Indonesia"/>
        <s v="M 6.5 - 6 km SSW of Nuevo Balsas, Mexico"/>
        <s v="M 6.5 - 65 km SSW of Port-Vila, Vanuatu"/>
        <s v="M 6.5 - 65 km W of Kirakira, Solomon Islands"/>
        <s v="M 6.5 - 66 km NW of Kirakira, Solomon Islands"/>
        <s v="M 6.5 - 67 km ESE of Teno, Chile"/>
        <s v="M 6.5 - 67 km NNW of Insrom, Indonesia"/>
        <s v="M 6.5 - 67 km WSW of Angoram, Papua New Guinea"/>
        <s v="M 6.5 - 71 km SE of Nikolski, Alaska"/>
        <s v="M 6.5 - 73 km WNW of Copiapó, Chile"/>
        <s v="M 6.5 - 74 km NE of Amberley, New Zealand"/>
        <s v="M 6.5 - 78 km E of Lakatoro, Vanuatu"/>
        <s v="M 6.5 - 78 km SW of Panguna, Papua New Guinea"/>
        <s v="M 6.5 - 79 km WSW of Kirakira, Solomon Islands"/>
        <s v="M 6.5 - 8 km WNW of Galaxídhion, Greece"/>
        <s v="M 6.5 - 80 km ESE of Ishinomaki, Japan"/>
        <s v="M 6.5 - 80 km SW of Jiquilillo, Nicaragua"/>
        <s v="M 6.5 - 81 km ESE of Ozernovskiy, Russia"/>
        <s v="M 6.5 - 81 km NE of Hasaki, Japan"/>
        <s v="M 6.5 - 81 km SSW of Atka, Alaska"/>
        <s v="M 6.5 - 81 km SSW of Katabu, Indonesia"/>
        <s v="M 6.5 - 81 km W of Paramonga, Peru"/>
        <s v="M 6.5 - 83km ENE of Bristol Island, South Sandwich Islands"/>
        <s v="M 6.5 - 84 km NNW of San Antonio de los Cobres, Argentina"/>
        <s v="M 6.5 - 86 km NNW of Sola, Vanuatu"/>
        <s v="M 6.5 - 86 km WSW of Port-Olry, Vanuatu"/>
        <s v="M 6.5 - 87 km SE of Ozernovskiy, Russia"/>
        <s v="M 6.5 - 9 km SSW of General Pascual Fentes, Mexico"/>
        <s v="M 6.5 - 9 km W of Talisay, Philippines"/>
        <s v="M 6.5 - 91 km S of Néa Anatolí, Greece"/>
        <s v="M 6.5 - 92 km N of Iquique, Chile"/>
        <s v="M 6.5 - 92 km SSW of Blenheim, New Zealand"/>
        <s v="M 6.5 - 94 km NW of Vallenar, Chile"/>
        <s v="M 6.5 - 94 km SSE of Shimoda, Japan"/>
        <s v="M 6.5 - 96 km ENE of Hihifo, Tonga"/>
        <s v="M 6.5 - 96 km SE of Lugu, Taiwan"/>
        <s v="M 6.5 - Bonin Islands, Japan region"/>
        <s v="M 6.5 - Bouvet Island region"/>
        <s v="M 6.5 - central Mid-Atlantic Ridge"/>
        <s v="M 6.5 - Costa Rica"/>
        <s v="M 6.5 - Fiji region"/>
        <s v="M 6.5 - Izu Islands, Japan region"/>
        <s v="M 6.5 - Kepulauan Mentawai region, Indonesia"/>
        <s v="M 6.5 - Kermadec Islands region"/>
        <s v="M 6.5 - Kermadec Islands, New Zealand"/>
        <s v="M 6.5 - Monte Cristo Range, NV Earthquake"/>
        <s v="M 6.5 - near the east coast of the Kamchatka Peninsula, Russia"/>
        <s v="M 6.5 - Pulau-Pulau Talaud, Indonesia"/>
        <s v="M 6.5 - south of the Fiji Islands"/>
        <s v="M 6.5 - south of the Kermadec Islands"/>
        <s v="M 6.5 - South Sandwich Islands region"/>
        <s v="M 6.5 - Stanley, Idaho"/>
        <s v="M 6.5 - Turkmenistan-Iran border region"/>
        <s v="M 6.6 - "/>
        <s v="M 6.6 - 0 km ESE of Isangel, Vanuatu"/>
        <s v="M 6.6 - 10 km NE of Columbio, Philippines"/>
        <s v="M 6.6 - 10 km SSW of San José El Ídolo, Guatemala"/>
        <s v="M 6.6 - 10 km W of Aianí, Greece"/>
        <s v="M 6.6 - 101 km E of Tadine, New Caledonia"/>
        <s v="M 6.6 - 103 km NE of Angoram, Papua New Guinea"/>
        <s v="M 6.6 - 106 km NE of Yelizovo, Russia"/>
        <s v="M 6.6 - 106 km WSW of Sangay, Philippines"/>
        <s v="M 6.6 - 108 km SW of Kokopo, Papua New Guinea"/>
        <s v="M 6.6 - 11 km ENE of Kainantu, Papua New Guinea"/>
        <s v="M 6.6 - 11 km ENE of Kos, Greece"/>
        <s v="M 6.6 - 11 km N of Cañete, Chile"/>
        <s v="M 6.6 - 110 km SSE of K?h Sef?d, Iran"/>
        <s v="M 6.6 - 113 km SE of Kokopo, Papua New Guinea"/>
        <s v="M 6.6 - 115 km W of Panguna, Papua New Guinea"/>
        <s v="M 6.6 - 122 km N of Murghob, Tajikistan"/>
        <s v="M 6.6 - 124 km SW of Bamboo Flat, India"/>
        <s v="M 6.6 - 125 km E of Kimbe, Papua New Guinea"/>
        <s v="M 6.6 - 127 km ESE of Arica, Chile"/>
        <s v="M 6.6 - 129 km ESE of Shing?, Japan"/>
        <s v="M 6.6 - 129 km SSW of Kokopo, Papua New Guinea"/>
        <s v="M 6.6 - 13 km E of San Pedro, Philippines"/>
        <s v="M 6.6 - 13 km SSW of Bam, Iran"/>
        <s v="M 6.6 - 130 km WNW of Naze, Japan"/>
        <s v="M 6.6 - 131 km SE of Kokopo, Papua New Guinea"/>
        <s v="M 6.6 - 131km S of Bristol Island, South Sandwich Islands"/>
        <s v="M 6.6 - 135 km SSE of Biak, Indonesia"/>
        <s v="M 6.6 - 136 km W of Neiafu, Tonga"/>
        <s v="M 6.6 - 140 km WNW of Tobelo, Indonesia"/>
        <s v="M 6.6 - 15 km N of Belén, Nicaragua"/>
        <s v="M 6.6 - 155 km SE of Kimbe, Papua New Guinea"/>
        <s v="M 6.6 - 16 km SE of Taungdwingyi, Myanmar"/>
        <s v="M 6.6 - 161 km NNE of Pamanukan, Indonesia"/>
        <s v="M 6.6 - 161 km SE of Katsuura, Japan"/>
        <s v="M 6.6 - 161 km SSE of Lata, Solomon Islands"/>
        <s v="M 6.6 - 161 km SSW of Padang, Indonesia"/>
        <s v="M 6.6 - 163 km ENE of Tual, Indonesia"/>
        <s v="M 6.6 - 164 km W of Ferndale, California"/>
        <s v="M 6.6 - 17 km SSW of Ishikawa, Japan"/>
        <s v="M 6.6 - 171 km SSE of Ust’-Kamchatsk Staryy, Russia"/>
        <s v="M 6.6 - 175 km SSE of Lata, Solomon Islands"/>
        <s v="M 6.6 - 177 km SE of Hirara, Japan"/>
        <s v="M 6.6 - 18 km WSW of Nikolski, Alaska"/>
        <s v="M 6.6 - 183 km SW of Belaya Gora, Russia"/>
        <s v="M 6.6 - 186 km WNW of Malango, Solomon Islands"/>
        <s v="M 6.6 - 199 km ESE of Tadine, New Caledonia"/>
        <s v="M 6.6 - 20 km NNW of Kashiwazaki, Japan"/>
        <s v="M 6.6 - 20 km SSE of Nishinoomote, Japan"/>
        <s v="M 6.6 - 20 km SW of Monte Patria, Chile"/>
        <s v="M 6.6 - 200km W of Broome, Australia"/>
        <s v="M 6.6 - 203 km SW of La Cruz de Loreto, Mexico"/>
        <s v="M 6.6 - 205 km SE of Kokopo, Papua New Guinea"/>
        <s v="M 6.6 - 217 km N of Bamboo Flat, India"/>
        <s v="M 6.6 - 217 km NNE of Palu, Indonesia"/>
        <s v="M 6.6 - 22 km ESE of Punta de Burica, Panama"/>
        <s v="M 6.6 - 22 km NNE of Cortes, Philippines"/>
        <s v="M 6.6 - 22 km SW of Lithakiá, Greece"/>
        <s v="M 6.6 - 22 km WSW of Illapel, Chile"/>
        <s v="M 6.6 - 227 km SE of Kandrian, Papua New Guinea"/>
        <s v="M 6.6 - 23 km ESE of Aitape, Papua New Guinea"/>
        <s v="M 6.6 - 23 km WNW of Talcahuano, Chile"/>
        <s v="M 6.6 - 239 km SSE of Isangel, Vanuatu"/>
        <s v="M 6.6 - 24 km E of Rust?q, Afghanistan"/>
        <s v="M 6.6 - 24 km NE of Cortes, Philippines"/>
        <s v="M 6.6 - 244 km SSE of Tateyama, Japan"/>
        <s v="M 6.6 - 25 km ESE of Loncopué, Argentina"/>
        <s v="M 6.6 - 25 km NNW of Mizque, Bolivia"/>
        <s v="M 6.6 - 26 km NE of Kandrian, Papua New Guinea"/>
        <s v="M 6.6 - 27 km ESE of Chitose, Japan"/>
        <s v="M 6.6 - 277 km NNE of Codrington, Antigua and Barbuda"/>
        <s v="M 6.6 - 28 km N of Sorong, Indonesia"/>
        <s v="M 6.6 - 28 km NNW of Maebaru-ch??, Japan"/>
        <s v="M 6.6 - 29 km NNW of Bima, Indonesia"/>
        <s v="M 6.6 - 30 km SSE of Cañete, Chile"/>
        <s v="M 6.6 - 30 km SSW of Lata, Solomon Islands"/>
        <s v="M 6.6 - 31 km S of Achanizo, Peru"/>
        <s v="M 6.6 - 32 km S of La Libertad, El Salvador"/>
        <s v="M 6.6 - 32 km W of San Juan del Sur, Nicaragua"/>
        <s v="M 6.6 - 33 km WNW of Port-Vila, Vanuatu"/>
        <s v="M 6.6 - 34km NNE of Ndoi Island, Fiji"/>
        <s v="M 6.6 - 36 km W of Kíssamos, Greece"/>
        <s v="M 6.6 - 37 km WNW of Poso, Indonesia"/>
        <s v="M 6.6 - 39 km WSW of Masachapa, Nicaragua"/>
        <s v="M 6.6 - 4 km W of Manuel Ávila Camacho (Ponte Duro), Mexico"/>
        <s v="M 6.6 - 41 km SSW of Coquimbo, Chile"/>
        <s v="M 6.6 - 42 km NNW of Tilichiki, Russia"/>
        <s v="M 6.6 - 42 km WSW of Ashk?sham, Afghanistan"/>
        <s v="M 6.6 - 43 km NE of San Fernando, Peru"/>
        <s v="M 6.6 - 44 km SE of Antofagasta, Chile"/>
        <s v="M 6.6 - 44 km SE of Kangding, China"/>
        <s v="M 6.6 - 45 km NNE of Saryg-Sep, Russia"/>
        <s v="M 6.6 - 46 km SSE of Gisborne, New Zealand"/>
        <s v="M 6.6 - 47 km N of Lijiang, China"/>
        <s v="M 6.6 - 47 km SSW of Ovalle, Chile"/>
        <s v="M 6.6 - 48 km WNW of Pólis, Cyprus"/>
        <s v="M 6.6 - 49 km SSE of Sungai Penuh, Indonesia"/>
        <s v="M 6.6 - 5 km ESE of Preci, Italy"/>
        <s v="M 6.6 - 5 km S of Cojutepeque, El Salvador"/>
        <s v="M 6.6 - 50 km ESE of ?tsuchi, Japan"/>
        <s v="M 6.6 - 50 km S of Jurm, Afghanistan"/>
        <s v="M 6.6 - 51 km NW of Isangel, Vanuatu"/>
        <s v="M 6.6 - 52 km ENE of Kandrian, Papua New Guinea"/>
        <s v="M 6.6 - 52 km ESE of Kerman, Iran"/>
        <s v="M 6.6 - 53 km ENE of Cantwell, Alaska"/>
        <s v="M 6.6 - 53 km SE of Nikolski, Alaska"/>
        <s v="M 6.6 - 55 km WSW of Masachapa, Nicaragua"/>
        <s v="M 6.6 - 56 km WSW of Linqiong, China"/>
        <s v="M 6.6 - 57 km SW of Panguna, Papua New Guinea"/>
        <s v="M 6.6 - 60 km SSE of Kirakira, Solomon Islands"/>
        <s v="M 6.6 - 62 km SSW of Ialibu, Papua New Guinea"/>
        <s v="M 6.6 - 62km E of Lakatoro, Vanuatu"/>
        <s v="M 6.6 - 64 km NNE of Angoram, Papua New Guinea"/>
        <s v="M 6.6 - 66 km E of Lakatoro, Vanuatu"/>
        <s v="M 6.6 - 66 km NNW of Coquimbo, Chile"/>
        <s v="M 6.6 - 7 km SW of Helio García Alfaro, Mexico"/>
        <s v="M 6.6 - 7 km WSW of Neira, Colombia"/>
        <s v="M 6.6 - 71 km NNE of Bharatpur, Nepal"/>
        <s v="M 6.6 - 73 km WNW of Tobelo, Indonesia"/>
        <s v="M 6.6 - 74 km E of Tadine, New Caledonia"/>
        <s v="M 6.6 - 74 km S of Kokhanok, Alaska"/>
        <s v="M 6.6 - 75 km S of Kirakira, Solomon Islands"/>
        <s v="M 6.6 - 75 km SSW of Bahía de Kino, Mexico"/>
        <s v="M 6.6 - 76 km NE of Finschhafen, Papua New Guinea"/>
        <s v="M 6.6 - 76 km W of Neiafu, Tonga"/>
        <s v="M 6.6 - 8 km SSW of Ojiya, Japan"/>
        <s v="M 6.6 - 8 km WSW of Sumberpucung, Indonesia"/>
        <s v="M 6.6 - 80 km E of Tilichiki, Russia"/>
        <s v="M 6.6 - 80 km SW of Labuan, Indonesia"/>
        <s v="M 6.6 - 80 km W of Sungai Penuh, Indonesia"/>
        <s v="M 6.6 - 81 km NNE of Ust’-Kamchatsk Staryy, Russia"/>
        <s v="M 6.6 - 82 km E of Kimbe, Papua New Guinea"/>
        <s v="M 6.6 - 87 km ESE of Kimbe, Papua New Guinea"/>
        <s v="M 6.6 - 87 km SSE of Kokopo, Papua New Guinea"/>
        <s v="M 6.6 - 9 km NNW of P?palkoti, India"/>
        <s v="M 6.6 - 94 km NW of Sola, Vanuatu"/>
        <s v="M 6.6 - 95 km SW of Etchoropo, Mexico"/>
        <s v="M 6.6 - 97 km N of Batang, Indonesia"/>
        <s v="M 6.6 - 98 km SE of Gizo, Solomon Islands"/>
        <s v="M 6.6 - 98 km SW of Etchoropo, Mexico"/>
        <s v="M 6.6 - 98 km W of Panguna, Papua New Guinea"/>
        <s v="M 6.6 - 99 km SSE of Panguna, Papua New Guinea"/>
        <s v="M 6.6 - Afghanistan-Tajikistan-Pakistan region"/>
        <s v="M 6.6 - Auckland Islands, New Zealand region"/>
        <s v="M 6.6 - Kermadec Islands, New Zealand"/>
        <s v="M 6.6 - Molucca Sea"/>
        <s v="M 6.6 - Nicobar Islands, India region"/>
        <s v="M 6.6 - northern Mid-Atlantic Ridge"/>
        <s v="M 6.6 - northern Qinghai, China"/>
        <s v="M 6.6 - Panama-Colombia border region"/>
        <s v="M 6.6 - south of the Fiji Islands"/>
        <s v="M 6.6 - south of the Kermadec Islands"/>
        <s v="M 6.6 - South Sandwich Islands region"/>
        <s v="M 6.7 - 10 km SSW of Coquimbo, Chile"/>
        <s v="M 6.7 - 100 km ESE of Kimbe, Papua New Guinea"/>
        <s v="M 6.7 - 101 km WSW of Bahía Solano, Colombia"/>
        <s v="M 6.7 - 102 km WSW of Sola, Vanuatu"/>
        <s v="M 6.7 - 103 km W of El Aguilar, Argentina"/>
        <s v="M 6.7 - 104 km W of Sola, Vanuatu"/>
        <s v="M 6.7 - 105 km WNW of Naisano Dua, Indonesia"/>
        <s v="M 6.7 - 107 km NW of Ambon, Indonesia"/>
        <s v="M 6.7 - 108 km W of Ambon, Indonesia"/>
        <s v="M 6.7 - 11 km SE of Aitape, Papua New Guinea"/>
        <s v="M 6.7 - 111 km SE of Bam, Iran"/>
        <s v="M 6.7 - 112 km WSW of Padang, Indonesia"/>
        <s v="M 6.7 - 113 km SW of Padang, Indonesia"/>
        <s v="M 6.7 - 118 km SSW of Padang, Indonesia"/>
        <s v="M 6.7 - 120 km NW of Olonkinbyen, Svalbard and Jan Mayen"/>
        <s v="M 6.7 - 123 km E of Namie, Japan"/>
        <s v="M 6.7 - 125 km SSW of Tarauacá, Brazil"/>
        <s v="M 6.7 - 125 km SW of Padangsidempuan, Indonesia"/>
        <s v="M 6.7 - 126 km SSW of Kokopo, Papua New Guinea"/>
        <s v="M 6.7 - 127 km NNW of Palu, Indonesia"/>
        <s v="M 6.7 - 128 km SSE of Panguna, Papua New Guinea"/>
        <s v="M 6.7 - 13 km N of Do?anyol, Turkey"/>
        <s v="M 6.7 - 131 km SE of Nookat, Kyrgyzstan"/>
        <s v="M 6.7 - 132 km E of Tadine, New Caledonia"/>
        <s v="M 6.7 - 14 km SW of Puako, Hawaii"/>
        <s v="M 6.7 - 140 km E of Kimbe, Papua New Guinea"/>
        <s v="M 6.7 - 140 km WSW of Makurazaki, Japan"/>
        <s v="M 6.7 - 146 km WNW of Corral, Chile"/>
        <s v="M 6.7 - 149 km ENE of Labasa, Fiji"/>
        <s v="M 6.7 - 15 km S of Hukay, Philippines"/>
        <s v="M 6.7 - 150 km WNW of Malango, Solomon Islands"/>
        <s v="M 6.7 - 151 km NE of Lospalos, Timor Leste"/>
        <s v="M 6.7 - 155 km SSW of Padang, Indonesia"/>
        <s v="M 6.7 - 16 km N of Potrerillos, Honduras"/>
        <s v="M 6.7 - 166 km W of Pariaman, Indonesia"/>
        <s v="M 6.7 - 17 km SW of Miyazaki, Japan"/>
        <s v="M 6.7 - 18 km ESE of Nurdağı, Turkey"/>
        <s v="M 6.7 - 18 km WSW of Scarborough, Trinidad and Tobago"/>
        <s v="M 6.7 - 181 km NNE of Maumere, Indonesia"/>
        <s v="M 6.7 - 183 km NE of Gisborne, New Zealand"/>
        <s v="M 6.7 - 189 km SW of Port McNeill, Canada"/>
        <s v="M 6.7 - 19 km SW of Brisas Barra de Suchiate, Mexico"/>
        <s v="M 6.7 - 190 km ESE of Kokopo, Papua New Guinea"/>
        <s v="M 6.7 - 190 km NW of Sola, Vanuatu"/>
        <s v="M 6.7 - 191 km SE of Kokopo, Papua New Guinea"/>
        <s v="M 6.7 - 192 km W of Abepura, Indonesia"/>
        <s v="M 6.7 - 2 km NNE of Jimalalud, Philippines"/>
        <s v="M 6.7 - 201 km SSE of Mata-Utu, Wallis and Futuna"/>
        <s v="M 6.7 - 206 km SSW of Sofifi, Indonesia"/>
        <s v="M 6.7 - 21 km SSE of Kod?ri??, Nepal"/>
        <s v="M 6.7 - 22 km NW of Hacienda La Calera, Chile"/>
        <s v="M 6.7 - 221 km NE of Jumla, Nepal"/>
        <s v="M 6.7 - 26 km NE of Kýthira, Greece"/>
        <s v="M 6.7 - 260 km S of Sinabang, Indonesia"/>
        <s v="M 6.7 - 269 km WNW of Ozernovskiy, Russia"/>
        <s v="M 6.7 - 279 km E of Levuka, Fiji"/>
        <s v="M 6.7 - 282 km NE of Lospalos, Timor Leste"/>
        <s v="M 6.7 - 29 km SSW of Turt, Mongolia"/>
        <s v="M 6.7 - 29 km W of Imph?l, India"/>
        <s v="M 6.7 - 30 km WSW of Villa El Carmen, Nicaragua"/>
        <s v="M 6.7 - 31 km SW of Copiapó, Chile"/>
        <s v="M 6.7 - 31 km WNW of Yonakuni, Japan"/>
        <s v="M 6.7 - 32 km SE of Muisne, Ecuador"/>
        <s v="M 6.7 - 33 km SSW of Lata, Solomon Islands"/>
        <s v="M 6.7 - 34 km WSW of Pacocha, Peru"/>
        <s v="M 6.7 - 38 km NE of Saryg-Sep, Russia"/>
        <s v="M 6.7 - 38 km SSW of Nabire, Indonesia"/>
        <s v="M 6.7 - 38 km W of Constitución, Chile"/>
        <s v="M 6.7 - 39 km SSE of Kushiro, Japan"/>
        <s v="M 6.7 - 41 km NNE of Miyako, Japan"/>
        <s v="M 6.7 - 43 km NW of Piti Village, Guam"/>
        <s v="M 6.7 - 43 km SSE of Iztapa, Guatemala"/>
        <s v="M 6.7 - 44 km NNE of Port-Olry, Vanuatu"/>
        <s v="M 6.7 - 46 km NW of Nanao, Japan"/>
        <s v="M 6.7 - 5 km SE of Miyazaki, Japan"/>
        <s v="M 6.7 - 5 km SW of Puerto Madero, Mexico"/>
        <s v="M 6.7 - 52 km NNW of Tomé, Chile"/>
        <s v="M 6.7 - 52 km SE of Shizunai-furukawach?, Japan"/>
        <s v="M 6.7 - 52 km SW of San Vicente de Cañete, Peru"/>
        <s v="M 6.7 - 52 km SW of Sola, Vanuatu"/>
        <s v="M 6.7 - 55 km WSW of Kirakira, Solomon Islands"/>
        <s v="M 6.7 - 59 km SSW of Sola, Vanuatu"/>
        <s v="M 6.7 - 60 km SSW of Boca Chica, Panama"/>
        <s v="M 6.7 - 61 km WNW of Illapel, Chile"/>
        <s v="M 6.7 - 62 km SW of Tari, Papua New Guinea"/>
        <s v="M 6.7 - 63 km NW of Sola, Vanuatu"/>
        <s v="M 6.7 - 63 km WNW of Iquique, Chile"/>
        <s v="M 6.7 - 65 km S of Hualien City, Taiwan"/>
        <s v="M 6.7 - 68 km WSW of Kabanjahe, Indonesia"/>
        <s v="M 6.7 - 70 km WSW of Constitución, Chile"/>
        <s v="M 6.7 - 71 km S of Burica, Panama"/>
        <s v="M 6.7 - 72 km S of Manokwari, Indonesia"/>
        <s v="M 6.7 - 73 km WSW of Vallenar, Chile"/>
        <s v="M 6.7 - 78 km WNW of Copiapó, Chile"/>
        <s v="M 6.7 - 8 km ESE of Matsue, Japan"/>
        <s v="M 6.7 - 80 km NNE of Antofagasta, Chile"/>
        <s v="M 6.7 - 80 km SSE of Kirakira, Solomon Islands"/>
        <s v="M 6.7 - 83 km ENE of Miyako, Japan"/>
        <s v="M 6.7 - 86 km SSE of Manokwari, Indonesia"/>
        <s v="M 6.7 - 9 km S of Aktash, Russia"/>
        <s v="M 6.7 - 91 km SE of Nikolski, Alaska"/>
        <s v="M 6.7 - 94 km WSW of Singkil, Indonesia"/>
        <s v="M 6.7 - 95 km S of Bengkulu, Indonesia"/>
        <s v="M 6.7 - 95 km SW of Topolobampo, Mexico"/>
        <s v="M 6.7 - 97 km SSW of El Huitusi, Mexico"/>
        <s v="M 6.7 - 98 km SSW of Bengkulu, Indonesia"/>
        <s v="M 6.7 - 99 km NE of Miyako, Japan"/>
        <s v="M 6.7 - 99 km WSW of Kokopo, Papua New Guinea"/>
        <s v="M 6.7 - Kermadec Islands, New Zealand"/>
        <s v="M 6.7 - Mauritius - Reunion region"/>
        <s v="M 6.7 - New Ireland region, Papua New Guinea"/>
        <s v="M 6.7 - Prince Edward Islands region"/>
        <s v="M 6.7 - Sea of Okhotsk"/>
        <s v="M 6.7 - south of Java, Indonesia"/>
        <s v="M 6.7 - south of the Fiji Islands"/>
        <s v="M 6.8 - "/>
        <s v="M 6.8 - 100 km SE of Nikolski, Alaska"/>
        <s v="M 6.8 - 103 km E of Kokopo, Papua New Guinea"/>
        <s v="M 6.8 - 107 km N of Lae, Papua New Guinea"/>
        <s v="M 6.8 - 109 km NE of Hihifo, Tonga"/>
        <s v="M 6.8 - 109 km SSW of Kokopo, Papua New Guinea"/>
        <s v="M 6.8 - 112 km SSW of Kokopo, Papua New Guinea"/>
        <s v="M 6.8 - 114 km ESE of Kokopo, Papua New Guinea"/>
        <s v="M 6.8 - 117 km SSE of Ugashik, Alaska"/>
        <s v="M 6.8 - 122 km SSE of Obihiro, Japan"/>
        <s v="M 6.8 - 123 km SSE of Pondaguitan, Philippines"/>
        <s v="M 6.8 - 124 km NE of Wé, New Caledonia"/>
        <s v="M 6.8 - 127 km SE of Gizo, Solomon Islands"/>
        <s v="M 6.8 - 129 km WSW of Khuzdar, Pakistan"/>
        <s v="M 6.8 - 131 km WSW of Haveluloto, Tonga"/>
        <s v="M 6.8 - 132 km WSW of Haveluloto, Tonga"/>
        <s v="M 6.8 - 133 km WNW of Mikuni, Japan"/>
        <s v="M 6.8 - 138 km W of Bengkulu, Indonesia"/>
        <s v="M 6.8 - 138 km WSW of Bengkulu, Indonesia"/>
        <s v="M 6.8 - 140 km N of Lae, Papua New Guinea"/>
        <s v="M 6.8 - 141 km W of Bengkulu, Indonesia"/>
        <s v="M 6.8 - 15 km SSE of Baku, Azerbaijan"/>
        <s v="M 6.8 - 153 km WSW of Buala, Solomon Islands"/>
        <s v="M 6.8 - 154 km ESE of Kokopo, Papua New Guinea"/>
        <s v="M 6.8 - 157 km NW of Ternate, Indonesia"/>
        <s v="M 6.8 - 158 km W of Jinghong, China"/>
        <s v="M 6.8 - 159 km ESE of Kirakira, Solomon Islands"/>
        <s v="M 6.8 - 16 km SSW of Kure, Japan"/>
        <s v="M 6.8 - 178 km W of Lata, Solomon Islands"/>
        <s v="M 6.8 - 187 km E of Levuka, Fiji"/>
        <s v="M 6.8 - 188 km WNW of Sola, Vanuatu"/>
        <s v="M 6.8 - 200 km NW of Attu Station, Alaska"/>
        <s v="M 6.8 - 210 km SW of Port McNeill, Canada"/>
        <s v="M 6.8 - 22 km ESE of Lata, Solomon Islands"/>
        <s v="M 6.8 - 22 km WNW of Malango, Solomon Islands"/>
        <s v="M 6.8 - 24 km SW of Roncesvalles, Colombia"/>
        <s v="M 6.8 - 25 km WNW of Dellys, Algeria"/>
        <s v="M 6.8 - 256 km SSW of Singkil, Indonesia"/>
        <s v="M 6.8 - 26 km NNE of Coyuquilla Norte, Mexico"/>
        <s v="M 6.8 - 26 km W of Chauk, Myanmar"/>
        <s v="M 6.8 - 27 km SSW of Nuxco, Mexico"/>
        <s v="M 6.8 - 28 km SW of Puerto San José, Guatemala"/>
        <s v="M 6.8 - 29 km ENE of Morioka, Japan"/>
        <s v="M 6.8 - 29 km SW of Labuan, Indonesia"/>
        <s v="M 6.8 - 30 km E of Macas, Ecuador"/>
        <s v="M 6.8 - 32 km SE of ?funato, Japan"/>
        <s v="M 6.8 - 32 km SW of Lithakiá, Greece"/>
        <s v="M 6.8 - 35 km SSE of Uglegorsk, Russia"/>
        <s v="M 6.8 - 36 km S of George Town, Cayman Islands"/>
        <s v="M 6.8 - 36 km SW of Paphos, Cyprus"/>
        <s v="M 6.8 - 38 km NW of Aniso, Peru"/>
        <s v="M 6.8 - 38 km SE of Boyuibe, Bolivia"/>
        <s v="M 6.8 - 39 km SW of Ovalle, Chile"/>
        <s v="M 6.8 - 39 km WNW of Timbiquí, Colombia"/>
        <s v="M 6.8 - 42 km W of Ovalle, Chile"/>
        <s v="M 6.8 - 48 km SW of San Pedro de Atacama, Chile"/>
        <s v="M 6.8 - 49 km S of Panguna, Papua New Guinea"/>
        <s v="M 6.8 - 5 km ENE of Sungai Penuh, Indonesia"/>
        <s v="M 6.8 - 51 km NE of Norsup, Vanuatu"/>
        <s v="M 6.8 - 51 km NNE of Shwebo, Myanmar"/>
        <s v="M 6.8 - 52 km WSW of Coquimbo, Chile"/>
        <s v="M 6.8 - 54 km N of Vallenar, Chile"/>
        <s v="M 6.8 - 54 km SSW of Nemuro, Japan"/>
        <s v="M 6.8 - 55 km SSW of Aguililla, Mexico"/>
        <s v="M 6.8 - 59 km NNE of Port-Olry, Vanuatu"/>
        <s v="M 6.8 - 6 km SE of Camaná, Peru"/>
        <s v="M 6.8 - 60 km SSE of Kirakira, Solomon Islands"/>
        <s v="M 6.8 - 62 km SSW of Yonakuni, Japan"/>
        <s v="M 6.8 - 62 km WSW of Panguna, Papua New Guinea"/>
        <s v="M 6.8 - 67 km W of Murghob, Tajikistan"/>
        <s v="M 6.8 - 68 km NNE of San Pedro de Atacama, Chile"/>
        <s v="M 6.8 - 7 km S of Magsaysay, Philippines"/>
        <s v="M 6.8 - 7 km SSE of Longbranch, Washington"/>
        <s v="M 6.8 - 70 km N of Te Anau, New Zealand"/>
        <s v="M 6.8 - 71 km ESE of Naze, Japan"/>
        <s v="M 6.8 - 76 km ESE of Kalemie, Democratic Republic of the Congo"/>
        <s v="M 6.8 - 76 km WNW of Kandrian, Papua New Guinea"/>
        <s v="M 6.8 - 77 km WNW of Indianola, California"/>
        <s v="M 6.8 - 78 km E of Hengchun, Taiwan"/>
        <s v="M 6.8 - 79 km W of Kirakira, Solomon Islands"/>
        <s v="M 6.8 - 81 km NNE of Port-Vila, Vanuatu"/>
        <s v="M 6.8 - 82 km NNE of Antofagasta, Chile"/>
        <s v="M 6.8 - 84 km S of Shikotan, Russia"/>
        <s v="M 6.8 - 86 km NNW of San Antonio de los Cobres, Argentina"/>
        <s v="M 6.8 - 86 km NW of Vallenar, Chile"/>
        <s v="M 6.8 - 90 km NE of Rabaul, Papua New Guinea"/>
        <s v="M 6.8 - 90 km S of Panguna, Papua New Guinea"/>
        <s v="M 6.8 - 90km W of Tarauaca, Brazil"/>
        <s v="M 6.8 - 92 km E of Yujing, Taiwan"/>
        <s v="M 6.8 - 96 km SW of San Antonio, Chile"/>
        <s v="M 6.8 - 97 km NE of Hihifo, Tonga"/>
        <s v="M 6.8 - 98 km NNE of Naze, Japan"/>
        <s v="M 6.8 - 98 km WSW of Ambon, Indonesia"/>
        <s v="M 6.8 - 98km SSW of Luwuk, Indonesia"/>
        <s v="M 6.8 - 99 km S of Isangel, Vanuatu"/>
        <s v="M 6.8 - 99 km WNW of Sinabang, Indonesia"/>
        <s v="M 6.8 - Banda Sea"/>
        <s v="M 6.8 - Mindanao, Philippines"/>
        <s v="M 6.8 - near the coast of Ecuador"/>
        <s v="M 6.8 - Pagan region, Northern Mariana Islands"/>
        <s v="M 6.8 - south of the Fiji Islands"/>
        <s v="M 6.9 - "/>
        <s v="M 6.9 - 107 km SE of Amahai, Indonesia"/>
        <s v="M 6.9 - 112 km E of Chignik, Alaska"/>
        <s v="M 6.9 - 113 km SSE of Panguna, Papua New Guinea"/>
        <s v="M 6.9 - 121 km E of Kinablangan, Philippines"/>
        <s v="M 6.9 - 122 km WSW of Bengkulu, Indonesia"/>
        <s v="M 6.9 - 123 km SE of Vilyuchinsk, Russia"/>
        <s v="M 6.9 - 125 km SE of Perryville, Alaska"/>
        <s v="M 6.9 - 130 km ENE of Thang, India"/>
        <s v="M 6.9 - 134km WSW of Kota Ternate, Indonesia"/>
        <s v="M 6.9 - 136 km SE of Perryville, Alaska"/>
        <s v="M 6.9 - 140 km NNW of Tobelo, Indonesia"/>
        <s v="M 6.9 - 150 km E of Kimbe, Papua New Guinea"/>
        <s v="M 6.9 - 151 km E of Namie, Japan"/>
        <s v="M 6.9 - 152 km SW of Labuan, Indonesia"/>
        <s v="M 6.9 - 156 km SSW of Puerto El Triunfo, El Salvador"/>
        <s v="M 6.9 - 17 km N of Port-Olry, Vanuatu"/>
        <s v="M 6.9 - 18 km SSW of Leilani Estates, Hawaii"/>
        <s v="M 6.9 - 18 km SSW of Obihiro, Japan"/>
        <s v="M 6.9 - 2 km NNE of Yacuanquer, Colombia"/>
        <s v="M 6.9 - 2 km SSW of San Pablo, Guatemala"/>
        <s v="M 6.9 - 20 km NNW of Labuan Lombok, Indonesia"/>
        <s v="M 6.9 - 201 km ESE of Hihifo, Tonga"/>
        <s v="M 6.9 - 204 km SW of Bengkulu, Indonesia"/>
        <s v="M 6.9 - 205 km ESE of Kirakira, Solomon Islands"/>
        <s v="M 6.9 - 21 km N of Tomé, Chile"/>
        <s v="M 6.9 - 21 km SSW of Kamariótissa, Greece"/>
        <s v="M 6.9 - 222 km SSE of Katabu, Indonesia"/>
        <s v="M 6.9 - 225 km SW of Nadi, Fiji"/>
        <s v="M 6.9 - 233 km NNW of Qamdo, China"/>
        <s v="M 6.9 - 24 km ENE of Atlasovo, Russia"/>
        <s v="M 6.9 - 24 km NW of Rosa Zarate, Ecuador"/>
        <s v="M 6.9 - 24 km WSW of Mizusawa, Japan"/>
        <s v="M 6.9 - 25 km ESE of Atlasovo, Russia"/>
        <s v="M 6.9 - 26 km W of Hengchun, Taiwan"/>
        <s v="M 6.9 - 268 km WSW of Tual, Indonesia"/>
        <s v="M 6.9 - 27 km NNW of Maubara, Timor Leste"/>
        <s v="M 6.9 - 27 km NNW of Tachilek, Myanmar"/>
        <s v="M 6.9 - 272 km ESE of Hotan, China"/>
        <s v="M 6.9 - 284 km ESE of Tadine, New Caledonia"/>
        <s v="M 6.9 - 31 km SW of Burias, Philippines"/>
        <s v="M 6.9 - 35 km ESE of Namie, Japan"/>
        <s v="M 6.9 - 35 km S of Methóni, Greece"/>
        <s v="M 6.9 - 36 km NW of Labuan Lombok, Indonesia"/>
        <s v="M 6.9 - 39 km SW of Santiago, Peru"/>
        <s v="M 6.9 - 4 km ENE of El Ciruelo, Mexico"/>
        <s v="M 6.9 - 4 km W of Puerto Madero, Mexico"/>
        <s v="M 6.9 - 40 km W of Valparaíso, Chile"/>
        <s v="M 6.9 - 42 km S of Quepos, Costa Rica"/>
        <s v="M 6.9 - 43 km NW of Mangan, India"/>
        <s v="M 6.9 - 47 km S of Old Harbor, Alaska"/>
        <s v="M 6.9 - 50 km WSW of Lata, Solomon Islands"/>
        <s v="M 6.9 - 56 km SE of Kimbe, Papua New Guinea"/>
        <s v="M 6.9 - 59 km WSW of Bengkulu, Indonesia"/>
        <s v="M 6.9 - 61 km NW of Santa Cruz, Chile"/>
        <s v="M 6.9 - 62 km WSW of Kirakira, Solomon Islands"/>
        <s v="M 6.9 - 75 km WNW of Sola, Vanuatu"/>
        <s v="M 6.9 - 76 km SE of Mawlaik, Myanmar"/>
        <s v="M 6.9 - 78 km NE of Hasaki, Japan"/>
        <s v="M 6.9 - 78 km WSW of Adak, Alaska"/>
        <s v="M 6.9 - 81 km NW of Coquimbo, Chile"/>
        <s v="M 6.9 - 81 km SE of Ozernovskiy, Russia"/>
        <s v="M 6.9 - 82 km NNW of Port-Olry, Vanuatu"/>
        <s v="M 6.9 - 84 km WNW of Kandrian, Papua New Guinea"/>
        <s v="M 6.9 - 85 km NW of Coquimbo, Chile"/>
        <s v="M 6.9 - 89 km WSW of Singkil, Indonesia"/>
        <s v="M 6.9 - 90 km E of Yujing, Taiwan"/>
        <s v="M 6.9 - 90 km WNW of Iquique, Chile"/>
        <s v="M 6.9 - 92 km WSW of Kirakira, Solomon Islands"/>
        <s v="M 6.9 - 96 km WNW of Bahía de Kino, Mexico"/>
        <s v="M 6.9 - 99 km WSW of Kirakira, Solomon Islands"/>
        <s v="M 6.9 - central Mid-Atlantic Ridge"/>
        <s v="M 6.9 - Federated States of Micronesia region"/>
        <s v="M 6.9 - Fiji region"/>
        <s v="M 6.9 - Fox Islands, Aleutian Islands, Alaska"/>
        <s v="M 6.9 - Kermadec Islands region"/>
        <s v="M 6.9 - Kermadec Islands, New Zealand"/>
        <s v="M 6.9 - Philippine Islands region"/>
        <s v="M 6.9 - Scotia Sea"/>
        <s v="M 6.9 - south of the Fiji Islands"/>
        <s v="M 6.9 - South Sandwich Islands region"/>
        <s v="M 6.9 - South Shetland Islands"/>
        <s v="M 6.9 - Tonga"/>
        <s v="M 6.9 - Vanuatu region"/>
        <s v="M 7.0 - "/>
        <s v="M 7.0 - 1 km SE of Texcala, Mexico"/>
        <s v="M 7.0 - 10 km SE of Léogâne, Haiti"/>
        <s v="M 7.0 - 101 km SW of Atka, Alaska"/>
        <s v="M 7.0 - 107 km E of Namie, Japan"/>
        <s v="M 7.0 - 11 km NE of Bantay, Philippines"/>
        <s v="M 7.0 - 110 km ESE of Kokopo, Papua New Guinea"/>
        <s v="M 7.0 - 114 km NNW of Popondetta, Papua New Guinea"/>
        <s v="M 7.0 - 116 km NE of Tobelo, Indonesia"/>
        <s v="M 7.0 - 118 km NNE of Tadine, New Caledonia"/>
        <s v="M 7.0 - 119 km E of Kimbe, Papua New Guinea"/>
        <s v="M 7.0 - 121 km SSE of Biak, Indonesia"/>
        <s v="M 7.0 - 13 km NNE of Néon Karlovásion, Greece"/>
        <s v="M 7.0 - 133 km ESE of Ishinomaki, Japan"/>
        <s v="M 7.0 - 133 km SSE of Isangel, Vanuatu"/>
        <s v="M 7.0 - 150 km NNE of Maumere, Indonesia"/>
        <s v="M 7.0 - 153 km NW of Tobelo, Indonesia"/>
        <s v="M 7.0 - 153 km SSW of Padang, Indonesia"/>
        <s v="M 7.0 - 160 km SE of Chipinge, Zimbabwe"/>
        <s v="M 7.0 - 175 km NE of Gisborne, New Zealand"/>
        <s v="M 7.0 - 18 km SW of Malango, Solomon Islands"/>
        <s v="M 7.0 - 19 km NE of Methven, New Zealand"/>
        <s v="M 7.0 - 191 km ESE of Kokopo, Papua New Guinea"/>
        <s v="M 7.0 - 209 km SSE of Isangel, Vanuatu"/>
        <s v="M 7.0 - 211 km SE of Pondaguitan, Philippines"/>
        <s v="M 7.0 - 22 km NNE of Azángaro, Peru"/>
        <s v="M 7.0 - 220 km NNE of Palu, Indonesia"/>
        <s v="M 7.0 - 234 km W of Abepura, Indonesia"/>
        <s v="M 7.0 - 25 km WNW of Illapel, Chile"/>
        <s v="M 7.0 - 26 km SSE of Karluk, Alaska"/>
        <s v="M 7.0 - 26 km WSW of Carúpano, Venezuela"/>
        <s v="M 7.0 - 260 km WSW of Abepura, Indonesia"/>
        <s v="M 7.0 - 27 km SSW of ?funato, Japan"/>
        <s v="M 7.0 - 278 km NE of Lospalos, Timor Leste"/>
        <s v="M 7.0 - 28 km S of Nabire, Indonesia"/>
        <s v="M 7.0 - 29 km WNW of Luganville, Vanuatu"/>
        <s v="M 7.0 - 3 km NW of Norsup, Vanuatu"/>
        <s v="M 7.0 - 30 km E of Ishinomaki, Japan"/>
        <s v="M 7.0 - 33 km NW of Lata, Solomon Islands"/>
        <s v="M 7.0 - 34 km ESE of Port-Olry, Vanuatu"/>
        <s v="M 7.0 - 37 km E of Balkanabat, Turkmenistan"/>
        <s v="M 7.0 - 40 km S of Kimbe, Papua New Guinea"/>
        <s v="M 7.0 - 43 km SSW of Masachapa, Nicaragua"/>
        <s v="M 7.0 - 45 km SE of Sucúa, Ecuador"/>
        <s v="M 7.0 - 50 km WNW of Aitape, Papua New Guinea"/>
        <s v="M 7.0 - 51 km SW of Nemuro, Japan"/>
        <s v="M 7.0 - 52 km NW of Santa Cruz, Chile"/>
        <s v="M 7.0 - 52 km SE of Lata, Solomon Islands"/>
        <s v="M 7.0 - 6 km ESE of Kumamoto, Japan"/>
        <s v="M 7.0 - 64 km ESE of Contamana, Peru"/>
        <s v="M 7.0 - 66 km SSW of Banjar, Indonesia"/>
        <s v="M 7.0 - 69 km ENE of San Luis, Mexico"/>
        <s v="M 7.0 - 69 km SSE of Inarajan Village, Guam"/>
        <s v="M 7.0 - 70 km SE of Katsuren-haebaru, Japan"/>
        <s v="M 7.0 - 72 km ESE of Kimbe, Papua New Guinea"/>
        <s v="M 7.0 - 80 km WNW of Lata, Solomon Islands"/>
        <s v="M 7.0 - 85 km ENE of Tadine, New Caledonia"/>
        <s v="M 7.0 - 88 km W of Kandrian, Papua New Guinea"/>
        <s v="M 7.0 - 95 km ENE of Kuril’sk, Russia"/>
        <s v="M 7.0 - 95 km W of Pariaman, Indonesia"/>
        <s v="M 7.0 - 96 km ESE of Pondaguitan, Philippines"/>
        <s v="M 7.0 - 96 km N of Tuban, Indonesia"/>
        <s v="M 7.0 - 97 km NW of Gorontalo, Indonesia"/>
        <s v="M 7.0 - Acapulco, Mexico"/>
        <s v="M 7.0 - Kermadec Islands region"/>
        <s v="M 7.0 - Near the south coast of Papua, Indonesia"/>
        <s v="M 7.0 - New Guinea, Papua New Guinea"/>
        <s v="M 7.0 - south of the Fiji Islands"/>
        <s v="M 7.0 - southeast of the Loyalty Islands"/>
        <s v="M 7.0 - Vanuatu"/>
        <s v="M 7.1 - 1 km S of Matzaco, Mexico"/>
        <s v="M 7.1 - 1 km SE of Point MacKenzie, Alaska"/>
        <s v="M 7.1 - 112 km WSW of Lata, Solomon Islands"/>
        <s v="M 7.1 - 119 km S of Isangel, Vanuatu"/>
        <s v="M 7.1 - 125 km W of Port-Vila, Vanuatu"/>
        <s v="M 7.1 - 136 km W of Iñapari, Peru"/>
        <s v="M 7.1 - 137 km WNW of Ternate, Indonesia"/>
        <s v="M 7.1 - 138 km SW of Palimbang, Philippines"/>
        <s v="M 7.1 - 138km E of Bitung, Indonesia"/>
        <s v="M 7.1 - 14 km NE of Cabatuan, Philippines"/>
        <s v="M 7.1 - 143 km SW of Panguna, Papua New Guinea"/>
        <s v="M 7.1 - 155 km NW of Ternate, Indonesia"/>
        <s v="M 7.1 - 16 km NE of Port-Olry, Vanuatu"/>
        <s v="M 7.1 - 16 km WSW of Atiquipa, Peru"/>
        <s v="M 7.1 - 161 km S of ?yama, Japan"/>
        <s v="M 7.1 - 170 km SSE of Teluk Dalam, Indonesia"/>
        <s v="M 7.1 - 18km W of Searles Valley, CA"/>
        <s v="M 7.1 - 20 km SSW of Merizo Village, Guam"/>
        <s v="M 7.1 - 23 km NE of Constitución, Chile"/>
        <s v="M 7.1 - 238 km ESE of Tadine, New Caledonia"/>
        <s v="M 7.1 - 24 km SSW of Santa María Chico Ometepec, Mexico"/>
        <s v="M 7.1 - 25 km SSE of Wau, Papua New Guinea"/>
        <s v="M 7.1 - 255 km W of Riverton, New Zealand"/>
        <s v="M 7.1 - 27 km NNE of Van, Turkey"/>
        <s v="M 7.1 - 29 km ESE of Harnai, Pakistan"/>
        <s v="M 7.1 - 29 km ESE of Ishinomaki, Japan"/>
        <s v="M 7.1 - 29 km SSW of Nabire, Indonesia"/>
        <s v="M 7.1 - 297 km NE of Lospalos, Timor Leste"/>
        <s v="M 7.1 - 30 km SW of Hengchun, Taiwan"/>
        <s v="M 7.1 - 31 km NE of Port-Olry, Vanuatu"/>
        <s v="M 7.1 - 32 km SE of Lata, Solomon Islands"/>
        <s v="M 7.1 - 33km NW of Bulolo, Papua New Guinea"/>
        <s v="M 7.1 - 34 km SSE of Antofagasta, Chile"/>
        <s v="M 7.1 - 36 km SW of Monte Patria, Chile"/>
        <s v="M 7.1 - 37 km W of Atiquipa, Peru"/>
        <s v="M 7.1 - 4 km SE of Sagbayan, Philippines"/>
        <s v="M 7.1 - 47 km ESE of Pedro Bay, Alaska"/>
        <s v="M 7.1 - 51 km SSE of Kokopo, Papua New Guinea"/>
        <s v="M 7.1 - 56 km WSW of Panguna, Papua New Guinea"/>
        <s v="M 7.1 - 60 km ENE of Pondaguitan, Philippines"/>
        <s v="M 7.1 - 64 km S of Port-Vila, Vanuatu"/>
        <s v="M 7.1 - 67 km ENE of Hualien City, Taiwan"/>
        <s v="M 7.1 - 69 km S of Tabiauan, Philippines"/>
        <s v="M 7.1 - 73 km ENE of Namie, Japan"/>
        <s v="M 7.1 - 8 km NNE of Palapag, Philippines"/>
        <s v="M 7.1 - 83 km SE of Naze, Japan"/>
        <s v="M 7.1 - 85 km S of Tungor, Russia"/>
        <s v="M 7.1 - 92 km ENE of Kimbe, Papua New Guinea"/>
        <s v="M 7.1 - 94 km SE of Gizo, Solomon Islands"/>
        <s v="M 7.1 - Banda Sea"/>
        <s v="M 7.1 - Ecuador"/>
        <s v="M 7.1 - Fiji region"/>
        <s v="M 7.1 - Hector Mine, CA Earthquake"/>
        <s v="M 7.1 - Kermadec Islands, New Zealand"/>
        <s v="M 7.1 - off the east coast of Honshu, Japan"/>
        <s v="M 7.1 - South Sandwich Islands region"/>
        <s v="M 7.1 - southeast of the Loyalty Islands"/>
        <s v="M 7.2 - 10 km W of Azángaro, Peru"/>
        <s v="M 7.2 - 100 km WNW of Sola, Vanuatu"/>
        <s v="M 7.2 - 104 km W of Murghob, Tajikistan"/>
        <s v="M 7.2 - 117 km N of Finschhafen, Papua New Guinea"/>
        <s v="M 7.2 - 117 km SSW of Hihifo, Tonga"/>
        <s v="M 7.2 - 12km SW of Delta, B.C., MX"/>
        <s v="M 7.2 - 13 km NW of Ocozocoautla de Espinosa, Mexico"/>
        <s v="M 7.2 - 139 km WNW of Panguna, Papua New Guinea"/>
        <s v="M 7.2 - 153 km W of Big Lagoon, California"/>
        <s v="M 7.2 - 158 km E of Kuril’sk, Russia"/>
        <s v="M 7.2 - 164 km WSW of Sungai Penuh, Indonesia"/>
        <s v="M 7.2 - 196 km SSE of Sarangani, Philippines"/>
        <s v="M 7.2 - 226 km SE of Hotan, China"/>
        <s v="M 7.2 - 252 km ENE of Kuril’sk, Russia"/>
        <s v="M 7.2 - 27 km SSE of Nuwaybi‘a, Egypt"/>
        <s v="M 7.2 - 284 km WNW of Sabang, Indonesia"/>
        <s v="M 7.2 - 3 km E of Bahía de Caráquez, Ecuador"/>
        <s v="M 7.2 - 32 km SSW of Pizarro, Colombia"/>
        <s v="M 7.2 - 4 km S of Pinotepa de Don Luis, Mexico"/>
        <s v="M 7.2 - 42 km NNW of Carahue, Chile"/>
        <s v="M 7.2 - 45 km SSW of Meulaboh, Indonesia"/>
        <s v="M 7.2 - 46 km WNW of El Habillal, Mexico"/>
        <s v="M 7.2 - 46 km WSW of Dalbandin, Pakistan"/>
        <s v="M 7.2 - 50 km WNW of Port-Vila, Vanuatu"/>
        <s v="M 7.2 - 51 km N of Barranca, Peru"/>
        <s v="M 7.2 - 56 km E of Luganville, Vanuatu"/>
        <s v="M 7.2 - 56 km NW of Te Anau, New Zealand"/>
        <s v="M 7.2 - 58 km WSW of Panguna, Papua New Guinea"/>
        <s v="M 7.2 - 66 km ESE of Ishinomaki, Japan"/>
        <s v="M 7.2 - 71 km SSW of Port-Vila, Vanuatu"/>
        <s v="M 7.2 - 75 km N of San Antonio de los Cobres, Argentina"/>
        <s v="M 7.2 - 8 km S of Düzce, Turkey"/>
        <s v="M 7.2 - 80 km S of Mil’kovo, Russia"/>
        <s v="M 7.2 - 9 km ENE of Coyuquilla Norte, Mexico"/>
        <s v="M 7.2 - 93km NNE of Laiwui, Indonesia"/>
        <s v="M 7.2 - 94 km SE of Shing?, Japan"/>
        <s v="M 7.2 - 97 km S of Lata, Solomon Islands"/>
        <s v="M 7.2 - 98 km S of Sand Point, Alaska"/>
        <s v="M 7.2 - Nicobar Islands, India region"/>
        <s v="M 7.2 - Nippes, Haiti"/>
        <s v="M 7.2 - off the west coast of northern Sumatra"/>
        <s v="M 7.2 - south of the Fiji Islands"/>
        <s v="M 7.2 - South Sandwich Islands region"/>
        <s v="M 7.2 - southeast of the Loyalty Islands"/>
        <s v="M 7.3 - 11 km WNW of San Agustín, Colombia"/>
        <s v="M 7.3 - 116km NE of L'Esperance Rock, New Zealand"/>
        <s v="M 7.3 - 120 km SE of ?funato, Japan"/>
        <s v="M 7.3 - 125 km NNE of Lospalos, Timor Leste"/>
        <s v="M 7.3 - 126 km S of Puerto El Triunfo, El Salvador"/>
        <s v="M 7.3 - 126 km W of Kirakira, Solomon Islands"/>
        <s v="M 7.3 - 14 km WNW of Bolitoc, Philippines"/>
        <s v="M 7.3 - 141 km W of Isangel, Vanuatu"/>
        <s v="M 7.3 - 146 km NW of Sola, Vanuatu"/>
        <s v="M 7.3 - 182 km NE of Gisborne, New Zealand"/>
        <s v="M 7.3 - 187 km SE of Ust’-Kamchatsk Staryy, Russia"/>
        <s v="M 7.3 - 189 km SSE of Tabiauan, Philippines"/>
        <s v="M 7.3 - 190 km ENE of Kokopo, Papua New Guinea"/>
        <s v="M 7.3 - 201 km ESE of Tadine, New Caledonia"/>
        <s v="M 7.3 - 205 km ESE of Neiafu, Tonga"/>
        <s v="M 7.3 - 234 km SE of ?funato, Japan"/>
        <s v="M 7.3 - 29 km S of ?alabja, Iraq"/>
        <s v="M 7.3 - 29 km S of Aktash, Russia"/>
        <s v="M 7.3 - 292km NW of Saumlaki, Indonesia"/>
        <s v="M 7.3 - 33 km NW of Port-Vila, Vanuatu"/>
        <s v="M 7.3 - 40 km ENE of Carúpano, Venezuela"/>
        <s v="M 7.3 - 46 km NW of Guanaja, Honduras"/>
        <s v="M 7.3 - 46 km SSW of Adak, Alaska"/>
        <s v="M 7.3 - 57 km ENE of Namie, Japan"/>
        <s v="M 7.3 - 58 km E of Q?’en, Iran"/>
        <s v="M 7.3 - 71 km SW of Isangel, Vanuatu"/>
        <s v="M 7.3 - 74 km S of Intipucá, El Salvador"/>
        <s v="M 7.3 - 77 km ENE of Ba, Fiji"/>
        <s v="M 7.3 - Alaska Peninsula"/>
        <s v="M 7.3 - Flores Sea"/>
        <s v="M 7.3 - Near the south coast of Papua, Indonesia"/>
        <s v="M 7.3 - Nepal"/>
        <s v="M 7.3 - New Britain region, Papua New Guinea"/>
        <s v="M 7.3 - South Sandwich Islands region"/>
        <s v="M 7.3 - Southern Qinghai, China"/>
        <s v="M 7.3 - Vanuatu region"/>
        <s v="M 7.4 - 102 km SSE of Bengkulu, Indonesia"/>
        <s v="M 7.4 - 112 km S of Kirakira, Solomon Islands"/>
        <s v="M 7.4 - 118 km ESE of Shing?, Japan"/>
        <s v="M 7.4 - 119 km ESE of Shizunai-furukawach?, Japan"/>
        <s v="M 7.4 - 124 km W of Lebu, Chile"/>
        <s v="M 7.4 - 135 km NW of Gorontalo, Indonesia"/>
        <s v="M 7.4 - 143 km NW of Sola, Vanuatu"/>
        <s v="M 7.4 - 18 km WNW of Basse-Pointe, Martinique"/>
        <s v="M 7.4 - 292 km SW of Vaini, Tonga"/>
        <s v="M 7.4 - 33 km S of Champerico, Guatemala"/>
        <s v="M 7.4 - 5 km N of Azoyú, Mexico"/>
        <s v="M 7.4 - 50 km NW of Sinabang, Indonesia"/>
        <s v="M 7.4 - 51 km SW of Jurm, Afghanistan"/>
        <s v="M 7.4 - 56 km NW of Sinabang, Indonesia"/>
        <s v="M 7.4 - 6 km E of Santiago Llano Grande, Mexico"/>
        <s v="M 7.4 - 63 km W of Kimbe, Papua New Guinea"/>
        <s v="M 7.4 - 86 km WNW of Manokwari, Indonesia"/>
        <s v="M 7.4 - 9 km SE of Santa María Xadani, Mexico"/>
        <s v="M 7.4 - Kermadec Islands, New Zealand"/>
        <s v="M 7.4 - south of the Kermadec Islands"/>
        <s v="M 7.5 - 110 km SW of Edna Bay, Alaska"/>
        <s v="M 7.5 - 111km ESE of Palora, Ecuador"/>
        <s v="M 7.5 - 123 km WSW of Puerto Santa, Peru"/>
        <s v="M 7.5 - 126 km WNW of Ternate, Indonesia"/>
        <s v="M 7.5 - 131 km SSW of Kokopo, Papua New Guinea"/>
        <s v="M 7.5 - 15 km W of San Baltazar Loxicha, Mexico"/>
        <s v="M 7.5 - 155 km E of Kendari, Indonesia"/>
        <s v="M 7.5 - 166 km ESE of Tadine, New Caledonia"/>
        <s v="M 7.5 - 203 km NNE of Barra Patuca, Honduras"/>
        <s v="M 7.5 - 21 km SE of Lukatan, Philippines"/>
        <s v="M 7.5 - 221 km SSE of Severo-Kuril’sk, Russia"/>
        <s v="M 7.5 - 254 km SSE of Ishigaki, Japan"/>
        <s v="M 7.5 - 266 km N of Bamboo Flat, India"/>
        <s v="M 7.5 - 32 km SW of Tari, Papua New Guinea"/>
        <s v="M 7.5 - 35 km NNE of Rengasdengklok, Indonesia"/>
        <s v="M 7.5 - 39 km NW of Yurimaguas, Peru"/>
        <s v="M 7.5 - 4 km SSE of Ekinözü, Turkey"/>
        <s v="M 7.5 - 43 km NNW of Barranca, Peru"/>
        <s v="M 7.5 - 53 km SE of Kokopo, Papua New Guinea"/>
        <s v="M 7.5 - 63 km NW of Maubara, Timor Leste"/>
        <s v="M 7.5 - 70 km SW of Panguna, Papua New Guinea"/>
        <s v="M 7.5 - 72 km N of Palu, Indonesia"/>
        <s v="M 7.5 - 92 km ESE of Lakatoro, Vanuatu"/>
        <s v="M 7.5 - Hindu Kush region, Afghanistan"/>
        <s v="M 7.5 - Mindanao, Philippines"/>
        <s v="M 7.5 - Nicobar Islands, India region"/>
        <s v="M 7.5 - South Sandwich Islands region"/>
        <s v="M 7.5 - western Xizang"/>
        <s v="M 7.6 - 102 km SSE of Manokwari, Indonesia"/>
        <s v="M 7.6 - 11 km ENE of Hojancha, Costa Rica"/>
        <s v="M 7.6 - 135 km E of Kokopo, Papua New Guinea"/>
        <s v="M 7.6 - 155 km WNW of Iñapari, Peru"/>
        <s v="M 7.6 - 16 km SSW of Cuyutlán, Mexico"/>
        <s v="M 7.6 - 185 km WNW of Iñapari, Peru"/>
        <s v="M 7.6 - 191 km S of ‘Ohonua, Tonga"/>
        <s v="M 7.6 - 21 km NNE of Muzaffar?b?d, Pakistan"/>
        <s v="M 7.6 - 30 km WSW of Pariaman, Indonesia"/>
        <s v="M 7.6 - 35 km SSW of Aguililla, Mexico"/>
        <s v="M 7.6 - 4 km ESE of Derince, Turkey"/>
        <s v="M 7.6 - 41 km SW of Quellón, Chile"/>
        <s v="M 7.6 - 46km SSE of Namatanai, Papua New Guinea"/>
        <s v="M 7.6 - 51 km SW of Punta de Bombón, Peru"/>
        <s v="M 7.6 - 61 km W of Bantogon, Philippines"/>
        <s v="M 7.6 - 68 km ESE of Aitape, Papua New Guinea"/>
        <s v="M 7.6 - 70 km E of Kainantu, Papua New Guinea"/>
        <s v="M 7.6 - 80 km NE of Tilichiki, Russia"/>
        <s v="M 7.6 - 89 km E of Luwuk, Indonesia"/>
        <s v="M 7.6 - 89 km E of Sulangan, Philippines"/>
        <s v="M 7.6 - 93 km SSE of Kirakira, Solomon Islands"/>
        <s v="M 7.6 - 95 km WNW of Hihifo, Tonga"/>
        <s v="M 7.6 - 99 km SE of Sand Point, Alaska"/>
        <s v="M 7.6 - Kermadec Islands region"/>
        <s v="M 7.6 - Pulau Pulau Tanimbar, Indonesia"/>
        <s v="M 7.6 - Scotia Sea"/>
        <s v="M 7.7 - 113 km NW of Bela, Pakistan"/>
        <s v="M 7.7 - 123 km NNW of Lucea, Jamaica"/>
        <s v="M 7.7 - 140 km WNW of Manokwari, Indonesia"/>
        <s v="M 7.7 - 148 km NW of Sola, Vanuatu"/>
        <s v="M 7.7 - 155 km WNW of Panguna, Papua New Guinea"/>
        <s v="M 7.7 - 156 km ENE of Poronaysk, Russia"/>
        <s v="M 7.7 - 17 km NW of Bhach?u, India"/>
        <s v="M 7.7 - 171 km NNW of Sola, Vanuatu"/>
        <s v="M 7.7 - 21 km S of Puli, Taiwan"/>
        <s v="M 7.7 - 226 km SSW of Singaparna, Indonesia"/>
        <s v="M 7.7 - 249 km E of Vao, New Caledonia"/>
        <s v="M 7.7 - 264 km ESE of Luwuk, Indonesia"/>
        <s v="M 7.7 - 272 km ESE of Kamaishi, Japan"/>
        <s v="M 7.7 - 28 km SSW of Puerto El Triunfo, El Salvador"/>
        <s v="M 7.7 - 36 km ESE of Tocopilla, Chile"/>
        <s v="M 7.7 - 53 km SW of Iquique, Chile"/>
        <s v="M 7.7 - 60 km SW of Changuillo, Peru"/>
        <s v="M 7.7 - 79 km ESE of Kh?sh, Iran"/>
        <s v="M 7.7 - Komandorskiye Ostrova, Russia region"/>
        <s v="M 7.7 - Pagan region, Northern Mariana Islands"/>
        <s v="M 7.7 - Scotia Sea"/>
        <s v="M 7.7 - southeast of the Loyalty Islands"/>
        <s v="M 7.8 - 102 km ENE of Iquique, Chile"/>
        <s v="M 7.8 - 135 km SE of Kokopo, Papua New Guinea"/>
        <s v="M 7.8 - 138 km SSW of Kokopo, Papua New Guinea"/>
        <s v="M 7.8 - 148 km WSW of Sungai Penuh, Indonesia"/>
        <s v="M 7.8 - 156 km S of Ust’-Kamchatsk Staryy, Russia"/>
        <s v="M 7.8 - 192 km WSW of Haveluloto, Tonga"/>
        <s v="M 7.8 - 196 km NW of Sola, Vanuatu"/>
        <s v="M 7.8 - 206 km SW of Prince Rupert, Canada"/>
        <s v="M 7.8 - 215 km SW of Sungai Penuh, Indonesia"/>
        <s v="M 7.8 - 27 km SSE of Muisne, Ecuador"/>
        <s v="M 7.8 - 53 km NNE of Amberley, New Zealand"/>
        <s v="M 7.8 - 67 km NNE of Bharatpur, Nepal"/>
        <s v="M 7.8 - 69 km WSW of Kirakira, Solomon Islands"/>
        <s v="M 7.8 - 75 km E of Sinabang, Indonesia"/>
        <s v="M 7.8 - 97 km WSW of Te Anau, New Zealand"/>
        <s v="M 7.8 - 99 km SSE of Perryville, Alaska"/>
        <s v="M 7.8 - Bonin Islands, Japan region"/>
        <s v="M 7.8 - Central Turkey"/>
        <s v="M 7.8 - Southern Qinghai, China"/>
        <s v="M 7.8 - southwest of Sumatra, Indonesia"/>
        <s v="M 7.9 - 103 km S of Bengkulu, Indonesia"/>
        <s v="M 7.9 - 128 km ESE of Kuril’sk, Russia"/>
        <s v="M 7.9 - 140 km E of Kokopo, Papua New Guinea"/>
        <s v="M 7.9 - 169 km NNE of Maumere, Indonesia"/>
        <s v="M 7.9 - 181 km N of Palu, Indonesia"/>
        <s v="M 7.9 - 261 km SE of Chiniak, Alaska"/>
        <s v="M 7.9 - 35 km WNW of Panguna, Papua New Guinea"/>
        <s v="M 7.9 - 45 km S of Levuka, Fiji"/>
        <s v="M 7.9 - 47 km E of ?arai, Japan"/>
        <s v="M 7.9 - 58 km W of Tianpeng, China"/>
        <s v="M 7.9 - 75 km E of Cantwell, Alaska"/>
        <s v="M 7.9 - 77 km WSW of Adak, Alaska"/>
        <s v="M 7.9 - 87 km SW of Sungai Penuh, Indonesia"/>
        <s v="M 7.9 - Rat Islands, Aleutian Islands, Alaska"/>
        <s v="M 7.9 - South Indian Ocean"/>
        <s v="M 8.0 - 24 km N of Rabaul, Papua New Guinea"/>
        <s v="M 8.0 - 36 km NNE of Antofagasta, Chile"/>
        <s v="M 8.0 - 41 km SW of San Vicente de Cañete, Peru"/>
        <s v="M 8.0 - 47 km SSE of Pangai, Tonga"/>
        <s v="M 8.0 - 5 km E of El Colomo, Mexico"/>
        <s v="M 8.0 - 50 km ESE of Pangai, Tonga"/>
        <s v="M 8.0 - 75 km W of Lata, Solomon Islands"/>
        <s v="M 8.0 - 78 km NE of Navarro, Peru"/>
        <s v="M 8.1 - 101 km ENE of Biak, Indonesia"/>
        <s v="M 8.1 - 168 km SSW of Matavai, Samoa"/>
        <s v="M 8.1 - 45 km SSE of Gizo, Solomon Islands"/>
        <s v="M 8.1 - east of the Kuril Islands"/>
        <s v="M 8.1 - Kermadec Islands, New Zealand"/>
        <s v="M 8.1 - north of Macquarie Island"/>
        <s v="M 8.1 - South Sandwich Islands region"/>
        <s v="M 8.2 - 134 km SSW of Kushiro, Japan"/>
        <s v="M 8.2 - 267 km E of Levuka, Fiji"/>
        <s v="M 8.2 - 91 km ESE of Perryville, Alaska"/>
        <s v="M 8.2 - 93 km NW of Iquique, Chile"/>
        <s v="M 8.2 - 99 km SE of Perryville, Alaska"/>
        <s v="M 8.2 - near the coast of Chiapas, Mexico"/>
        <s v="M 8.2 - off the west coast of northern Sumatra"/>
        <s v="M 8.3 - 48 km W of Illapel, Chile"/>
        <s v="M 8.3 - Kuril Islands"/>
        <s v="M 8.3 - Sea of Okhotsk"/>
        <s v="M 8.4 - 122 km SW of Bengkulu, Indonesia"/>
        <s v="M 8.4 - 6 km SSW of Atico, Peru"/>
        <s v="M 8.6 - 78 km WSW of Singkil, Indonesia"/>
        <s v="M 8.6 - off the west coast of northern Sumatra"/>
        <s v="M 8.8 - 36 km WNW of Quirihue, Chile"/>
        <s v="M 9.1 - 2004 Sumatra - Andaman Islands Earthquake"/>
        <s v="M 9.1 - 2011 Great Tohoku Earthquake, Japan"/>
      </sharedItems>
    </cacheField>
    <cacheField name="magnitude" uniqueList="1" numFmtId="0" sqlType="0" hierarchy="0" level="0" databaseField="1">
      <sharedItems count="25" containsNumber="1" containsSemiMixedTypes="0" containsString="0" minValue="6.5" maxValue="9.1"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09"/>
        <n v="8.1"/>
        <n v="8.16"/>
        <n v="8.199999999999999"/>
        <n v="8.300000000000001"/>
        <n v="8.4"/>
        <n v="8.6"/>
        <n v="8.800000000000001"/>
        <n v="9.1"/>
      </sharedItems>
    </cacheField>
    <cacheField name="date_time" uniqueList="1" numFmtId="0" sqlType="0" hierarchy="0" level="0" databaseField="1">
      <sharedItems count="990">
        <s v="01/01/1996 08:05"/>
        <s v="01/01/1996 09:57"/>
        <s v="01/01/2001 06:57"/>
        <s v="01/01/2001 08:54"/>
        <s v="01/01/2014 16:03"/>
        <s v="01/02/2019 16:14"/>
        <s v="01/03/2013 13:20"/>
        <s v="01/03/2019 08:50"/>
        <s v="01/03/2023 05:36"/>
        <s v="01/04/1998 17:56"/>
        <s v="01/04/2007 20:39"/>
        <s v="01/04/2007 20:47"/>
        <s v="01/04/2007 21:11"/>
        <s v="01/04/2014 23:46"/>
        <s v="01/04/2014 23:57"/>
        <s v="01/05/2014 06:36"/>
        <s v="01/05/2015 08:06"/>
        <s v="01/05/2021 01:27"/>
        <s v="01/06/2016 22:56"/>
        <s v="01/08/2007 17:08"/>
        <s v="01/08/2019 18:28"/>
        <s v="01/09/2006 10:18"/>
        <s v="01/09/2013 11:52"/>
        <s v="01/09/2016 16:37"/>
        <s v="01/09/2019 15:54"/>
        <s v="01/09/2020 04:09"/>
        <s v="01/09/2020 21:09"/>
        <s v="01/10/2003 01:03"/>
        <s v="01/10/2009 01:52"/>
        <s v="01/10/2013 03:38"/>
        <s v="01/11/1995 00:35"/>
        <s v="01/11/2014 18:57"/>
        <s v="01/11/2017 02:23"/>
        <s v="02/01/2002 17:22"/>
        <s v="02/01/2011 20:20"/>
        <s v="02/02/2012 13:34"/>
        <s v="02/02/2013 14:17"/>
        <s v="02/02/2014 09:26"/>
        <s v="02/03/2005 10:42"/>
        <s v="02/03/2014 20:11"/>
        <s v="02/03/2016 12:49"/>
        <s v="02/03/2022 12:52"/>
        <s v="02/03/2023 18:04"/>
        <s v="02/04/2018 13:40"/>
        <s v="02/04/2023 18:04"/>
        <s v="02/05/2020 12:51"/>
        <s v="02/06/2017 22:24"/>
        <s v="02/07/2005 02:16"/>
        <s v="02/07/2023 10:27"/>
        <s v="02/08/1996 12:55"/>
        <s v="02/08/2019 12:03"/>
        <s v="02/09/1997 12:13"/>
        <s v="02/09/1998 08:37"/>
        <s v="02/09/2007 01:05"/>
        <s v="02/09/2009 07:55"/>
        <s v="02/10/2000 02:25"/>
        <s v="02/10/2021 06:29"/>
        <s v="02/11/2002 01:26"/>
        <s v="02/11/2004 10:02"/>
        <s v="02/12/1996 22:17"/>
        <s v="02/12/2001 13:01"/>
        <s v="02/12/2005 13:13"/>
        <s v="02/12/2010 03:12"/>
        <s v="02/12/2014 05:11"/>
        <s v="03/01/2002 10:17"/>
        <s v="03/01/2009 19:43"/>
        <s v="03/01/2009 20:23"/>
        <s v="03/01/2009 22:33"/>
        <s v="03/01/2010 21:48"/>
        <s v="03/01/2010 22:36"/>
        <s v="03/01/2016 23:05"/>
        <s v="03/01/2017 21:52"/>
        <s v="03/02/1996 11:14"/>
        <s v="03/02/2002 07:11"/>
        <s v="03/02/2022 15:58"/>
        <s v="03/03/1996 14:55"/>
        <s v="03/03/1996 16:37"/>
        <s v="03/03/2000 22:22"/>
        <s v="03/03/2002 12:08"/>
        <s v="03/03/2008 14:11"/>
        <s v="03/04/1998 22:01"/>
        <s v="03/04/1999 06:17"/>
        <s v="03/04/2014 01:58"/>
        <s v="03/04/2014 02:43"/>
        <s v="03/04/2016 08:23"/>
        <s v="03/04/2017 17:40"/>
        <s v="03/04/2023 03:06"/>
        <s v="03/05/1998 23:30"/>
        <s v="03/05/2004 04:36"/>
        <s v="03/05/2006 15:26"/>
        <s v="03/06/2020 07:35"/>
        <s v="03/08/2000 01:09"/>
        <s v="03/08/2009 17:59"/>
        <s v="03/08/2014 00:22"/>
        <s v="03/09/1998 17:37"/>
        <s v="03/09/2010 16:35"/>
        <s v="03/09/2011 22:55"/>
        <s v="03/10/1995 01:51"/>
        <s v="03/10/1995 12:44"/>
        <s v="03/11/2002 22:12"/>
        <s v="03/12/1995 18:01"/>
        <s v="04/01/2006 08:32"/>
        <s v="04/02/1997 10:37"/>
        <s v="04/03/1999 05:38"/>
        <s v="04/03/1999 08:52"/>
        <s v="04/03/2010 14:02"/>
        <s v="04/03/2021 13:27"/>
        <s v="04/03/2021 17:41"/>
        <s v="04/03/2021 19:28"/>
        <s v="04/03/2021 23:12"/>
        <s v="04/03/2023 06:41"/>
        <s v="04/04/2010 22:40"/>
        <s v="04/05/2000 04:21"/>
        <s v="04/05/2018 22:32"/>
        <s v="04/06/2000 16:28"/>
        <s v="04/06/2000 16:39"/>
        <s v="04/07/2014 15:00"/>
        <s v="04/08/1998 18:59"/>
        <s v="04/08/2000 21:13"/>
        <s v="04/08/2003 04:37"/>
        <s v="04/08/2010 07:15"/>
        <s v="04/08/2010 22:01"/>
        <s v="04/09/2013 00:18"/>
        <s v="04/09/2013 02:32"/>
        <s v="04/10/2000 16:58"/>
        <s v="04/11/2015 03:44"/>
        <s v="04/11/2017 09:00"/>
        <s v="04/11/2019 22:43"/>
        <s v="04/12/2022 19:24"/>
        <s v="05/01/2010 12:15"/>
        <s v="05/01/2013 08:58"/>
        <s v="05/01/2019 19:25"/>
        <s v="05/02/2002 13:27"/>
        <s v="05/02/2004 21:05"/>
        <s v="05/02/2005 12:23"/>
        <s v="05/03/2002 21:16"/>
        <s v="05/03/2010 11:47"/>
        <s v="05/03/2010 16:07"/>
        <s v="05/04/1997 12:23"/>
        <s v="05/04/1999 11:08"/>
        <s v="05/04/2004 21:24"/>
        <s v="05/05/1995 03:53"/>
        <s v="05/05/2015 01:44"/>
        <s v="05/07/2001 13:53"/>
        <s v="05/07/2005 01:52"/>
        <s v="05/08/2018 11:46"/>
        <s v="05/09/1996 23:42"/>
        <s v="05/09/2004 10:07"/>
        <s v="05/09/2004 14:57"/>
        <s v="05/09/2011 17:55"/>
        <s v="05/09/2012 14:42"/>
        <s v="05/09/2018 18:07"/>
        <s v="05/09/2022 04:52"/>
        <s v="05/10/2008 15:52"/>
        <s v="05/12/1997 11:26"/>
        <s v="05/12/2005 12:19"/>
        <s v="05/12/2018 04:18"/>
        <s v="05/12/2018 06:43"/>
        <s v="06/01/2019 17:27"/>
        <s v="06/02/1999 21:47"/>
        <s v="06/02/2000 11:33"/>
        <s v="06/02/2012 03:49"/>
        <s v="06/02/2013 01:12"/>
        <s v="06/02/2013 01:23"/>
        <s v="06/02/2013 01:54"/>
        <s v="06/02/2023 01:17"/>
        <s v="06/02/2023 01:28"/>
        <s v="06/02/2023 10:24"/>
        <s v="06/03/2018 14:13"/>
        <s v="06/04/2010 22:15"/>
        <s v="06/04/2013 04:42"/>
        <s v="06/04/2016 06:58"/>
        <s v="06/05/2019 21:19"/>
        <s v="06/05/2020 13:53"/>
        <s v="06/07/1997 09:54"/>
        <s v="06/07/2011 19:03"/>
        <s v="06/07/2017 08:03"/>
        <s v="06/07/2019 03:19"/>
        <s v="06/07/2020 22:54"/>
        <s v="06/09/2004 23:29"/>
        <s v="06/09/2018 15:49"/>
        <s v="06/10/1995 18:09"/>
        <s v="06/10/1997 12:30"/>
        <s v="06/10/2000 04:30"/>
        <s v="06/11/2003 10:38"/>
        <s v="06/12/1999 23:12"/>
        <s v="06/12/2000 17:11"/>
        <s v="06/12/2000 22:57"/>
        <s v="06/12/2004 14:15"/>
        <s v="06/12/2016 22:03"/>
        <s v="07/01/2015 05:07"/>
        <s v="07/01/2022 17:45"/>
        <s v="07/02/1996 21:36"/>
        <s v="07/02/2004 02:42"/>
        <s v="07/02/2013 18:59"/>
        <s v="07/02/2014 08:40"/>
        <s v="07/04/2006 08:30"/>
        <s v="07/04/2011 13:11"/>
        <s v="07/04/2011 14:32"/>
        <s v="07/04/2016 03:32"/>
        <s v="07/05/2008 16:45"/>
        <s v="07/05/2015 07:10"/>
        <s v="07/06/2000 23:45"/>
        <s v="07/06/2003 00:32"/>
        <s v="07/07/2001 09:38"/>
        <s v="07/07/2013 18:35"/>
        <s v="07/07/2013 20:30"/>
        <s v="07/07/2014 11:23"/>
        <s v="07/07/2019 15:08"/>
        <s v="07/08/2006 22:18"/>
        <s v="07/10/2009 22:03"/>
        <s v="07/10/2009 22:18"/>
        <s v="07/10/2009 23:13"/>
        <s v="07/11/2006 17:38"/>
        <s v="07/11/2012 16:35"/>
        <s v="07/11/2014 03:33"/>
        <s v="07/11/2015 07:31"/>
        <s v="07/11/2017 21:26"/>
        <s v="07/12/2012 08:18"/>
        <s v="07/12/2014 01:22"/>
        <s v="07/12/2015 07:50"/>
        <s v="08/01/2000 16:47"/>
        <s v="08/01/2006 11:34"/>
        <s v="08/01/2023 12:32"/>
        <s v="08/02/2004 08:58"/>
        <s v="08/02/2005 14:48"/>
        <s v="08/02/2013 11:12"/>
        <s v="08/02/2013 15:26"/>
        <s v="08/03/1999 12:25"/>
        <s v="08/03/2018 17:39"/>
        <s v="08/06/2022 00:55"/>
        <s v="08/08/2007 17:05"/>
        <s v="08/08/2017 13:19"/>
        <s v="08/09/2002 18:44"/>
        <s v="08/09/2008 18:52"/>
        <s v="08/09/2017 04:49"/>
        <s v="08/09/2021 01:47"/>
        <s v="08/10/2003 09:06"/>
        <s v="08/10/2004 08:27"/>
        <s v="08/10/2004 14:36"/>
        <s v="08/10/2005 03:50"/>
        <s v="08/10/2009 08:28"/>
        <s v="08/10/2017 22:34"/>
        <s v="08/11/1997 10:02"/>
        <s v="08/11/1999 16:45"/>
        <s v="08/11/2000 06:59"/>
        <s v="08/11/2009 19:41"/>
        <s v="08/11/2015 16:47"/>
        <s v="08/11/2019 10:44"/>
        <s v="08/12/2014 08:54"/>
        <s v="08/12/2016 14:49"/>
        <s v="08/12/2016 17:38"/>
        <s v="08/12/2016 21:56"/>
        <s v="09/01/2001 16:49"/>
        <s v="09/01/2023 17:47"/>
        <s v="09/02/2013 14:16"/>
        <s v="09/02/2013 21:02"/>
        <s v="09/03/2011 02:45"/>
        <s v="09/04/2004 15:23"/>
        <s v="09/04/2008 12:46"/>
        <s v="09/04/2019 17:53"/>
        <s v="09/05/2010 05:59"/>
        <s v="09/05/2017 13:52"/>
        <s v="09/07/1997 19:24"/>
        <s v="09/08/2000 11:41"/>
        <s v="09/08/2009 10:55"/>
        <s v="09/09/2005 07:26"/>
        <s v="09/09/2018 19:31"/>
        <s v="09/10/1995 15:35"/>
        <s v="09/10/1996 13:10"/>
        <s v="09/10/2004 21:26"/>
        <s v="09/10/2021 10:58"/>
        <s v="09/11/1997 22:56"/>
        <s v="09/11/1998 05:30"/>
        <s v="09/11/1998 05:38"/>
        <s v="09/11/2009 10:44"/>
        <s v="09/11/2018 01:49"/>
        <s v="09/11/2022 09:38"/>
        <s v="09/11/2022 09:51"/>
        <s v="09/11/2022 10:14"/>
        <s v="09/12/2015 10:21"/>
        <s v="09/12/2016 19:10"/>
        <s v="10/01/1998 08:20"/>
        <s v="10/01/2001 16:02"/>
        <s v="10/01/2002 11:14"/>
        <s v="10/01/2003 13:11"/>
        <s v="10/01/2010 00:27"/>
        <s v="10/01/2012 18:36"/>
        <s v="10/01/2017 06:13"/>
        <s v="10/01/2018 02:51"/>
        <s v="10/02/2017 14:03"/>
        <s v="10/02/2021 13:19"/>
        <s v="10/03/2013 22:51"/>
        <s v="10/03/2014 05:18"/>
        <s v="10/04/2005 10:29"/>
        <s v="10/04/2005 11:14"/>
        <s v="10/04/2016 10:28"/>
        <s v="10/05/1997 07:57"/>
        <s v="10/05/1999 20:33"/>
        <s v="10/05/2011 08:55"/>
        <s v="10/05/2017 23:23"/>
        <s v="10/05/2022 23:06"/>
        <s v="10/05/2023 16:02"/>
        <s v="10/06/1996 01:04"/>
        <s v="10/06/1996 04:03"/>
        <s v="10/06/1996 15:24"/>
        <s v="10/06/2004 15:19"/>
        <s v="10/07/2015 04:12"/>
        <s v="10/07/2023 20:28"/>
        <s v="10/08/2009 19:55"/>
        <s v="10/08/2010 05:23"/>
        <s v="10/08/2015 04:12"/>
        <s v="10/09/2007 01:49"/>
        <s v="10/09/2018 04:19"/>
        <s v="10/09/2022 23:47"/>
        <s v="10/10/2002 10:50"/>
        <s v="10/10/2002 12:28"/>
        <s v="10/10/2018 20:48"/>
        <s v="10/10/2018 23:16"/>
        <s v="10/11/2021 15:45"/>
        <s v="10/12/2003 04:38"/>
        <s v="10/12/2012 16:53"/>
        <s v="11/01/1997 20:28"/>
        <s v="11/01/2016 16:38"/>
        <s v="11/01/2021 21:32"/>
        <s v="11/01/2022 01:07"/>
        <s v="11/01/2022 11:35"/>
        <s v="11/01/2022 12:39"/>
        <s v="11/02/2009 17:34"/>
        <s v="11/02/2011 20:05"/>
        <s v="11/02/2015 18:57"/>
        <s v="11/03/1997 19:22"/>
        <s v="11/03/2003 07:27"/>
        <s v="11/03/2010 14:39"/>
        <s v="11/03/2010 14:55"/>
        <s v="11/03/2011 05:46"/>
        <s v="11/03/2011 06:15"/>
        <s v="11/03/2011 06:25"/>
        <s v="11/03/2011 08:19"/>
        <s v="11/03/2011 11:36"/>
        <s v="11/04/2010 09:40"/>
        <s v="11/04/2011 08:16"/>
        <s v="11/04/2012 08:38"/>
        <s v="11/04/2012 10:43"/>
        <s v="11/04/2012 22:55"/>
        <s v="11/04/2014 07:07"/>
        <s v="11/04/2014 08:16"/>
        <s v="11/04/2014 20:29"/>
        <s v="11/06/1996 18:22"/>
        <s v="11/07/1995 21:46"/>
        <s v="11/07/1999 14:14"/>
        <s v="11/07/2000 01:32"/>
        <s v="11/07/2014 19:22"/>
        <s v="11/07/2017 07:00"/>
        <s v="11/08/2021 17:46"/>
        <s v="11/09/2001 14:56"/>
        <s v="11/09/2008 00:00"/>
        <s v="11/09/2008 00:20"/>
        <s v="11/10/2021 09:10"/>
        <s v="11/11/2004 17:34"/>
        <s v="11/11/2004 21:26"/>
        <s v="11/11/2012 01:12"/>
        <s v="11/11/2012 22:14"/>
        <s v="11/11/2015 01:54"/>
        <s v="11/11/2015 02:46"/>
        <s v="11/11/2022 10:48"/>
        <s v="11/12/1999 18:03"/>
        <s v="11/12/2011 01:47"/>
        <s v="11/12/2018 02:26"/>
        <s v="12/01/1998 10:14"/>
        <s v="12/01/1998 16:36"/>
        <s v="12/01/2010 21:53"/>
        <s v="12/02/2008 12:50"/>
        <s v="12/02/2014 09:19"/>
        <s v="12/04/2012 07:15"/>
        <s v="12/04/2014 20:14"/>
        <s v="12/04/2019 11:40"/>
        <s v="12/05/2000 18:43"/>
        <s v="12/05/2008 06:28"/>
        <s v="12/05/2015 07:05"/>
        <s v="12/05/2015 21:12"/>
        <s v="12/05/2020 22:41"/>
        <s v="12/05/2021 14:05"/>
        <s v="12/06/2010 19:26"/>
        <s v="12/08/2009 22:48"/>
        <s v="12/08/2010 11:54"/>
        <s v="12/08/2015 18:49"/>
        <s v="12/08/2016 01:26"/>
        <s v="12/08/2021 18:32"/>
        <s v="12/08/2021 18:35"/>
        <s v="12/09/2007 11:10"/>
        <s v="12/09/2007 23:49"/>
        <s v="12/10/2001 15:02"/>
        <s v="12/10/2012 00:31"/>
        <s v="12/10/2013 13:11"/>
        <s v="12/11/1996 16:59"/>
        <s v="12/11/1999 16:57"/>
        <s v="12/11/2017 18:18"/>
        <s v="12/11/2022 07:09"/>
        <s v="12/12/2002 08:30"/>
        <s v="12/12/2005 21:47"/>
        <s v="13/01/2001 17:33"/>
        <s v="13/01/2007 04:23"/>
        <s v="13/01/2011 16:16"/>
        <s v="13/02/2001 14:22"/>
        <s v="13/02/2001 19:28"/>
        <s v="13/02/2020 10:33"/>
        <s v="13/02/2021 14:07"/>
        <s v="13/03/2022 21:09"/>
        <s v="13/04/1999 10:38"/>
        <s v="13/04/2010 23:49"/>
        <s v="13/04/2014 12:36"/>
        <s v="13/04/2014 13:24"/>
        <s v="13/04/2016 13:55"/>
        <s v="13/05/1995 08:47"/>
        <s v="13/05/1997 14:13"/>
        <s v="13/05/1998 23:02"/>
        <s v="13/05/2014 06:35"/>
        <s v="13/06/2005 22:44"/>
        <s v="13/06/2007 19:29"/>
        <s v="13/06/2008 23:43"/>
        <s v="13/06/2013 16:47"/>
        <s v="13/06/2020 15:51"/>
        <s v="13/08/2013 15:43"/>
        <s v="13/09/2002 22:28"/>
        <s v="13/09/2007 02:30"/>
        <s v="13/09/2007 03:35"/>
        <s v="13/09/2015 08:14"/>
        <s v="13/10/2018 11:10"/>
        <s v="13/11/2009 03:05"/>
        <s v="13/11/2015 20:51"/>
        <s v="13/11/2016 11:02"/>
        <s v="13/11/2016 11:32"/>
        <s v="13/11/2017 02:28"/>
        <s v="13/12/2017 18:03"/>
        <s v="14/01/2016 03:25"/>
        <s v="14/01/2018 09:18"/>
        <s v="14/01/2022 09:05"/>
        <s v="14/02/2008 10:09"/>
        <s v="14/02/2008 12:08"/>
        <s v="14/02/2011 03:40"/>
        <s v="14/02/2013 13:13"/>
        <s v="14/03/1998 19:40"/>
        <s v="14/03/2006 06:57"/>
        <s v="14/03/2010 08:08"/>
        <s v="14/04/2013 01:32"/>
        <s v="14/04/2023 09:55"/>
        <s v="14/05/1995 11:33"/>
        <s v="14/05/2005 05:05"/>
        <s v="14/05/2013 00:32"/>
        <s v="14/05/2019 12:58"/>
        <s v="14/05/2021 06:33"/>
        <s v="14/06/2017 07:29"/>
        <s v="14/07/2010 08:32"/>
        <s v="14/07/2019 05:39"/>
        <s v="14/07/2019 09:10"/>
        <s v="14/08/1995 04:37"/>
        <s v="14/08/2002 13:57"/>
        <s v="14/08/2012 02:59"/>
        <s v="14/08/2021 11:57"/>
        <s v="14/08/2021 12:29"/>
        <s v="14/08/2022 13:44"/>
        <s v="14/09/1995 14:04"/>
        <s v="14/09/2022 11:04"/>
        <s v="14/10/1996 23:26"/>
        <s v="14/10/1997 09:53"/>
        <s v="14/10/2011 03:35"/>
        <s v="14/10/2014 03:51"/>
        <s v="14/11/2001 09:26"/>
        <s v="14/11/2007 15:40"/>
        <s v="14/11/2016 00:34"/>
        <s v="14/11/2019 16:17"/>
        <s v="14/12/2004 23:20"/>
        <s v="14/12/2011 05:04"/>
        <s v="14/12/2021 03:20"/>
        <s v="15/01/2019 18:06"/>
        <s v="15/02/2005 14:42"/>
        <s v="15/04/2016 16:25"/>
        <s v="15/05/2020 11:03"/>
        <s v="15/06/1995 00:15"/>
        <s v="15/06/1999 20:42"/>
        <s v="15/06/2005 02:50"/>
        <s v="15/06/2013 17:34"/>
        <s v="15/06/2019 22:55"/>
        <s v="15/06/2023 18:06"/>
        <s v="15/07/1996 21:23"/>
        <s v="15/07/2003 18:46"/>
        <s v="15/07/2009 09:22"/>
        <s v="15/07/2013 14:03"/>
        <s v="15/08/2007 23:40"/>
        <s v="15/08/2018 21:56"/>
        <s v="15/10/1997 01:03"/>
        <s v="15/10/2004 04:08"/>
        <s v="15/10/2006 17:07"/>
        <s v="15/10/2007 12:29"/>
        <s v="15/10/2013 00:12"/>
        <s v="15/11/1997 18:59"/>
        <s v="15/11/2004 09:06"/>
        <s v="15/11/2006 11:14"/>
        <s v="15/11/2007 15:05"/>
        <s v="15/11/2014 02:31"/>
        <s v="15/12/2017 16:47"/>
        <s v="15/12/2019 06:11"/>
        <s v="16/01/2001 13:25"/>
        <s v="16/02/1996 15:22"/>
        <s v="16/02/2015 23:06"/>
        <s v="16/02/2018 23:39"/>
        <s v="16/02/2022 20:21"/>
        <s v="16/03/2010 02:21"/>
        <s v="16/03/2014 21:16"/>
        <s v="16/03/2021 18:38"/>
        <s v="16/03/2022 14:36"/>
        <s v="16/03/2023 00:56"/>
        <s v="16/04/2013 10:44"/>
        <s v="16/04/2013 22:55"/>
        <s v="16/04/2016 23:58"/>
        <s v="16/05/1995 20:12"/>
        <s v="16/05/1999 00:51"/>
        <s v="16/05/2006 15:28"/>
        <s v="16/06/2003 22:08"/>
        <s v="16/06/2010 03:16"/>
        <s v="16/06/2010 03:58"/>
        <s v="16/07/1996 10:07"/>
        <s v="16/07/1998 11:56"/>
        <s v="16/07/2000 03:57"/>
        <s v="16/07/2007 01:13"/>
        <s v="16/07/2007 14:17"/>
        <s v="16/07/2015 15:16"/>
        <s v="16/07/2023 06:48"/>
        <s v="16/08/1995 10:27"/>
        <s v="16/08/1995 16:24"/>
        <s v="16/08/1995 23:10"/>
        <s v="16/08/2005 02:46"/>
        <s v="16/08/2007 08:39"/>
        <s v="16/08/2009 07:38"/>
        <s v="16/08/2013 02:31"/>
        <s v="16/08/2021 11:10"/>
        <s v="16/08/2023 12:47"/>
        <s v="16/09/2011 19:26"/>
        <s v="16/09/2015 22:54"/>
        <s v="16/09/2015 23:18"/>
        <s v="16/09/2018 21:11"/>
        <s v="16/10/1999 09:46"/>
        <s v="16/10/2008 19:41"/>
        <s v="16/10/2013 10:30"/>
        <s v="16/10/2018 01:03"/>
        <s v="16/11/2000 04:54"/>
        <s v="16/11/2000 07:42"/>
        <s v="16/11/2000 07:45"/>
        <s v="16/11/2007 03:13"/>
        <s v="16/11/2008 17:02"/>
        <s v="16/11/2013 03:34"/>
        <s v="16/11/2014 22:33"/>
        <s v="16/12/2007 08:09"/>
        <s v="17/02/1996 05:59"/>
        <s v="17/02/1996 14:21"/>
        <s v="17/02/1996 20:18"/>
        <s v="17/03/1996 14:48"/>
        <s v="17/04/2012 03:50"/>
        <s v="17/04/2012 07:13"/>
        <s v="17/04/2015 15:52"/>
        <s v="17/05/1999 10:07"/>
        <s v="17/06/1996 11:22"/>
        <s v="17/06/2000 15:40"/>
        <s v="17/06/2002 21:26"/>
        <s v="17/07/1998 08:49"/>
        <s v="17/07/2006 08:19"/>
        <s v="17/07/2017 23:34"/>
        <s v="17/07/2020 02:50"/>
        <s v="17/07/2023 03:05"/>
        <s v="17/08/1999 00:01"/>
        <s v="17/08/2018 15:35"/>
        <s v="17/09/2014 06:14"/>
        <s v="17/09/2015 03:55"/>
        <s v="17/09/2015 04:10"/>
        <s v="17/09/2022 13:41"/>
        <s v="17/10/2006 01:25"/>
        <s v="17/10/2016 06:14"/>
        <s v="17/11/1999 03:27"/>
        <s v="17/11/2000 21:01"/>
        <s v="17/11/2005 19:26"/>
        <s v="17/11/2013 09:04"/>
        <s v="17/11/2015 07:10"/>
        <s v="17/12/2015 19:49"/>
        <s v="17/12/2016 10:51"/>
        <s v="18/01/2011 20:23"/>
        <s v="18/01/2023 06:06"/>
        <s v="18/02/2014 09:27"/>
        <s v="18/03/2023 17:12"/>
        <s v="18/04/2002 05:02"/>
        <s v="18/04/2002 16:08"/>
        <s v="18/04/2014 14:27"/>
        <s v="18/04/2023 04:31"/>
        <s v="18/05/2016 07:57"/>
        <s v="18/05/2016 16:46"/>
        <s v="18/06/2000 14:44"/>
        <s v="18/06/2002 13:56"/>
        <s v="18/06/2020 12:49"/>
        <s v="18/07/2010 13:04"/>
        <s v="18/07/2010 13:34"/>
        <s v="18/07/2015 02:27"/>
        <s v="18/08/2020 00:03"/>
        <s v="18/08/2020 22:23"/>
        <s v="18/08/2020 22:29"/>
        <s v="18/08/2021 10:10"/>
        <s v="18/09/2011 12:40"/>
        <s v="18/09/2020 21:43"/>
        <s v="18/09/2022 06:44"/>
        <s v="18/10/1995 10:37"/>
        <s v="18/10/1996 10:50"/>
        <s v="18/11/1997 13:07"/>
        <s v="18/11/2000 02:05"/>
        <s v="18/11/2000 06:54"/>
        <s v="18/11/2003 17:14"/>
        <s v="18/11/2015 18:31"/>
        <s v="18/11/2018 20:25"/>
        <s v="18/11/2022 13:37"/>
        <s v="18/12/2001 04:02"/>
        <s v="19/01/1999 03:35"/>
        <s v="19/01/2005 06:11"/>
        <s v="19/01/2017 23:04"/>
        <s v="19/02/2005 00:04"/>
        <s v="19/03/2001 05:52"/>
        <s v="19/03/2009 18:17"/>
        <s v="19/04/1996 00:19"/>
        <s v="19/04/2001 21:43"/>
        <s v="19/04/2013 03:05"/>
        <s v="19/04/2014 01:04"/>
        <s v="19/04/2014 13:28"/>
        <s v="19/05/2005 01:54"/>
        <s v="19/05/2022 10:13"/>
        <s v="19/05/2023 02:57"/>
        <s v="19/07/1997 14:22"/>
        <s v="19/07/2008 02:39"/>
        <s v="19/07/2023 00:22"/>
        <s v="19/08/1995 21:43"/>
        <s v="19/08/2018 00:19"/>
        <s v="19/08/2018 14:56"/>
        <s v="19/09/2017 18:14"/>
        <s v="19/09/2022 18:05"/>
        <s v="19/10/1995 02:41"/>
        <s v="19/10/1996 14:44"/>
        <s v="19/10/2001 03:28"/>
        <s v="19/10/2013 17:54"/>
        <s v="19/10/2016 00:26"/>
        <s v="19/10/2020 20:54"/>
        <s v="19/11/1996 10:44"/>
        <s v="19/11/1999 13:56"/>
        <s v="19/11/2005 14:10"/>
        <s v="19/11/2017 15:09"/>
        <s v="19/11/2017 22:43"/>
        <s v="19/12/1995 23:28"/>
        <s v="20/01/2003 08:43"/>
        <s v="20/01/2019 01:32"/>
        <s v="20/01/2023 22:09"/>
        <s v="20/02/2007 08:04"/>
        <s v="20/02/2008 08:08"/>
        <s v="20/03/1999 10:47"/>
        <s v="20/03/2005 01:53"/>
        <s v="20/03/2008 22:32"/>
        <s v="20/03/2012 18:02"/>
        <s v="20/03/2021 09:09"/>
        <s v="20/04/2006 23:25"/>
        <s v="20/04/2013 00:02"/>
        <s v="20/05/2015 22:48"/>
        <s v="20/05/2023 01:51"/>
        <s v="20/06/2003 13:30"/>
        <s v="20/06/2021 17:05"/>
        <s v="20/07/2017 22:31"/>
        <s v="20/08/1999 10:02"/>
        <s v="20/08/2011 16:55"/>
        <s v="20/08/2011 17:13"/>
        <s v="20/08/2011 18:19"/>
        <s v="20/09/1996 04:10"/>
        <s v="20/09/1996 04:11"/>
        <s v="20/09/1999 17:47"/>
        <s v="20/09/2007 08:31"/>
        <s v="20/10/2006 10:48"/>
        <s v="20/10/2015 21:52"/>
        <s v="20/10/2022 11:57"/>
        <s v="20/12/2007 07:55"/>
        <s v="20/12/2010 18:41"/>
        <s v="20/12/2018 17:01"/>
        <s v="21/01/2003 02:46"/>
        <s v="21/01/2007 11:27"/>
        <s v="21/01/2016 18:06"/>
        <s v="21/01/2021 12:23"/>
        <s v="21/02/1996 12:51"/>
        <s v="21/02/2017 14:09"/>
        <s v="21/03/2012 22:15"/>
        <s v="21/03/2023 16:47"/>
        <s v="21/04/1997 12:02"/>
        <s v="21/04/2012 01:16"/>
        <s v="21/04/2022 07:42"/>
        <s v="21/05/1997 14:10"/>
        <s v="21/05/1998 05:34"/>
        <s v="21/05/2003 18:44"/>
        <s v="21/05/2021 18:04"/>
        <s v="21/05/2021 22:13"/>
        <s v="21/06/2000 00:51"/>
        <s v="21/07/2013 05:09"/>
        <s v="21/07/2014 14:54"/>
        <s v="21/07/2021 21:15"/>
        <s v="21/08/2003 12:12"/>
        <s v="21/08/2018 21:31"/>
        <s v="21/08/2018 22:32"/>
        <s v="21/08/2020 04:09"/>
        <s v="21/09/2003 18:16"/>
        <s v="21/09/2015 17:40"/>
        <s v="21/10/1995 02:38"/>
        <s v="21/10/2010 17:53"/>
        <s v="21/11/2014 10:10"/>
        <s v="21/11/2016 20:59"/>
        <s v="21/12/1999 14:14"/>
        <s v="21/12/2012 22:28"/>
        <s v="21/12/2016 00:17"/>
        <s v="22/01/2003 02:06"/>
        <s v="22/01/2017 04:30"/>
        <s v="22/01/2019 19:01"/>
        <s v="22/02/2006 22:19"/>
        <s v="22/02/2019 10:17"/>
        <s v="22/03/2022 17:41"/>
        <s v="22/03/2023 16:00"/>
        <s v="22/04/1997 09:31"/>
        <s v="22/05/1997 07:50"/>
        <s v="22/05/1998 04:48"/>
        <s v="22/05/2006 11:12"/>
        <s v="22/05/2015 21:45"/>
        <s v="22/05/2015 23:59"/>
        <s v="22/06/2002 02:58"/>
        <s v="22/06/2011 21:50"/>
        <s v="22/06/2017 12:31"/>
        <s v="22/07/1996 14:19"/>
        <s v="22/07/2020 06:12"/>
        <s v="22/08/1999 12:40"/>
        <s v="22/08/2021 00:45"/>
        <s v="22/08/2021 21:33"/>
        <s v="22/09/2021 09:57"/>
        <s v="22/09/2022 06:16"/>
        <s v="22/10/2018 05:39"/>
        <s v="22/10/2018 06:16"/>
        <s v="22/10/2018 06:22"/>
        <s v="22/11/1995 04:15"/>
        <s v="22/11/2004 20:26"/>
        <s v="22/11/2007 08:48"/>
        <s v="22/11/2022 02:03"/>
        <s v="22/12/1996 14:53"/>
        <s v="22/12/1997 02:05"/>
        <s v="22/12/2003 19:15"/>
        <s v="23/01/2015 03:47"/>
        <s v="23/01/2018 09:31"/>
        <s v="23/01/2021 23:36"/>
        <s v="23/02/2023 00:37"/>
        <s v="23/04/1997 19:44"/>
        <s v="23/04/2004 01:50"/>
        <s v="23/04/2011 04:16"/>
        <s v="23/04/2013 23:14"/>
        <s v="23/05/2013 17:19"/>
        <s v="23/06/2001 20:33"/>
        <s v="23/06/2009 14:19"/>
        <s v="23/06/2014 19:19"/>
        <s v="23/06/2014 19:21"/>
        <s v="23/06/2014 20:06"/>
        <s v="23/06/2014 20:53"/>
        <s v="23/06/2015 12:18"/>
        <s v="23/06/2020 15:29"/>
        <s v="23/07/2008 15:26"/>
        <s v="23/07/2010 22:51"/>
        <s v="23/07/2021 20:48"/>
        <s v="23/09/1995 22:31"/>
        <s v="23/10/2002 11:27"/>
        <s v="23/10/2004 08:56"/>
        <s v="23/10/2011 10:41"/>
        <s v="23/11/2013 07:48"/>
        <s v="23/12/2001 22:52"/>
        <s v="23/12/2004 14:59"/>
        <s v="24/01/2016 10:30"/>
        <s v="24/01/2020 17:55"/>
        <s v="24/02/2001 07:23"/>
        <s v="24/02/2008 14:46"/>
        <s v="24/02/2017 17:28"/>
        <s v="24/03/2001 06:27"/>
        <s v="24/03/2011 13:55"/>
        <s v="24/04/2014 03:10"/>
        <s v="24/04/2017 21:38"/>
        <s v="24/04/2021 00:23"/>
        <s v="24/04/2023 00:41"/>
        <s v="24/04/2023 20:00"/>
        <s v="24/05/2013 05:44"/>
        <s v="24/05/2013 14:56"/>
        <s v="24/05/2014 09:25"/>
        <s v="24/06/2013 22:04"/>
        <s v="24/06/2019 02:53"/>
        <s v="24/07/2005 15:42"/>
        <s v="24/08/2006 21:50"/>
        <s v="24/08/2011 17:46"/>
        <s v="24/08/2014 23:21"/>
        <s v="24/08/2016 10:34"/>
        <s v="24/08/2018 09:04"/>
        <s v="24/09/2013 11:29"/>
        <s v="24/09/2015 15:53"/>
        <s v="24/09/2016 21:28"/>
        <s v="24/10/2007 21:02"/>
        <s v="24/10/2009 14:40"/>
        <s v="24/10/2012 00:45"/>
        <s v="24/10/2017 10:47"/>
        <s v="24/11/2015 22:45"/>
        <s v="24/11/2015 22:50"/>
        <s v="24/11/2016 18:43"/>
        <s v="25/02/1996 03:08"/>
        <s v="25/02/2008 08:36"/>
        <s v="25/02/2008 18:06"/>
        <s v="25/02/2008 21:02"/>
        <s v="25/02/2018 17:44"/>
        <s v="25/03/2003 02:53"/>
        <s v="25/03/2007 00:40"/>
        <s v="25/03/2007 00:41"/>
        <s v="25/03/2012 22:37"/>
        <s v="25/03/2020 02:49"/>
        <s v="25/04/2015 06:11"/>
        <s v="25/04/2015 06:45"/>
        <s v="25/04/2021 22:28"/>
        <s v="25/05/2023 03:05"/>
        <s v="25/08/2008 13:21"/>
        <s v="25/09/1999 23:52"/>
        <s v="25/09/2003 19:50"/>
        <s v="25/09/2003 21:08"/>
        <s v="25/09/2013 16:42"/>
        <s v="25/09/2019 23:46"/>
        <s v="25/10/2000 09:32"/>
        <s v="25/10/2010 14:42"/>
        <s v="25/10/2013 17:10"/>
        <s v="25/10/2018 22:54"/>
        <s v="25/11/1997 12:14"/>
        <s v="25/11/2000 18:09"/>
        <s v="25/11/2000 18:10"/>
        <s v="25/11/2003 20:19"/>
        <s v="25/11/2007 16:02"/>
        <s v="25/11/2007 19:53"/>
        <s v="25/11/2016 14:24"/>
        <s v="25/12/1995 04:43"/>
        <s v="25/12/2003 07:11"/>
        <s v="25/12/2010 13:16"/>
        <s v="25/12/2016 14:22"/>
        <s v="26/01/2001 03:16"/>
        <s v="26/02/2005 12:56"/>
        <s v="26/02/2010 20:31"/>
        <s v="26/02/2012 06:17"/>
        <s v="26/03/2018 09:51"/>
        <s v="26/04/2002 16:06"/>
        <s v="26/04/2015 07:09"/>
        <s v="26/05/2003 09:24"/>
        <s v="26/05/2003 19:23"/>
        <s v="26/05/2019 07:41"/>
        <s v="26/05/2022 12:02"/>
        <s v="26/06/2001 04:18"/>
        <s v="26/06/2010 05:30"/>
        <s v="26/07/2001 00:21"/>
        <s v="26/07/2007 05:40"/>
        <s v="26/08/2012 15:05"/>
        <s v="26/09/2005 01:55"/>
        <s v="26/09/2007 12:36"/>
        <s v="26/10/2015 09:09"/>
        <s v="26/11/1999 13:21"/>
        <s v="26/11/2004 02:25"/>
        <s v="26/11/2014 14:33"/>
        <s v="26/11/2015 05:45"/>
        <s v="26/12/2003 01:56"/>
        <s v="26/12/2004 00:58"/>
        <s v="26/12/2004 04:21"/>
        <s v="26/12/2004 09:20"/>
        <s v="26/12/2006 12:26"/>
        <s v="26/12/2006 12:34"/>
        <s v="27/02/1997 21:08"/>
        <s v="27/02/2010 06:34"/>
        <s v="27/02/2010 08:01"/>
        <s v="27/02/2015 13:45"/>
        <s v="27/05/1995 13:03"/>
        <s v="27/05/2010 17:14"/>
        <s v="27/06/2008 11:40"/>
        <s v="27/07/2015 04:49"/>
        <s v="27/07/2015 21:41"/>
        <s v="27/07/2022 00:43"/>
        <s v="27/08/2012 04:37"/>
        <s v="27/08/2019 23:55"/>
        <s v="27/09/2003 11:33"/>
        <s v="27/11/2007 11:49"/>
        <s v="27/12/1998 00:38"/>
        <s v="27/12/2003 16:00"/>
        <s v="27/12/2011 15:21"/>
        <s v="27/12/2020 21:39"/>
        <s v="28/01/1999 08:10"/>
        <s v="28/01/2000 14:21"/>
        <s v="28/01/2004 22:15"/>
        <s v="28/01/2020 19:10"/>
        <s v="28/02/2001 18:54"/>
        <s v="28/02/2013 14:05"/>
        <s v="28/03/1999 19:05"/>
        <s v="28/03/2002 04:56"/>
        <s v="28/03/2005 16:09"/>
        <s v="28/04/2012 10:08"/>
        <s v="28/04/2016 19:33"/>
        <s v="28/04/2017 20:23"/>
        <s v="28/04/2023 03:13"/>
        <s v="28/05/2006 03:12"/>
        <s v="28/05/2009 08:24"/>
        <s v="28/05/2016 05:38"/>
        <s v="28/05/2016 09:46"/>
        <s v="28/07/2001 07:32"/>
        <s v="28/07/2004 03:56"/>
        <s v="28/07/2012 20:03"/>
        <s v="28/08/1995 10:46"/>
        <s v="28/08/2000 15:05"/>
        <s v="28/08/2004 13:41"/>
        <s v="28/09/1998 13:34"/>
        <s v="28/09/2006 06:22"/>
        <s v="28/09/2013 07:34"/>
        <s v="28/09/2018 10:02"/>
        <s v="28/10/1997 06:15"/>
        <s v="28/10/2011 18:54"/>
        <s v="28/10/2012 03:04"/>
        <s v="28/11/2004 18:32"/>
        <s v="28/11/2021 10:52"/>
        <s v="29/01/2022 02:46"/>
        <s v="29/03/2015 23:48"/>
        <s v="29/03/2017 04:09"/>
        <s v="29/03/2018 21:25"/>
        <s v="29/04/1996 14:40"/>
        <s v="29/04/2006 16:58"/>
        <s v="29/05/2015 07:00"/>
        <s v="29/05/2017 14:35"/>
        <s v="29/06/1995 12:24"/>
        <s v="29/06/2014 07:52"/>
        <s v="29/06/2014 17:15"/>
        <s v="29/07/1998 18:00"/>
        <s v="29/07/2016 21:18"/>
        <s v="29/07/2021 06:15"/>
        <s v="29/08/1997 08:14"/>
        <s v="29/08/2018 03:51"/>
        <s v="29/09/2003 02:36"/>
        <s v="29/09/2005 15:50"/>
        <s v="29/09/2009 17:48"/>
        <s v="29/09/2010 17:11"/>
        <s v="29/09/2019 15:57"/>
        <s v="29/10/2000 08:37"/>
        <s v="29/10/2019 01:04"/>
        <s v="29/11/1998 14:10"/>
        <s v="29/11/2007 19:00"/>
        <s v="29/12/1999 13:29"/>
        <s v="29/12/2018 03:39"/>
        <s v="29/12/2021 18:25"/>
        <s v="30/01/1998 12:16"/>
        <s v="30/01/2013 20:15"/>
        <s v="30/01/2016 03:25"/>
        <s v="30/03/2010 16:54"/>
        <s v="30/03/2015 08:48"/>
        <s v="30/03/2022 20:56"/>
        <s v="30/04/2006 19:17"/>
        <s v="30/04/2006 21:40"/>
        <s v="30/04/2015 10:45"/>
        <s v="30/05/1998 06:22"/>
        <s v="30/05/2015 11:23"/>
        <s v="30/05/2019 09:03"/>
        <s v="30/07/1995 05:11"/>
        <s v="30/07/2000 12:25"/>
        <s v="30/08/2013 16:25"/>
        <s v="30/08/2020 21:20"/>
        <s v="30/09/1999 16:31"/>
        <s v="30/09/2009 10:16"/>
        <s v="30/09/2012 16:31"/>
        <s v="30/09/2013 05:55"/>
        <s v="30/09/2018 10:52"/>
        <s v="30/10/2009 07:03"/>
        <s v="30/10/2016 06:40"/>
        <s v="30/10/2020 11:51"/>
        <s v="30/11/1999 04:01"/>
        <s v="30/11/2018 17:29"/>
        <s v="31/03/2002 06:52"/>
        <s v="31/03/2020 23:52"/>
        <s v="31/03/2022 05:44"/>
        <s v="31/07/2002 00:16"/>
        <s v="31/07/2011 23:38"/>
        <s v="31/07/2019 15:02"/>
        <s v="31/08/2012 12:47"/>
        <s v="31/08/2016 03:11"/>
        <s v="31/10/2001 09:10"/>
        <s v="31/10/2003 01:06"/>
        <s v="31/10/2013 23:03"/>
        <s v="31/10/2017 00:42"/>
        <s v="31/10/2019 01:11"/>
      </sharedItems>
    </cacheField>
    <cacheField name="cdi" uniqueList="1" numFmtId="0" sqlType="0" hierarchy="0" level="0" databaseField="1">
      <sharedItems count="10" containsInteger="1" containsNumber="1" containsSemiMixedTypes="0" containsString="0" minValue="0" maxValue="9">
        <n v="0"/>
        <n v="1"/>
        <n v="2"/>
        <n v="3"/>
        <n v="4"/>
        <n v="5"/>
        <n v="6"/>
        <n v="7"/>
        <n v="8"/>
        <n v="9"/>
      </sharedItems>
    </cacheField>
    <cacheField name="mmi" uniqueList="1" numFmtId="0" sqlType="0" hierarchy="0" level="0" databaseField="1">
      <sharedItems count="10" containsInteger="1" containsNumber="1" containsSemiMixedTypes="0" containsString="0" minValue="1" maxValue="10">
        <n v="1"/>
        <n v="2"/>
        <n v="3"/>
        <n v="4"/>
        <n v="5"/>
        <n v="6"/>
        <n v="7"/>
        <n v="8"/>
        <n v="9"/>
        <n v="10"/>
      </sharedItems>
    </cacheField>
    <cacheField name="alert" uniqueList="1" numFmtId="0" sqlType="0" hierarchy="0" level="0" databaseField="1">
      <sharedItems count="5" containsBlank="1">
        <s v="green"/>
        <s v="orange"/>
        <s v="red"/>
        <s v="yellow"/>
        <m/>
      </sharedItems>
    </cacheField>
    <cacheField name="tsunami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  <cacheField name="sig" uniqueList="1" numFmtId="0" sqlType="0" hierarchy="0" level="0" databaseField="1">
      <sharedItems count="356" containsInteger="1" containsNumber="1" containsSemiMixedTypes="0" containsString="0" minValue="650" maxValue="2910">
        <n v="650"/>
        <n v="651"/>
        <n v="652"/>
        <n v="653"/>
        <n v="654"/>
        <n v="655"/>
        <n v="656"/>
        <n v="657"/>
        <n v="659"/>
        <n v="661"/>
        <n v="664"/>
        <n v="665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3"/>
        <n v="684"/>
        <n v="686"/>
        <n v="688"/>
        <n v="690"/>
        <n v="691"/>
        <n v="692"/>
        <n v="693"/>
        <n v="694"/>
        <n v="696"/>
        <n v="697"/>
        <n v="698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6"/>
        <n v="727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7"/>
        <n v="749"/>
        <n v="753"/>
        <n v="754"/>
        <n v="755"/>
        <n v="756"/>
        <n v="757"/>
        <n v="758"/>
        <n v="759"/>
        <n v="760"/>
        <n v="761"/>
        <n v="762"/>
        <n v="763"/>
        <n v="765"/>
        <n v="768"/>
        <n v="770"/>
        <n v="771"/>
        <n v="772"/>
        <n v="773"/>
        <n v="775"/>
        <n v="776"/>
        <n v="777"/>
        <n v="779"/>
        <n v="780"/>
        <n v="781"/>
        <n v="782"/>
        <n v="784"/>
        <n v="785"/>
        <n v="787"/>
        <n v="790"/>
        <n v="791"/>
        <n v="793"/>
        <n v="795"/>
        <n v="797"/>
        <n v="798"/>
        <n v="799"/>
        <n v="800"/>
        <n v="802"/>
        <n v="803"/>
        <n v="804"/>
        <n v="805"/>
        <n v="806"/>
        <n v="808"/>
        <n v="809"/>
        <n v="810"/>
        <n v="813"/>
        <n v="814"/>
        <n v="818"/>
        <n v="820"/>
        <n v="822"/>
        <n v="824"/>
        <n v="825"/>
        <n v="826"/>
        <n v="827"/>
        <n v="830"/>
        <n v="831"/>
        <n v="832"/>
        <n v="833"/>
        <n v="834"/>
        <n v="835"/>
        <n v="838"/>
        <n v="840"/>
        <n v="841"/>
        <n v="842"/>
        <n v="843"/>
        <n v="844"/>
        <n v="846"/>
        <n v="847"/>
        <n v="848"/>
        <n v="849"/>
        <n v="850"/>
        <n v="854"/>
        <n v="855"/>
        <n v="856"/>
        <n v="858"/>
        <n v="860"/>
        <n v="865"/>
        <n v="868"/>
        <n v="869"/>
        <n v="870"/>
        <n v="871"/>
        <n v="872"/>
        <n v="873"/>
        <n v="874"/>
        <n v="875"/>
        <n v="876"/>
        <n v="879"/>
        <n v="886"/>
        <n v="887"/>
        <n v="888"/>
        <n v="889"/>
        <n v="891"/>
        <n v="893"/>
        <n v="896"/>
        <n v="897"/>
        <n v="899"/>
        <n v="902"/>
        <n v="903"/>
        <n v="904"/>
        <n v="907"/>
        <n v="909"/>
        <n v="910"/>
        <n v="912"/>
        <n v="913"/>
        <n v="914"/>
        <n v="915"/>
        <n v="916"/>
        <n v="918"/>
        <n v="919"/>
        <n v="921"/>
        <n v="927"/>
        <n v="929"/>
        <n v="931"/>
        <n v="932"/>
        <n v="934"/>
        <n v="935"/>
        <n v="936"/>
        <n v="941"/>
        <n v="943"/>
        <n v="945"/>
        <n v="946"/>
        <n v="947"/>
        <n v="948"/>
        <n v="951"/>
        <n v="952"/>
        <n v="954"/>
        <n v="957"/>
        <n v="960"/>
        <n v="961"/>
        <n v="963"/>
        <n v="965"/>
        <n v="971"/>
        <n v="972"/>
        <n v="976"/>
        <n v="979"/>
        <n v="981"/>
        <n v="982"/>
        <n v="985"/>
        <n v="987"/>
        <n v="988"/>
        <n v="993"/>
        <n v="994"/>
        <n v="995"/>
        <n v="998"/>
        <n v="1000"/>
        <n v="1005"/>
        <n v="1007"/>
        <n v="1009"/>
        <n v="1012"/>
        <n v="1013"/>
        <n v="1014"/>
        <n v="1016"/>
        <n v="1017"/>
        <n v="1018"/>
        <n v="1020"/>
        <n v="1021"/>
        <n v="1023"/>
        <n v="1024"/>
        <n v="1025"/>
        <n v="1026"/>
        <n v="1034"/>
        <n v="1043"/>
        <n v="1046"/>
        <n v="1050"/>
        <n v="1052"/>
        <n v="1054"/>
        <n v="1055"/>
        <n v="1057"/>
        <n v="1064"/>
        <n v="1075"/>
        <n v="1079"/>
        <n v="1086"/>
        <n v="1092"/>
        <n v="1094"/>
        <n v="1096"/>
        <n v="1104"/>
        <n v="1111"/>
        <n v="1114"/>
        <n v="1115"/>
        <n v="1120"/>
        <n v="1133"/>
        <n v="1138"/>
        <n v="1140"/>
        <n v="1144"/>
        <n v="1145"/>
        <n v="1151"/>
        <n v="1152"/>
        <n v="1153"/>
        <n v="1154"/>
        <n v="1159"/>
        <n v="1163"/>
        <n v="1165"/>
        <n v="1171"/>
        <n v="1175"/>
        <n v="1179"/>
        <n v="1180"/>
        <n v="1188"/>
        <n v="1202"/>
        <n v="1206"/>
        <n v="1211"/>
        <n v="1213"/>
        <n v="1221"/>
        <n v="1237"/>
        <n v="1245"/>
        <n v="1247"/>
        <n v="1248"/>
        <n v="1252"/>
        <n v="1267"/>
        <n v="1274"/>
        <n v="1280"/>
        <n v="1297"/>
        <n v="1318"/>
        <n v="1320"/>
        <n v="1332"/>
        <n v="1350"/>
        <n v="1351"/>
        <n v="1360"/>
        <n v="1384"/>
        <n v="1385"/>
        <n v="1390"/>
        <n v="1392"/>
        <n v="1400"/>
        <n v="1410"/>
        <n v="1411"/>
        <n v="1421"/>
        <n v="1425"/>
        <n v="1441"/>
        <n v="1448"/>
        <n v="1449"/>
        <n v="1455"/>
        <n v="1481"/>
        <n v="1494"/>
        <n v="1496"/>
        <n v="1515"/>
        <n v="1527"/>
        <n v="1542"/>
        <n v="1545"/>
        <n v="1551"/>
        <n v="1555"/>
        <n v="1560"/>
        <n v="1562"/>
        <n v="1563"/>
        <n v="1570"/>
        <n v="1576"/>
        <n v="1600"/>
        <n v="1612"/>
        <n v="1623"/>
        <n v="1639"/>
        <n v="1642"/>
        <n v="1646"/>
        <n v="1686"/>
        <n v="1704"/>
        <n v="1726"/>
        <n v="1750"/>
        <n v="1752"/>
        <n v="1790"/>
        <n v="1799"/>
        <n v="1812"/>
        <n v="1870"/>
        <n v="1890"/>
        <n v="1960"/>
        <n v="1991"/>
        <n v="2015"/>
        <n v="2026"/>
        <n v="2048"/>
        <n v="2074"/>
        <n v="2083"/>
        <n v="2184"/>
        <n v="2331"/>
        <n v="2397"/>
        <n v="2504"/>
        <n v="2790"/>
        <n v="2820"/>
        <n v="2840"/>
        <n v="2910"/>
      </sharedItems>
    </cacheField>
    <cacheField name="net" uniqueList="1" numFmtId="0" sqlType="0" hierarchy="0" level="0" databaseField="1">
      <sharedItems count="11">
        <s v="ak"/>
        <s v="at"/>
        <s v="ci"/>
        <s v="duputel"/>
        <s v="hv"/>
        <s v="nc"/>
        <s v="nn"/>
        <s v="official"/>
        <s v="pt"/>
        <s v="us"/>
        <s v="uw"/>
      </sharedItems>
    </cacheField>
    <cacheField name="nst" uniqueList="1" numFmtId="0" sqlType="0" hierarchy="0" level="0" databaseField="1">
      <sharedItems count="345" containsInteger="1" containsNumber="1" containsSemiMixedTypes="0" containsString="0" minValue="0" maxValue="934">
        <n v="0"/>
        <n v="10"/>
        <n v="20"/>
        <n v="23"/>
        <n v="27"/>
        <n v="43"/>
        <n v="50"/>
        <n v="51"/>
        <n v="52"/>
        <n v="60"/>
        <n v="63"/>
        <n v="64"/>
        <n v="65"/>
        <n v="66"/>
        <n v="67"/>
        <n v="68"/>
        <n v="70"/>
        <n v="71"/>
        <n v="73"/>
        <n v="77"/>
        <n v="79"/>
        <n v="85"/>
        <n v="92"/>
        <n v="95"/>
        <n v="97"/>
        <n v="98"/>
        <n v="99"/>
        <n v="104"/>
        <n v="105"/>
        <n v="108"/>
        <n v="111"/>
        <n v="112"/>
        <n v="114"/>
        <n v="115"/>
        <n v="116"/>
        <n v="117"/>
        <n v="118"/>
        <n v="126"/>
        <n v="127"/>
        <n v="128"/>
        <n v="130"/>
        <n v="131"/>
        <n v="134"/>
        <n v="135"/>
        <n v="136"/>
        <n v="138"/>
        <n v="139"/>
        <n v="141"/>
        <n v="142"/>
        <n v="144"/>
        <n v="145"/>
        <n v="147"/>
        <n v="149"/>
        <n v="152"/>
        <n v="156"/>
        <n v="162"/>
        <n v="163"/>
        <n v="166"/>
        <n v="173"/>
        <n v="174"/>
        <n v="175"/>
        <n v="178"/>
        <n v="192"/>
        <n v="195"/>
        <n v="206"/>
        <n v="215"/>
        <n v="217"/>
        <n v="218"/>
        <n v="221"/>
        <n v="225"/>
        <n v="228"/>
        <n v="229"/>
        <n v="233"/>
        <n v="234"/>
        <n v="235"/>
        <n v="236"/>
        <n v="243"/>
        <n v="247"/>
        <n v="250"/>
        <n v="251"/>
        <n v="253"/>
        <n v="254"/>
        <n v="255"/>
        <n v="256"/>
        <n v="257"/>
        <n v="260"/>
        <n v="264"/>
        <n v="267"/>
        <n v="268"/>
        <n v="269"/>
        <n v="271"/>
        <n v="272"/>
        <n v="273"/>
        <n v="277"/>
        <n v="279"/>
        <n v="280"/>
        <n v="282"/>
        <n v="283"/>
        <n v="285"/>
        <n v="286"/>
        <n v="288"/>
        <n v="291"/>
        <n v="292"/>
        <n v="294"/>
        <n v="295"/>
        <n v="301"/>
        <n v="303"/>
        <n v="305"/>
        <n v="306"/>
        <n v="307"/>
        <n v="309"/>
        <n v="312"/>
        <n v="314"/>
        <n v="315"/>
        <n v="316"/>
        <n v="317"/>
        <n v="321"/>
        <n v="322"/>
        <n v="323"/>
        <n v="324"/>
        <n v="325"/>
        <n v="327"/>
        <n v="331"/>
        <n v="333"/>
        <n v="334"/>
        <n v="335"/>
        <n v="336"/>
        <n v="338"/>
        <n v="340"/>
        <n v="341"/>
        <n v="344"/>
        <n v="346"/>
        <n v="348"/>
        <n v="349"/>
        <n v="351"/>
        <n v="352"/>
        <n v="353"/>
        <n v="357"/>
        <n v="358"/>
        <n v="365"/>
        <n v="367"/>
        <n v="368"/>
        <n v="369"/>
        <n v="370"/>
        <n v="371"/>
        <n v="372"/>
        <n v="374"/>
        <n v="375"/>
        <n v="377"/>
        <n v="379"/>
        <n v="382"/>
        <n v="383"/>
        <n v="384"/>
        <n v="385"/>
        <n v="386"/>
        <n v="387"/>
        <n v="390"/>
        <n v="391"/>
        <n v="392"/>
        <n v="396"/>
        <n v="397"/>
        <n v="398"/>
        <n v="399"/>
        <n v="400"/>
        <n v="401"/>
        <n v="402"/>
        <n v="403"/>
        <n v="405"/>
        <n v="406"/>
        <n v="409"/>
        <n v="410"/>
        <n v="411"/>
        <n v="412"/>
        <n v="413"/>
        <n v="415"/>
        <n v="417"/>
        <n v="418"/>
        <n v="419"/>
        <n v="420"/>
        <n v="421"/>
        <n v="422"/>
        <n v="423"/>
        <n v="424"/>
        <n v="426"/>
        <n v="427"/>
        <n v="428"/>
        <n v="429"/>
        <n v="430"/>
        <n v="431"/>
        <n v="432"/>
        <n v="434"/>
        <n v="439"/>
        <n v="441"/>
        <n v="443"/>
        <n v="444"/>
        <n v="445"/>
        <n v="446"/>
        <n v="447"/>
        <n v="453"/>
        <n v="454"/>
        <n v="456"/>
        <n v="457"/>
        <n v="459"/>
        <n v="460"/>
        <n v="461"/>
        <n v="462"/>
        <n v="463"/>
        <n v="464"/>
        <n v="466"/>
        <n v="468"/>
        <n v="471"/>
        <n v="472"/>
        <n v="473"/>
        <n v="474"/>
        <n v="475"/>
        <n v="477"/>
        <n v="478"/>
        <n v="480"/>
        <n v="481"/>
        <n v="482"/>
        <n v="483"/>
        <n v="485"/>
        <n v="486"/>
        <n v="487"/>
        <n v="491"/>
        <n v="493"/>
        <n v="494"/>
        <n v="495"/>
        <n v="497"/>
        <n v="498"/>
        <n v="499"/>
        <n v="500"/>
        <n v="502"/>
        <n v="503"/>
        <n v="504"/>
        <n v="505"/>
        <n v="506"/>
        <n v="507"/>
        <n v="509"/>
        <n v="510"/>
        <n v="514"/>
        <n v="515"/>
        <n v="517"/>
        <n v="518"/>
        <n v="519"/>
        <n v="520"/>
        <n v="521"/>
        <n v="526"/>
        <n v="529"/>
        <n v="531"/>
        <n v="532"/>
        <n v="533"/>
        <n v="534"/>
        <n v="537"/>
        <n v="541"/>
        <n v="543"/>
        <n v="544"/>
        <n v="545"/>
        <n v="548"/>
        <n v="550"/>
        <n v="551"/>
        <n v="552"/>
        <n v="553"/>
        <n v="555"/>
        <n v="556"/>
        <n v="561"/>
        <n v="562"/>
        <n v="564"/>
        <n v="567"/>
        <n v="568"/>
        <n v="569"/>
        <n v="570"/>
        <n v="572"/>
        <n v="573"/>
        <n v="576"/>
        <n v="577"/>
        <n v="578"/>
        <n v="579"/>
        <n v="585"/>
        <n v="586"/>
        <n v="592"/>
        <n v="593"/>
        <n v="594"/>
        <n v="596"/>
        <n v="597"/>
        <n v="598"/>
        <n v="599"/>
        <n v="601"/>
        <n v="605"/>
        <n v="606"/>
        <n v="607"/>
        <n v="610"/>
        <n v="611"/>
        <n v="625"/>
        <n v="626"/>
        <n v="630"/>
        <n v="633"/>
        <n v="635"/>
        <n v="636"/>
        <n v="639"/>
        <n v="640"/>
        <n v="643"/>
        <n v="645"/>
        <n v="646"/>
        <n v="649"/>
        <n v="650"/>
        <n v="653"/>
        <n v="654"/>
        <n v="656"/>
        <n v="663"/>
        <n v="664"/>
        <n v="667"/>
        <n v="668"/>
        <n v="672"/>
        <n v="682"/>
        <n v="686"/>
        <n v="690"/>
        <n v="691"/>
        <n v="693"/>
        <n v="695"/>
        <n v="696"/>
        <n v="697"/>
        <n v="698"/>
        <n v="700"/>
        <n v="701"/>
        <n v="702"/>
        <n v="703"/>
        <n v="708"/>
        <n v="714"/>
        <n v="724"/>
        <n v="728"/>
        <n v="733"/>
        <n v="744"/>
        <n v="751"/>
        <n v="759"/>
        <n v="769"/>
        <n v="770"/>
        <n v="774"/>
        <n v="782"/>
        <n v="798"/>
        <n v="807"/>
        <n v="862"/>
        <n v="918"/>
        <n v="929"/>
        <n v="934"/>
      </sharedItems>
    </cacheField>
    <cacheField name="dmin" uniqueList="1" numFmtId="0" sqlType="0" hierarchy="0" level="0" databaseField="1">
      <sharedItems count="402" containsNumber="1" containsSemiMixedTypes="0" containsString="0" minValue="0" maxValue="17.654">
        <n v="0"/>
        <n v="0.04616"/>
        <n v="0.04685"/>
        <n v="0.07000000000000001"/>
        <n v="0.11"/>
        <n v="0.133"/>
        <n v="0.135"/>
        <n v="0.142"/>
        <n v="0.151"/>
        <n v="0.173"/>
        <n v="0.174"/>
        <n v="0.218"/>
        <n v="0.225"/>
        <n v="0.23"/>
        <n v="0.247"/>
        <n v="0.258"/>
        <n v="0.263"/>
        <n v="0.266"/>
        <n v="0.281"/>
        <n v="0.283"/>
        <n v="0.284"/>
        <n v="0.289"/>
        <n v="0.312"/>
        <n v="0.3225"/>
        <n v="0.349"/>
        <n v="0.355"/>
        <n v="0.356"/>
        <n v="0.357"/>
        <n v="0.371"/>
        <n v="0.388"/>
        <n v="0.401"/>
        <n v="0.402"/>
        <n v="0.409"/>
        <n v="0.41"/>
        <n v="0.428"/>
        <n v="0.43"/>
        <n v="0.437"/>
        <n v="0.444"/>
        <n v="0.453"/>
        <n v="0.46"/>
        <n v="0.481"/>
        <n v="0.507"/>
        <n v="0.509"/>
        <n v="0.5137"/>
        <n v="0.529"/>
        <n v="0.546"/>
        <n v="0.576"/>
        <n v="0.579"/>
        <n v="0.592"/>
        <n v="0.609"/>
        <n v="0.616"/>
        <n v="0.617"/>
        <n v="0.621"/>
        <n v="0.622"/>
        <n v="0.624"/>
        <n v="0.636"/>
        <n v="0.646"/>
        <n v="0.6568000000000001"/>
        <n v="0.666"/>
        <n v="0.671"/>
        <n v="0.677"/>
        <n v="0.679"/>
        <n v="0.6840000000000001"/>
        <n v="0.698"/>
        <n v="0.708"/>
        <n v="0.709"/>
        <n v="0.727"/>
        <n v="0.735"/>
        <n v="0.739"/>
        <n v="0.748"/>
        <n v="0.749"/>
        <n v="0.751"/>
        <n v="0.761"/>
        <n v="0.778"/>
        <n v="0.784"/>
        <n v="0.788"/>
        <n v="0.789"/>
        <n v="0.791"/>
        <n v="0.803"/>
        <n v="0.8169999999999999"/>
        <n v="0.821"/>
        <n v="0.827"/>
        <n v="0.828"/>
        <n v="0.85"/>
        <n v="0.853"/>
        <n v="0.87"/>
        <n v="0.875"/>
        <n v="0.879451"/>
        <n v="0.885"/>
        <n v="0.903"/>
        <n v="0.907"/>
        <n v="0.913"/>
        <n v="0.914"/>
        <n v="0.918"/>
        <n v="0.92"/>
        <n v="0.936943"/>
        <n v="0.944"/>
        <n v="0.958"/>
        <n v="0.984"/>
        <n v="0.993"/>
        <n v="1.001"/>
        <n v="1.008"/>
        <n v="1.025"/>
        <n v="1.029"/>
        <n v="1.049"/>
        <n v="1.062"/>
        <n v="1.064"/>
        <n v="1.065"/>
        <n v="1.074"/>
        <n v="1.078"/>
        <n v="1.079"/>
        <n v="1.088"/>
        <n v="1.116"/>
        <n v="1.13"/>
        <n v="1.151"/>
        <n v="1.153"/>
        <n v="1.154"/>
        <n v="1.164"/>
        <n v="1.166"/>
        <n v="1.168"/>
        <n v="1.173"/>
        <n v="1.178"/>
        <n v="1.179"/>
        <n v="1.181"/>
        <n v="1.192"/>
        <n v="1.193"/>
        <n v="1.205"/>
        <n v="1.218"/>
        <n v="1.239"/>
        <n v="1.256"/>
        <n v="1.269"/>
        <n v="1.271"/>
        <n v="1.273"/>
        <n v="1.293"/>
        <n v="1.295"/>
        <n v="1.319"/>
        <n v="1.352"/>
        <n v="1.362"/>
        <n v="1.389"/>
        <n v="1.395"/>
        <n v="1.397"/>
        <n v="1.402"/>
        <n v="1.405"/>
        <n v="1.421"/>
        <n v="1.422"/>
        <n v="1.431"/>
        <n v="1.44"/>
        <n v="1.444"/>
        <n v="1.458"/>
        <n v="1.487"/>
        <n v="1.504"/>
        <n v="1.505"/>
        <n v="1.507"/>
        <n v="1.518"/>
        <n v="1.529"/>
        <n v="1.53"/>
        <n v="1.549"/>
        <n v="1.55"/>
        <n v="1.575"/>
        <n v="1.596"/>
        <n v="1.599"/>
        <n v="1.611"/>
        <n v="1.61607"/>
        <n v="1.622"/>
        <n v="1.634"/>
        <n v="1.635"/>
        <n v="1.636"/>
        <n v="1.638"/>
        <n v="1.64"/>
        <n v="1.649"/>
        <n v="1.657"/>
        <n v="1.671"/>
        <n v="1.675"/>
        <n v="1.692"/>
        <n v="1.697"/>
        <n v="1.709"/>
        <n v="1.716"/>
        <n v="1.747"/>
        <n v="1.769"/>
        <n v="1.778"/>
        <n v="1.783"/>
        <n v="1.789"/>
        <n v="1.794"/>
        <n v="1.796"/>
        <n v="1.802"/>
        <n v="1.816"/>
        <n v="1.822"/>
        <n v="1.836"/>
        <n v="1.857"/>
        <n v="1.865"/>
        <n v="1.872"/>
        <n v="1.881"/>
        <n v="1.919"/>
        <n v="1.921"/>
        <n v="1.925"/>
        <n v="1.937"/>
        <n v="1.974"/>
        <n v="1.98"/>
        <n v="1.984"/>
        <n v="1.999"/>
        <n v="2.015"/>
        <n v="2.019"/>
        <n v="2.022"/>
        <n v="2.033"/>
        <n v="2.043"/>
        <n v="2.045"/>
        <n v="2.109"/>
        <n v="2.11"/>
        <n v="2.124"/>
        <n v="2.137"/>
        <n v="2.163"/>
        <n v="2.188"/>
        <n v="2.229"/>
        <n v="2.25"/>
        <n v="2.267"/>
        <n v="2.268"/>
        <n v="2.271"/>
        <n v="2.277"/>
        <n v="2.282"/>
        <n v="2.308"/>
        <n v="2.353"/>
        <n v="2.36"/>
        <n v="2.365"/>
        <n v="2.378"/>
        <n v="2.405"/>
        <n v="2.413"/>
        <n v="2.418"/>
        <n v="2.421"/>
        <n v="2.435"/>
        <n v="2.453"/>
        <n v="2.454"/>
        <n v="2.485"/>
        <n v="2.486"/>
        <n v="2.494"/>
        <n v="2.495"/>
        <n v="2.501"/>
        <n v="2.514"/>
        <n v="2.53"/>
        <n v="2.548"/>
        <n v="2.585"/>
        <n v="2.587"/>
        <n v="2.59"/>
        <n v="2.6"/>
        <n v="2.619"/>
        <n v="2.629"/>
        <n v="2.666"/>
        <n v="2.679"/>
        <n v="2.685"/>
        <n v="2.697"/>
        <n v="2.705"/>
        <n v="2.719"/>
        <n v="2.739"/>
        <n v="2.785"/>
        <n v="2.792"/>
        <n v="2.812"/>
        <n v="2.821"/>
        <n v="2.822"/>
        <n v="2.828"/>
        <n v="2.839"/>
        <n v="2.852"/>
        <n v="2.879"/>
        <n v="2.885"/>
        <n v="2.936"/>
        <n v="2.958"/>
        <n v="2.977"/>
        <n v="2.978"/>
        <n v="2.979"/>
        <n v="3.001"/>
        <n v="3.026"/>
        <n v="3.085"/>
        <n v="3.097"/>
        <n v="3.111"/>
        <n v="3.121"/>
        <n v="3.125"/>
        <n v="3.144"/>
        <n v="3.158"/>
        <n v="3.18"/>
        <n v="3.183"/>
        <n v="3.246"/>
        <n v="3.259"/>
        <n v="3.276"/>
        <n v="3.287"/>
        <n v="3.294"/>
        <n v="3.34"/>
        <n v="3.38"/>
        <n v="3.403"/>
        <n v="3.557"/>
        <n v="3.564"/>
        <n v="3.619"/>
        <n v="3.625"/>
        <n v="3.63"/>
        <n v="3.631"/>
        <n v="3.651"/>
        <n v="3.702"/>
        <n v="3.713"/>
        <n v="3.727"/>
        <n v="3.729"/>
        <n v="3.741"/>
        <n v="3.745"/>
        <n v="3.77"/>
        <n v="3.773"/>
        <n v="3.787"/>
        <n v="3.803"/>
        <n v="3.813"/>
        <n v="3.82"/>
        <n v="3.835"/>
        <n v="3.909"/>
        <n v="3.923"/>
        <n v="3.934"/>
        <n v="3.968"/>
        <n v="3.997"/>
        <n v="4.024"/>
        <n v="4.035"/>
        <n v="4.051"/>
        <n v="4.107"/>
        <n v="4.109"/>
        <n v="4.121"/>
        <n v="4.126"/>
        <n v="4.139"/>
        <n v="4.242"/>
        <n v="4.29"/>
        <n v="4.318"/>
        <n v="4.395"/>
        <n v="4.415"/>
        <n v="4.446"/>
        <n v="4.449"/>
        <n v="4.493"/>
        <n v="4.501"/>
        <n v="4.518"/>
        <n v="4.578"/>
        <n v="4.581"/>
        <n v="4.591"/>
        <n v="4.629"/>
        <n v="4.655"/>
        <n v="4.678"/>
        <n v="4.719"/>
        <n v="4.765"/>
        <n v="4.778"/>
        <n v="4.797"/>
        <n v="4.823"/>
        <n v="4.838"/>
        <n v="4.852"/>
        <n v="4.951"/>
        <n v="4.998"/>
        <n v="5.086"/>
        <n v="5.123"/>
        <n v="5.128"/>
        <n v="5.129"/>
        <n v="5.139"/>
        <n v="5.194"/>
        <n v="5.205"/>
        <n v="5.276"/>
        <n v="5.293"/>
        <n v="5.32"/>
        <n v="5.457"/>
        <n v="5.48"/>
        <n v="5.483"/>
        <n v="5.485"/>
        <n v="5.78"/>
        <n v="5.79"/>
        <n v="5.803"/>
        <n v="5.931"/>
        <n v="6.012"/>
        <n v="6.024"/>
        <n v="6.096"/>
        <n v="6.278"/>
        <n v="6.393"/>
        <n v="6.45"/>
        <n v="6.489"/>
        <n v="6.697"/>
        <n v="6.713"/>
        <n v="6.787"/>
        <n v="7.009"/>
        <n v="7.043"/>
        <n v="7.177"/>
        <n v="7.227"/>
        <n v="7.241"/>
        <n v="7.359"/>
        <n v="7.463"/>
        <n v="7.495"/>
        <n v="7.496"/>
        <n v="7.527"/>
        <n v="7.568"/>
        <n v="7.818"/>
        <n v="7.853"/>
        <n v="7.989"/>
        <n v="7.994"/>
        <n v="8.050000000000001"/>
        <n v="8.138999999999999"/>
        <n v="8.284000000000001"/>
        <n v="8.363"/>
        <n v="8.454000000000001"/>
        <n v="8.865"/>
        <n v="9.798999999999999"/>
        <n v="10.405"/>
        <n v="10.669"/>
        <n v="11.255"/>
        <n v="11.411"/>
        <n v="11.764"/>
        <n v="12.896"/>
        <n v="15.394"/>
        <n v="17.654"/>
      </sharedItems>
    </cacheField>
    <cacheField name="gap" uniqueList="1" numFmtId="0" sqlType="0" hierarchy="0" level="0" databaseField="1">
      <sharedItems count="259" containsNumber="1" containsSemiMixedTypes="0" containsString="0" minValue="0" maxValue="239">
        <n v="0"/>
        <n v="8"/>
        <n v="8.699999999999999"/>
        <n v="9"/>
        <n v="9.5"/>
        <n v="10"/>
        <n v="10.1"/>
        <n v="10.2"/>
        <n v="10.6"/>
        <n v="10.8"/>
        <n v="10.9"/>
        <n v="11"/>
        <n v="11.1"/>
        <n v="11.3"/>
        <n v="11.4"/>
        <n v="11.5"/>
        <n v="11.7"/>
        <n v="12"/>
        <n v="12.1"/>
        <n v="12.3"/>
        <n v="12.4"/>
        <n v="12.5"/>
        <n v="12.6"/>
        <n v="12.7"/>
        <n v="12.8"/>
        <n v="13"/>
        <n v="13.3"/>
        <n v="13.4"/>
        <n v="13.7"/>
        <n v="13.8"/>
        <n v="14"/>
        <n v="14.1"/>
        <n v="14.2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"/>
        <n v="16.3"/>
        <n v="16.4"/>
        <n v="16.5"/>
        <n v="16.6"/>
        <n v="16.7"/>
        <n v="16.8"/>
        <n v="17"/>
        <n v="17.1"/>
        <n v="17.4"/>
        <n v="17.5"/>
        <n v="17.6"/>
        <n v="17.7"/>
        <n v="17.8"/>
        <n v="18"/>
        <n v="18.1"/>
        <n v="18.2"/>
        <n v="18.3"/>
        <n v="18.4"/>
        <n v="18.5"/>
        <n v="18.6"/>
        <n v="18.7"/>
        <n v="18.8"/>
        <n v="19"/>
        <n v="19.1"/>
        <n v="19.2"/>
        <n v="19.3"/>
        <n v="19.4"/>
        <n v="19.6"/>
        <n v="19.7"/>
        <n v="20"/>
        <n v="20.2"/>
        <n v="20.3"/>
        <n v="20.4"/>
        <n v="20.5"/>
        <n v="20.6"/>
        <n v="20.7"/>
        <n v="20.8"/>
        <n v="20.9"/>
        <n v="21"/>
        <n v="21.1"/>
        <n v="21.2"/>
        <n v="21.3"/>
        <n v="21.4"/>
        <n v="21.5"/>
        <n v="21.6"/>
        <n v="21.8"/>
        <n v="22"/>
        <n v="22.1"/>
        <n v="22.2"/>
        <n v="22.3"/>
        <n v="22.4"/>
        <n v="22.6"/>
        <n v="22.7"/>
        <n v="22.9"/>
        <n v="23"/>
        <n v="23.1"/>
        <n v="23.2"/>
        <n v="23.6"/>
        <n v="23.7"/>
        <n v="23.9"/>
        <n v="24"/>
        <n v="24.1"/>
        <n v="24.3"/>
        <n v="24.5"/>
        <n v="24.7"/>
        <n v="24.9"/>
        <n v="25"/>
        <n v="25.1"/>
        <n v="25.2"/>
        <n v="25.3"/>
        <n v="25.5"/>
        <n v="25.6"/>
        <n v="25.7"/>
        <n v="25.9"/>
        <n v="26"/>
        <n v="26.2"/>
        <n v="26.4"/>
        <n v="26.5"/>
        <n v="26.6"/>
        <n v="26.7"/>
        <n v="26.9"/>
        <n v="27"/>
        <n v="27.2"/>
        <n v="27.5"/>
        <n v="27.6"/>
        <n v="27.7"/>
        <n v="27.8"/>
        <n v="27.9"/>
        <n v="28"/>
        <n v="28.3"/>
        <n v="28.4"/>
        <n v="28.6"/>
        <n v="28.7"/>
        <n v="28.8"/>
        <n v="29"/>
        <n v="29.1"/>
        <n v="29.8"/>
        <n v="29.9"/>
        <n v="30"/>
        <n v="30.1"/>
        <n v="30.2"/>
        <n v="30.3"/>
        <n v="30.6"/>
        <n v="30.7"/>
        <n v="31"/>
        <n v="31.2"/>
        <n v="31.4"/>
        <n v="31.6"/>
        <n v="31.8"/>
        <n v="31.9"/>
        <n v="32"/>
        <n v="32.2"/>
        <n v="32.3"/>
        <n v="33"/>
        <n v="33.3"/>
        <n v="33.5"/>
        <n v="33.7"/>
        <n v="33.8"/>
        <n v="33.9"/>
        <n v="34"/>
        <n v="34.3"/>
        <n v="34.4"/>
        <n v="34.7"/>
        <n v="35"/>
        <n v="36"/>
        <n v="36.8"/>
        <n v="37"/>
        <n v="37.2"/>
        <n v="37.3"/>
        <n v="37.7"/>
        <n v="37.9"/>
        <n v="38"/>
        <n v="38.4"/>
        <n v="38.6"/>
        <n v="39"/>
        <n v="39.1"/>
        <n v="40"/>
        <n v="40.1"/>
        <n v="40.3"/>
        <n v="41"/>
        <n v="42"/>
        <n v="42.5"/>
        <n v="42.7"/>
        <n v="43"/>
        <n v="44"/>
        <n v="44.8"/>
        <n v="45"/>
        <n v="45.9"/>
        <n v="46"/>
        <n v="46.3"/>
        <n v="46.5"/>
        <n v="46.6"/>
        <n v="46.9"/>
        <n v="47.3"/>
        <n v="47.4"/>
        <n v="48"/>
        <n v="48.2"/>
        <n v="48.4"/>
        <n v="48.8"/>
        <n v="49"/>
        <n v="50"/>
        <n v="50.2"/>
        <n v="50.3"/>
        <n v="51"/>
        <n v="52.8"/>
        <n v="53"/>
        <n v="53.4"/>
        <n v="54"/>
        <n v="54.1"/>
        <n v="55"/>
        <n v="55.4"/>
        <n v="55.79"/>
        <n v="56"/>
        <n v="57"/>
        <n v="57.3"/>
        <n v="58"/>
        <n v="59.3"/>
        <n v="60"/>
        <n v="61"/>
        <n v="61.2"/>
        <n v="62"/>
        <n v="63"/>
        <n v="66"/>
        <n v="68"/>
        <n v="69"/>
        <n v="71"/>
        <n v="71.3"/>
        <n v="74"/>
        <n v="78"/>
        <n v="78.5"/>
        <n v="78.8"/>
        <n v="82"/>
        <n v="92"/>
        <n v="94"/>
        <n v="95.90000000000001"/>
        <n v="98"/>
        <n v="108"/>
        <n v="114"/>
        <n v="119"/>
        <n v="123"/>
        <n v="124"/>
        <n v="126"/>
        <n v="129"/>
        <n v="172.8"/>
        <n v="205.2"/>
        <n v="208.8"/>
        <n v="210"/>
        <n v="220"/>
        <n v="229"/>
        <n v="239"/>
      </sharedItems>
    </cacheField>
    <cacheField name="magType" uniqueList="1" numFmtId="0" sqlType="0" hierarchy="0" level="0" databaseField="1">
      <sharedItems count="9">
        <s v="mb"/>
        <s v="md"/>
        <s v="Mi"/>
        <s v="ml"/>
        <s v="ms"/>
        <s v="mw"/>
        <s v="mwb"/>
        <s v="mwc"/>
        <s v="mww"/>
      </sharedItems>
    </cacheField>
    <cacheField name="depth" uniqueList="1" numFmtId="0" sqlType="0" hierarchy="0" level="0" databaseField="1">
      <sharedItems count="401" containsNumber="1" containsSemiMixedTypes="0" containsString="0" minValue="2.7" maxValue="670.8099999999999">
        <n v="2.7"/>
        <n v="4.2"/>
        <n v="5"/>
        <n v="5.81"/>
        <n v="6"/>
        <n v="6.43"/>
        <n v="6.8"/>
        <n v="7"/>
        <n v="7.8"/>
        <n v="8"/>
        <n v="8.199999999999999"/>
        <n v="8.220000000000001"/>
        <n v="8.382"/>
        <n v="8.449999999999999"/>
        <n v="8.699999999999999"/>
        <n v="8.800000000000001"/>
        <n v="9"/>
        <n v="9.449999999999999"/>
        <n v="9.970000000000001"/>
        <n v="9.987"/>
        <n v="10"/>
        <n v="10.5"/>
        <n v="11"/>
        <n v="11.1"/>
        <n v="11.19"/>
        <n v="11.2"/>
        <n v="12"/>
        <n v="12.06"/>
        <n v="12.2"/>
        <n v="12.26"/>
        <n v="12.5"/>
        <n v="12.59"/>
        <n v="13"/>
        <n v="13.23"/>
        <n v="13.4"/>
        <n v="13.7"/>
        <n v="13.73"/>
        <n v="14"/>
        <n v="14.06"/>
        <n v="14.2"/>
        <n v="14.27"/>
        <n v="14.497"/>
        <n v="14.83"/>
        <n v="14.86"/>
        <n v="15"/>
        <n v="15.11"/>
        <n v="15.4"/>
        <n v="15.46"/>
        <n v="15.462"/>
        <n v="16"/>
        <n v="16.1"/>
        <n v="16.37"/>
        <n v="16.441"/>
        <n v="16.56"/>
        <n v="16.6"/>
        <n v="16.7"/>
        <n v="17"/>
        <n v="17.4"/>
        <n v="17.925"/>
        <n v="18"/>
        <n v="18.027"/>
        <n v="18.3"/>
        <n v="18.6"/>
        <n v="18.7"/>
        <n v="18.98"/>
        <n v="19"/>
        <n v="19.04"/>
        <n v="19.2"/>
        <n v="19.36"/>
        <n v="19.7"/>
        <n v="19.73"/>
        <n v="19.9"/>
        <n v="20"/>
        <n v="20.1"/>
        <n v="20.2"/>
        <n v="20.49"/>
        <n v="20.522"/>
        <n v="20.59"/>
        <n v="20.74"/>
        <n v="21"/>
        <n v="21.1"/>
        <n v="21.43"/>
        <n v="22"/>
        <n v="22.065"/>
        <n v="22.4"/>
        <n v="22.44"/>
        <n v="22.56"/>
        <n v="22.79"/>
        <n v="22.8"/>
        <n v="22.86"/>
        <n v="22.9"/>
        <n v="22.91"/>
        <n v="23"/>
        <n v="23.4"/>
        <n v="24"/>
        <n v="24.07"/>
        <n v="24.4"/>
        <n v="24.9"/>
        <n v="25"/>
        <n v="25.1"/>
        <n v="25.21"/>
        <n v="25.5"/>
        <n v="25.7"/>
        <n v="26"/>
        <n v="26.3"/>
        <n v="26.59"/>
        <n v="26.943"/>
        <n v="27"/>
        <n v="27.4"/>
        <n v="27.59"/>
        <n v="27.8"/>
        <n v="28"/>
        <n v="28.37"/>
        <n v="28.4"/>
        <n v="28.41"/>
        <n v="28.42"/>
        <n v="28.566"/>
        <n v="28.737"/>
        <n v="28.9"/>
        <n v="28.93"/>
        <n v="29"/>
        <n v="29.95"/>
        <n v="30"/>
        <n v="30.1"/>
        <n v="31"/>
        <n v="31.1"/>
        <n v="31.9"/>
        <n v="32"/>
        <n v="32.571"/>
        <n v="32.8"/>
        <n v="33"/>
        <n v="33.3"/>
        <n v="33.729"/>
        <n v="33.93"/>
        <n v="34"/>
        <n v="34.8"/>
        <n v="35"/>
        <n v="35.981"/>
        <n v="36"/>
        <n v="36.4"/>
        <n v="37"/>
        <n v="38"/>
        <n v="38.12"/>
        <n v="38.182"/>
        <n v="39"/>
        <n v="39.2"/>
        <n v="39.7"/>
        <n v="40"/>
        <n v="40.2"/>
        <n v="40.5"/>
        <n v="40.7"/>
        <n v="40.8"/>
        <n v="41"/>
        <n v="41.54"/>
        <n v="42"/>
        <n v="42.6"/>
        <n v="42.9"/>
        <n v="43"/>
        <n v="43.063"/>
        <n v="43.21"/>
        <n v="43.37"/>
        <n v="43.6"/>
        <n v="43.98"/>
        <n v="44"/>
        <n v="44.26"/>
        <n v="45"/>
        <n v="45.6"/>
        <n v="45.8"/>
        <n v="46"/>
        <n v="46.66"/>
        <n v="46.7"/>
        <n v="47.23"/>
        <n v="47.39"/>
        <n v="47.5"/>
        <n v="48"/>
        <n v="49"/>
        <n v="49.2"/>
        <n v="49.5"/>
        <n v="50"/>
        <n v="50.4"/>
        <n v="51.6"/>
        <n v="51.798"/>
        <n v="53"/>
        <n v="53.19"/>
        <n v="54"/>
        <n v="55"/>
        <n v="55.14"/>
        <n v="55.7"/>
        <n v="56"/>
        <n v="56.6"/>
        <n v="57"/>
        <n v="57.8"/>
        <n v="57.92"/>
        <n v="58"/>
        <n v="59"/>
        <n v="59.9"/>
        <n v="60"/>
        <n v="60.21"/>
        <n v="60.5"/>
        <n v="60.53"/>
        <n v="60.6"/>
        <n v="61.1"/>
        <n v="61.4"/>
        <n v="62"/>
        <n v="62.603"/>
        <n v="63"/>
        <n v="63.4"/>
        <n v="64"/>
        <n v="65.8"/>
        <n v="65.842"/>
        <n v="66"/>
        <n v="67.2"/>
        <n v="68"/>
        <n v="69.09999999999999"/>
        <n v="69.727"/>
        <n v="70"/>
        <n v="71.90000000000001"/>
        <n v="72.59999999999999"/>
        <n v="73"/>
        <n v="73.7"/>
        <n v="78"/>
        <n v="79"/>
        <n v="80"/>
        <n v="81"/>
        <n v="82"/>
        <n v="83"/>
        <n v="85"/>
        <n v="85.7"/>
        <n v="87.2"/>
        <n v="90"/>
        <n v="90.09999999999999"/>
        <n v="91"/>
        <n v="91.09999999999999"/>
        <n v="93"/>
        <n v="94"/>
        <n v="94.54000000000001"/>
        <n v="96"/>
        <n v="100.8"/>
        <n v="101"/>
        <n v="103"/>
        <n v="105"/>
        <n v="105.249"/>
        <n v="105.6"/>
        <n v="105.631"/>
        <n v="106"/>
        <n v="107"/>
        <n v="108"/>
        <n v="109"/>
        <n v="110"/>
        <n v="110.2"/>
        <n v="110.57"/>
        <n v="112"/>
        <n v="113.7"/>
        <n v="114.1"/>
        <n v="115"/>
        <n v="115.6"/>
        <n v="116"/>
        <n v="118"/>
        <n v="119"/>
        <n v="119.6"/>
        <n v="120"/>
        <n v="122"/>
        <n v="122.57"/>
        <n v="122.9"/>
        <n v="123.1"/>
        <n v="123.8"/>
        <n v="125.1"/>
        <n v="125.6"/>
        <n v="126"/>
        <n v="127.9"/>
        <n v="128.1"/>
        <n v="130"/>
        <n v="131.8"/>
        <n v="133"/>
        <n v="134.7"/>
        <n v="135"/>
        <n v="136"/>
        <n v="137"/>
        <n v="138"/>
        <n v="139.4"/>
        <n v="141.9"/>
        <n v="143"/>
        <n v="144.3"/>
        <n v="145"/>
        <n v="146"/>
        <n v="146.82"/>
        <n v="147"/>
        <n v="150"/>
        <n v="151.6"/>
        <n v="152"/>
        <n v="155"/>
        <n v="156"/>
        <n v="159.3"/>
        <n v="164.2"/>
        <n v="164.4"/>
        <n v="164.6"/>
        <n v="165"/>
        <n v="165.49"/>
        <n v="166.2"/>
        <n v="167.3"/>
        <n v="167.404"/>
        <n v="169"/>
        <n v="170"/>
        <n v="171.371"/>
        <n v="173.7"/>
        <n v="174.8"/>
        <n v="176"/>
        <n v="176.4"/>
        <n v="177"/>
        <n v="179.3"/>
        <n v="181"/>
        <n v="183.4"/>
        <n v="185.1"/>
        <n v="187"/>
        <n v="187.1"/>
        <n v="187.589"/>
        <n v="188.6"/>
        <n v="192.955"/>
        <n v="196"/>
        <n v="198"/>
        <n v="198.7"/>
        <n v="200.1"/>
        <n v="200.7"/>
        <n v="201.7"/>
        <n v="204.8"/>
        <n v="205.681"/>
        <n v="206.3"/>
        <n v="206.7"/>
        <n v="209.976"/>
        <n v="210.097"/>
        <n v="212"/>
        <n v="219.96"/>
        <n v="220"/>
        <n v="223"/>
        <n v="224.6"/>
        <n v="225"/>
        <n v="225.6"/>
        <n v="226.5"/>
        <n v="228.4"/>
        <n v="229"/>
        <n v="231"/>
        <n v="236"/>
        <n v="246"/>
        <n v="267"/>
        <n v="280"/>
        <n v="292"/>
        <n v="301"/>
        <n v="350.4"/>
        <n v="371"/>
        <n v="385.5"/>
        <n v="402"/>
        <n v="405.69"/>
        <n v="414.5"/>
        <n v="434"/>
        <n v="460"/>
        <n v="461"/>
        <n v="476"/>
        <n v="525"/>
        <n v="527"/>
        <n v="529"/>
        <n v="533.76"/>
        <n v="535"/>
        <n v="540"/>
        <n v="550"/>
        <n v="552.0599999999999"/>
        <n v="553.8099999999999"/>
        <n v="559"/>
        <n v="570.41"/>
        <n v="573"/>
        <n v="576"/>
        <n v="577"/>
        <n v="578"/>
        <n v="579"/>
        <n v="583.2"/>
        <n v="587.3"/>
        <n v="591"/>
        <n v="594.028"/>
        <n v="595"/>
        <n v="595.854"/>
        <n v="595.98"/>
        <n v="596.4"/>
        <n v="598.1"/>
        <n v="598.467"/>
        <n v="598.925"/>
        <n v="600"/>
        <n v="602.2"/>
        <n v="602.75"/>
        <n v="606.21"/>
        <n v="610.671"/>
        <n v="614"/>
        <n v="615.42"/>
        <n v="620.5599999999999"/>
        <n v="622.73"/>
        <n v="624"/>
        <n v="624.4640000000001"/>
        <n v="627.17"/>
        <n v="630"/>
        <n v="630.379"/>
        <n v="660"/>
        <n v="664"/>
        <n v="670.8099999999999"/>
      </sharedItems>
    </cacheField>
    <cacheField name="latitude" uniqueList="1" numFmtId="0" sqlType="0" hierarchy="0" level="0" databaseField="1">
      <sharedItems count="996" containsNumber="1" containsSemiMixedTypes="0" containsString="0" minValue="-61.8484" maxValue="71.63120000000001">
        <n v="-61.8484"/>
        <n v="-60.857"/>
        <n v="-60.532"/>
        <n v="-60.3026"/>
        <n v="-60.2738"/>
        <n v="-60.2627"/>
        <n v="-60.2152"/>
        <n v="-60.1023"/>
        <n v="-58.6262"/>
        <n v="-58.5446"/>
        <n v="-58.4157"/>
        <n v="-58.3814"/>
        <n v="-57.5959"/>
        <n v="-56.414"/>
        <n v="-56.2409"/>
        <n v="-55.4703"/>
        <n v="-54.2189"/>
        <n v="-54.1325"/>
        <n v="-49.4837"/>
        <n v="-49.312"/>
        <n v="-46.676"/>
        <n v="-45.762"/>
        <n v="-45.104"/>
        <n v="-44.796"/>
        <n v="-43.522"/>
        <n v="-43.4064"/>
        <n v="-43.1219"/>
        <n v="-42.7373"/>
        <n v="-42.6058"/>
        <n v="-42.3205"/>
        <n v="-41.734"/>
        <n v="-41.704"/>
        <n v="-39.3264"/>
        <n v="-39.011"/>
        <n v="-38.355"/>
        <n v="-38.1911"/>
        <n v="-38.067"/>
        <n v="-37.773"/>
        <n v="-37.695"/>
        <n v="-37.6478"/>
        <n v="-37.596"/>
        <n v="-37.3586"/>
        <n v="-36.665"/>
        <n v="-36.422"/>
        <n v="-36.217"/>
        <n v="-36.122"/>
        <n v="-35.4758"/>
        <n v="-35.38"/>
        <n v="-35.2"/>
        <n v="-35.173"/>
        <n v="-34.326"/>
        <n v="-34.29"/>
        <n v="-34.2364"/>
        <n v="-33.2938"/>
        <n v="-33.0375"/>
        <n v="-32.9076"/>
        <n v="-32.6922"/>
        <n v="-32.625"/>
        <n v="-31.7447"/>
        <n v="-31.7275"/>
        <n v="-31.5729"/>
        <n v="-31.5622"/>
        <n v="-31.5173"/>
        <n v="-31.4244"/>
        <n v="-30.985"/>
        <n v="-30.933"/>
        <n v="-30.9255"/>
        <n v="-30.8796"/>
        <n v="-30.805"/>
        <n v="-30.6441"/>
        <n v="-30.608"/>
        <n v="-30.2921"/>
        <n v="-30.2144"/>
        <n v="-30.1147"/>
        <n v="-30.058"/>
        <n v="-30.0528"/>
        <n v="-30.0404"/>
        <n v="-30.0249"/>
        <n v="-29.9772"/>
        <n v="-29.9414"/>
        <n v="-29.9379"/>
        <n v="-29.7466"/>
        <n v="-29.6131"/>
        <n v="-29.539"/>
        <n v="-29.535"/>
        <n v="-29.5097"/>
        <n v="-29.5067"/>
        <n v="-29.4748"/>
        <n v="-29.45"/>
        <n v="-28.906"/>
        <n v="-28.4792"/>
        <n v="-28.094"/>
        <n v="-28.013"/>
        <n v="-27.9285"/>
        <n v="-27.535"/>
        <n v="-27.211"/>
        <n v="-27.017"/>
        <n v="-26.7209"/>
        <n v="-26.0442"/>
        <n v="-25.9678"/>
        <n v="-25.5948"/>
        <n v="-25.415"/>
        <n v="-25.2657"/>
        <n v="-23.944"/>
        <n v="-23.913"/>
        <n v="-23.7852"/>
        <n v="-23.6141"/>
        <n v="-23.548"/>
        <n v="-23.4797"/>
        <n v="-23.34"/>
        <n v="-23.2966"/>
        <n v="-23.2787"/>
        <n v="-23.2593"/>
        <n v="-23.2286"/>
        <n v="-23.1125"/>
        <n v="-23.0622"/>
        <n v="-23.043"/>
        <n v="-23.009"/>
        <n v="-23.008"/>
        <n v="-22.9824"/>
        <n v="-22.954"/>
        <n v="-22.925"/>
        <n v="-22.72"/>
        <n v="-22.6784"/>
        <n v="-22.5732"/>
        <n v="-22.4765"/>
        <n v="-22.361"/>
        <n v="-22.2844"/>
        <n v="-22.247"/>
        <n v="-22.101"/>
        <n v="-22.0629"/>
        <n v="-22.0295"/>
        <n v="-22.015"/>
        <n v="-21.9724"/>
        <n v="-21.9496"/>
        <n v="-21.9449"/>
        <n v="-21.7427"/>
        <n v="-21.6971"/>
        <n v="-21.6857"/>
        <n v="-21.663"/>
        <n v="-21.6484"/>
        <n v="-21.632"/>
        <n v="-21.5027"/>
        <n v="-21.4542"/>
        <n v="-21.422"/>
        <n v="-21.3246"/>
        <n v="-21.324"/>
        <n v="-21.2077"/>
        <n v="-21.1704"/>
        <n v="-21.1036"/>
        <n v="-20.671"/>
        <n v="-20.6588"/>
        <n v="-20.628"/>
        <n v="-20.617"/>
        <n v="-20.5709"/>
        <n v="-20.438"/>
        <n v="-20.3641"/>
        <n v="-20.3113"/>
        <n v="-20.244"/>
        <n v="-20.187"/>
        <n v="-20.071"/>
        <n v="-20.0508"/>
        <n v="-19.99"/>
        <n v="-19.987"/>
        <n v="-19.9807"/>
        <n v="-19.8927"/>
        <n v="-19.8015"/>
        <n v="-19.7819"/>
        <n v="-19.702"/>
        <n v="-19.6903"/>
        <n v="-19.6097"/>
        <n v="-19.544"/>
        <n v="-19.394"/>
        <n v="-19.3733"/>
        <n v="-19.2918"/>
        <n v="-19.2814"/>
        <n v="-19.262"/>
        <n v="-18.9204"/>
        <n v="-18.901"/>
        <n v="-18.685"/>
        <n v="-18.5747"/>
        <n v="-18.4743"/>
        <n v="-18.365"/>
        <n v="-18.3604"/>
        <n v="-18.311"/>
        <n v="-18.308"/>
        <n v="-18.2242"/>
        <n v="-18.1125"/>
        <n v="-17.8735"/>
        <n v="-17.853"/>
        <n v="-17.827"/>
        <n v="-17.745"/>
        <n v="-17.731"/>
        <n v="-17.664"/>
        <n v="-17.6"/>
        <n v="-17.543"/>
        <n v="-17.541"/>
        <n v="-17.2495"/>
        <n v="-17.239"/>
        <n v="-17.1171"/>
        <n v="-17.0309"/>
        <n v="-16.925"/>
        <n v="-16.66"/>
        <n v="-16.592"/>
        <n v="-16.527"/>
        <n v="-16.4796"/>
        <n v="-16.423"/>
        <n v="-16.265"/>
        <n v="-16.1985"/>
        <n v="-16.117"/>
        <n v="-16.086"/>
        <n v="-16.0429"/>
        <n v="-16.0315"/>
        <n v="-15.8815"/>
        <n v="-15.848"/>
        <n v="-15.8385"/>
        <n v="-15.798"/>
        <n v="-15.7675"/>
        <n v="-15.6002"/>
        <n v="-15.595"/>
        <n v="-15.4994"/>
        <n v="-15.489"/>
        <n v="-15.421"/>
        <n v="-15.3983"/>
        <n v="-15.3597"/>
        <n v="-15.3197"/>
        <n v="-15.145"/>
        <n v="-15.0691"/>
        <n v="-14.993"/>
        <n v="-14.9831"/>
        <n v="-14.9383"/>
        <n v="-14.928"/>
        <n v="-14.892"/>
        <n v="-14.8628"/>
        <n v="-14.8595"/>
        <n v="-14.7131"/>
        <n v="-14.705"/>
        <n v="-14.598"/>
        <n v="-14.5884"/>
        <n v="-14.438"/>
        <n v="-14.344"/>
        <n v="-14.3235"/>
        <n v="-14.252"/>
        <n v="-14.0683"/>
        <n v="-13.9805"/>
        <n v="-13.8814"/>
        <n v="-13.8633"/>
        <n v="-13.802"/>
        <n v="-13.698"/>
        <n v="-13.571"/>
        <n v="-13.501"/>
        <n v="-13.481"/>
        <n v="-13.457"/>
        <n v="-13.386"/>
        <n v="-13.336"/>
        <n v="-13.298"/>
        <n v="-13.174"/>
        <n v="-13.093"/>
        <n v="-13.006"/>
        <n v="-12.853"/>
        <n v="-12.592"/>
        <n v="-12.584"/>
        <n v="-12.517"/>
        <n v="-12.0662"/>
        <n v="-12.037"/>
        <n v="-11.61"/>
        <n v="-11.4633"/>
        <n v="-11.2701"/>
        <n v="-11.183"/>
        <n v="-11.1284"/>
        <n v="-11.128"/>
        <n v="-11.1093"/>
        <n v="-11.0559"/>
        <n v="-11.04"/>
        <n v="-11.0355"/>
        <n v="-10.997"/>
        <n v="-10.994"/>
        <n v="-10.951"/>
        <n v="-10.95"/>
        <n v="-10.928"/>
        <n v="-10.878"/>
        <n v="-10.8759"/>
        <n v="-10.86"/>
        <n v="-10.8416"/>
        <n v="-10.838"/>
        <n v="-10.799"/>
        <n v="-10.769"/>
        <n v="-10.749"/>
        <n v="-10.6812"/>
        <n v="-10.68"/>
        <n v="-10.627"/>
        <n v="-10.5372"/>
        <n v="-10.499"/>
        <n v="-10.491"/>
        <n v="-10.4012"/>
        <n v="-10.375"/>
        <n v="-10.3506"/>
        <n v="-10.0598"/>
        <n v="-10.0207"/>
        <n v="-10.004"/>
        <n v="-9.834"/>
        <n v="-9.7963"/>
        <n v="-9.613"/>
        <n v="-9.593"/>
        <n v="-9.362"/>
        <n v="-9.3438"/>
        <n v="-9.3293"/>
        <n v="-9.307"/>
        <n v="-9.284000000000001"/>
        <n v="-9.182499999999999"/>
        <n v="-9.0618"/>
        <n v="-9.019"/>
        <n v="-8.8994"/>
        <n v="-8.782999999999999"/>
        <n v="-8.726000000000001"/>
        <n v="-8.465999999999999"/>
        <n v="-8.378"/>
        <n v="-8.338100000000001"/>
        <n v="-8.319000000000001"/>
        <n v="-8.294"/>
        <n v="-8.292"/>
        <n v="-8.258100000000001"/>
        <n v="-8.224"/>
        <n v="-8.207000000000001"/>
        <n v="-8.194000000000001"/>
        <n v="-8.151999999999999"/>
        <n v="-8.148"/>
        <n v="-8.144"/>
        <n v="-7.977"/>
        <n v="-7.847"/>
        <n v="-7.782"/>
        <n v="-7.747"/>
        <n v="-7.641"/>
        <n v="-7.6033"/>
        <n v="-7.5924"/>
        <n v="-7.551"/>
        <n v="-7.5082"/>
        <n v="-7.4921"/>
        <n v="-7.44"/>
        <n v="-7.41"/>
        <n v="-7.3718"/>
        <n v="-7.306"/>
        <n v="-7.2968"/>
        <n v="-7.2822"/>
        <n v="-7.2175"/>
        <n v="-7.2168"/>
        <n v="-7.169"/>
        <n v="-7.137"/>
        <n v="-7.133"/>
        <n v="-7.0852"/>
        <n v="-6.9746"/>
        <n v="-6.954"/>
        <n v="-6.9291"/>
        <n v="-6.92"/>
        <n v="-6.903"/>
        <n v="-6.845"/>
        <n v="-6.817"/>
        <n v="-6.7878"/>
        <n v="-6.7762"/>
        <n v="-6.759"/>
        <n v="-6.7547"/>
        <n v="-6.6704"/>
        <n v="-6.6558"/>
        <n v="-6.598"/>
        <n v="-6.5858"/>
        <n v="-6.57"/>
        <n v="-6.549"/>
        <n v="-6.533"/>
        <n v="-6.527"/>
        <n v="-6.518"/>
        <n v="-6.5108"/>
        <n v="-6.485"/>
        <n v="-6.482"/>
        <n v="-6.475"/>
        <n v="-6.4456"/>
        <n v="-6.4078"/>
        <n v="-6.351"/>
        <n v="-6.3043"/>
        <n v="-6.2464"/>
        <n v="-6.242"/>
        <n v="-6.2304"/>
        <n v="-6.224"/>
        <n v="-6.2237"/>
        <n v="-6.133"/>
        <n v="-6.0699"/>
        <n v="-6.029"/>
        <n v="-6.0255"/>
        <n v="-6.0033"/>
        <n v="-6.001"/>
        <n v="-5.9873"/>
        <n v="-5.978"/>
        <n v="-5.966"/>
        <n v="-5.931"/>
        <n v="-5.912"/>
        <n v="-5.881"/>
        <n v="-5.859"/>
        <n v="-5.844"/>
        <n v="-5.8119"/>
        <n v="-5.799"/>
        <n v="-5.771"/>
        <n v="-5.757"/>
        <n v="-5.746"/>
        <n v="-5.724"/>
        <n v="-5.7012"/>
        <n v="-5.678"/>
        <n v="-5.6368"/>
        <n v="-5.591"/>
        <n v="-5.581"/>
        <n v="-5.562"/>
        <n v="-5.5321"/>
        <n v="-5.5024"/>
        <n v="-5.496"/>
        <n v="-5.495"/>
        <n v="-5.486"/>
        <n v="-5.4624"/>
        <n v="-5.462"/>
        <n v="-5.437"/>
        <n v="-5.429"/>
        <n v="-5.375"/>
        <n v="-5.345"/>
        <n v="-5.311"/>
        <n v="-5.233"/>
        <n v="-5.228"/>
        <n v="-5.2005"/>
        <n v="-5.165"/>
        <n v="-5.159"/>
        <n v="-5.157"/>
        <n v="-5.147"/>
        <n v="-5.097"/>
        <n v="-5.095"/>
        <n v="-4.99"/>
        <n v="-4.963"/>
        <n v="-4.9559"/>
        <n v="-4.9521"/>
        <n v="-4.892"/>
        <n v="-4.8626"/>
        <n v="-4.836"/>
        <n v="-4.827"/>
        <n v="-4.8138"/>
        <n v="-4.786"/>
        <n v="-4.766"/>
        <n v="-4.751"/>
        <n v="-4.7294"/>
        <n v="-4.721"/>
        <n v="-4.694"/>
        <n v="-4.68"/>
        <n v="-4.651"/>
        <n v="-4.646"/>
        <n v="-4.612"/>
        <n v="-4.596"/>
        <n v="-4.539"/>
        <n v="-4.5049"/>
        <n v="-4.4898"/>
        <n v="-4.455"/>
        <n v="-4.438"/>
        <n v="-4.3762"/>
        <n v="-4.3724"/>
        <n v="-4.368"/>
        <n v="-4.2924"/>
        <n v="-4.2791"/>
        <n v="-4.2433"/>
        <n v="-4.218"/>
        <n v="-4.11"/>
        <n v="-4.1064"/>
        <n v="-4.102"/>
        <n v="-4.051"/>
        <n v="-4.029"/>
        <n v="-4.022"/>
        <n v="-4.003"/>
        <n v="-3.98"/>
        <n v="-3.917"/>
        <n v="-3.899"/>
        <n v="-3.898"/>
        <n v="-3.828"/>
        <n v="-3.762"/>
        <n v="-3.703"/>
        <n v="-3.6849"/>
        <n v="-3.665"/>
        <n v="-3.615"/>
        <n v="-3.609"/>
        <n v="-3.595"/>
        <n v="-3.562"/>
        <n v="-3.518"/>
        <n v="-3.517"/>
        <n v="-3.487"/>
        <n v="-3.4528"/>
        <n v="-3.302"/>
        <n v="-3.214"/>
        <n v="-3.212"/>
        <n v="-3.12"/>
        <n v="-2.961"/>
        <n v="-2.851"/>
        <n v="-2.778"/>
        <n v="-2.75"/>
        <n v="-2.693"/>
        <n v="-2.6286"/>
        <n v="-2.625"/>
        <n v="-2.52"/>
        <n v="-2.486"/>
        <n v="-2.482"/>
        <n v="-2.405"/>
        <n v="-2.332"/>
        <n v="-2.329"/>
        <n v="-2.312"/>
        <n v="-2.245"/>
        <n v="-2.1862"/>
        <n v="-2.174"/>
        <n v="-2.13"/>
        <n v="-2.0967"/>
        <n v="-2.071"/>
        <n v="-2.045"/>
        <n v="-1.999"/>
        <n v="-1.8146"/>
        <n v="-1.757"/>
        <n v="-1.714"/>
        <n v="-1.689"/>
        <n v="-1.644"/>
        <n v="-1.617"/>
        <n v="-1.511"/>
        <n v="-1.479"/>
        <n v="-1.2923"/>
        <n v="-1.266"/>
        <n v="-1.105"/>
        <n v="-1.034"/>
        <n v="-0.917"/>
        <n v="-0.891"/>
        <n v="-0.781"/>
        <n v="-0.72"/>
        <n v="-0.6909999999999999"/>
        <n v="-0.6831"/>
        <n v="-0.6212"/>
        <n v="-0.593"/>
        <n v="-0.5858"/>
        <n v="-0.578"/>
        <n v="-0.5669999999999999"/>
        <n v="-0.544"/>
        <n v="-0.443"/>
        <n v="-0.414"/>
        <n v="-0.2559"/>
        <n v="0.093"/>
        <n v="0.1684"/>
        <n v="0.207"/>
        <n v="0.3819"/>
        <n v="0.4261"/>
        <n v="0.4947"/>
        <n v="0.5125999999999999"/>
        <n v="0.587"/>
        <n v="0.729"/>
        <n v="0.802"/>
        <n v="0.8295"/>
        <n v="0.8696"/>
        <n v="0.9604"/>
        <n v="1"/>
        <n v="1.016"/>
        <n v="1.065"/>
        <n v="1.135"/>
        <n v="1.241"/>
        <n v="1.271"/>
        <n v="1.6213"/>
        <n v="1.819"/>
        <n v="1.885"/>
        <n v="1.8929"/>
        <n v="1.929"/>
        <n v="1.9604"/>
        <n v="1.989"/>
        <n v="2.085"/>
        <n v="2.164"/>
        <n v="2.19"/>
        <n v="2.258"/>
        <n v="2.2999"/>
        <n v="2.327"/>
        <n v="2.354"/>
        <n v="2.383"/>
        <n v="2.433"/>
        <n v="2.7401"/>
        <n v="2.768"/>
        <n v="2.824"/>
        <n v="2.872"/>
        <n v="2.908"/>
        <n v="2.965"/>
        <n v="2.966"/>
        <n v="3.295"/>
        <n v="3.748"/>
        <n v="3.849"/>
        <n v="3.886"/>
        <n v="3.8965"/>
        <n v="4.4782"/>
        <n v="4.695"/>
        <n v="4.756"/>
        <n v="5.0074"/>
        <n v="5.139"/>
        <n v="5.2834"/>
        <n v="5.293"/>
        <n v="5.397"/>
        <n v="5.41"/>
        <n v="5.5043"/>
        <n v="5.7732"/>
        <n v="5.8983"/>
        <n v="5.9045"/>
        <n v="6.033"/>
        <n v="6.1572"/>
        <n v="6.4547"/>
        <n v="6.497"/>
        <n v="6.631"/>
        <n v="6.6969"/>
        <n v="6.7567"/>
        <n v="6.8431"/>
        <n v="6.898"/>
        <n v="6.9098"/>
        <n v="6.91"/>
        <n v="7.042"/>
        <n v="7.2096"/>
        <n v="7.5904"/>
        <n v="7.6712"/>
        <n v="7.742"/>
        <n v="7.881"/>
        <n v="7.92"/>
        <n v="7.929"/>
        <n v="7.9401"/>
        <n v="8.416"/>
        <n v="8.879"/>
        <n v="8.8894"/>
        <n v="9.044"/>
        <n v="9.454000000000001"/>
        <n v="9.462999999999999"/>
        <n v="9.514699999999999"/>
        <n v="9.789999999999999"/>
        <n v="9.8796"/>
        <n v="9.9071"/>
        <n v="9.999000000000001"/>
        <n v="10.085"/>
        <n v="10.086"/>
        <n v="10.598"/>
        <n v="10.701"/>
        <n v="10.7731"/>
        <n v="10.811"/>
        <n v="11.005"/>
        <n v="11.112"/>
        <n v="11.1269"/>
        <n v="11.245"/>
        <n v="11.422"/>
        <n v="11.5538"/>
        <n v="11.642"/>
        <n v="11.657"/>
        <n v="11.763"/>
        <n v="11.905"/>
        <n v="11.9097"/>
        <n v="12.0065"/>
        <n v="12.025"/>
        <n v="12.139"/>
        <n v="12.1598"/>
        <n v="12.5262"/>
        <n v="12.614"/>
        <n v="12.626"/>
        <n v="12.686"/>
        <n v="12.814"/>
        <n v="13.036"/>
        <n v="13.049"/>
        <n v="13.088"/>
        <n v="13.1994"/>
        <n v="13.351"/>
        <n v="13.554"/>
        <n v="13.626"/>
        <n v="13.667"/>
        <n v="13.671"/>
        <n v="13.6989"/>
        <n v="13.7174"/>
        <n v="13.7641"/>
        <n v="13.849"/>
        <n v="13.8672"/>
        <n v="13.925"/>
        <n v="13.986"/>
        <n v="13.988"/>
        <n v="14.099"/>
        <n v="14.101"/>
        <n v="14.129"/>
        <n v="14.374"/>
        <n v="14.423"/>
        <n v="14.6682"/>
        <n v="14.6802"/>
        <n v="14.724"/>
        <n v="14.9091"/>
        <n v="14.944"/>
        <n v="15.0222"/>
        <n v="15.766"/>
        <n v="15.782"/>
        <n v="15.8015"/>
        <n v="15.9163"/>
        <n v="15.978"/>
        <n v="16.059"/>
        <n v="16.333"/>
        <n v="16.357"/>
        <n v="16.3855"/>
        <n v="16.493"/>
        <n v="16.731"/>
        <n v="16.779"/>
        <n v="16.84"/>
        <n v="16.9502"/>
        <n v="16.985"/>
        <n v="17.208"/>
        <n v="17.397"/>
        <n v="17.4825"/>
        <n v="17.5978"/>
        <n v="17.6"/>
        <n v="17.986"/>
        <n v="18.198"/>
        <n v="18.219"/>
        <n v="18.229"/>
        <n v="18.33"/>
        <n v="18.3521"/>
        <n v="18.3667"/>
        <n v="18.386"/>
        <n v="18.443"/>
        <n v="18.5429"/>
        <n v="18.5499"/>
        <n v="18.684"/>
        <n v="18.728"/>
        <n v="18.77"/>
        <n v="18.8239"/>
        <n v="18.958"/>
        <n v="19.055"/>
        <n v="19.3182"/>
        <n v="19.4193"/>
        <n v="19.877"/>
        <n v="19.917"/>
        <n v="20.0196"/>
        <n v="20.687"/>
        <n v="20.9228"/>
        <n v="21.799"/>
        <n v="21.898"/>
        <n v="21.966"/>
        <n v="21.974"/>
        <n v="22.306"/>
        <n v="23.005"/>
        <n v="23.029"/>
        <n v="23.039"/>
        <n v="23.0944"/>
        <n v="23.1444"/>
        <n v="23.3421"/>
        <n v="23.419"/>
        <n v="23.5414"/>
        <n v="23.738"/>
        <n v="23.772"/>
        <n v="23.954"/>
        <n v="24.279"/>
        <n v="24.53"/>
        <n v="24.696"/>
        <n v="24.8036"/>
        <n v="24.913"/>
        <n v="25.93"/>
        <n v="26.0913"/>
        <n v="26.092"/>
        <n v="26.951"/>
        <n v="27.1825"/>
        <n v="27.291"/>
        <n v="27.4312"/>
        <n v="27.73"/>
        <n v="27.7375"/>
        <n v="27.7711"/>
        <n v="27.8087"/>
        <n v="27.8386"/>
        <n v="27.929"/>
        <n v="28.033"/>
        <n v="28.094"/>
        <n v="28.164"/>
        <n v="28.2244"/>
        <n v="28.2305"/>
        <n v="28.343"/>
        <n v="28.412"/>
        <n v="28.696"/>
        <n v="28.777"/>
        <n v="28.826"/>
        <n v="28.9386"/>
        <n v="28.995"/>
        <n v="29.039"/>
        <n v="29.218"/>
        <n v="29.7263"/>
        <n v="29.9377"/>
        <n v="29.976"/>
        <n v="30.154"/>
        <n v="30.308"/>
        <n v="30.512"/>
        <n v="30.568"/>
        <n v="30.901"/>
        <n v="31.0009"/>
        <n v="31.002"/>
        <n v="31.789"/>
        <n v="31.885"/>
        <n v="32.2862"/>
        <n v="32.7906"/>
        <n v="32.821"/>
        <n v="33.07"/>
        <n v="33.165"/>
        <n v="33.167"/>
        <n v="33.184"/>
        <n v="33.1926"/>
        <n v="33.205"/>
        <n v="33.807"/>
        <n v="33.825"/>
        <n v="33.901"/>
        <n v="34.064"/>
        <n v="34.083"/>
        <n v="34.1818"/>
        <n v="34.539"/>
        <n v="34.556"/>
        <n v="34.5861"/>
        <n v="34.6033"/>
        <n v="34.9109"/>
        <n v="35.069"/>
        <n v="35.1456"/>
        <n v="35.345"/>
        <n v="35.456"/>
        <n v="35.49"/>
        <n v="35.5142"/>
        <n v="35.626"/>
        <n v="35.7005"/>
        <n v="35.7695"/>
        <n v="35.9053"/>
        <n v="35.946"/>
        <n v="36.164"/>
        <n v="36.166"/>
        <n v="36.281"/>
        <n v="36.311"/>
        <n v="36.345"/>
        <n v="36.357"/>
        <n v="36.411"/>
        <n v="36.419"/>
        <n v="36.4725"/>
        <n v="36.501"/>
        <n v="36.502"/>
        <n v="36.512"/>
        <n v="36.522"/>
        <n v="36.5227"/>
        <n v="36.5244"/>
        <n v="36.808"/>
        <n v="36.9293"/>
        <n v="36.964"/>
        <n v="37.001"/>
        <n v="37.0052"/>
        <n v="37.106"/>
        <n v="37.1557"/>
        <n v="37.2012"/>
        <n v="37.226"/>
        <n v="37.336"/>
        <n v="37.353"/>
        <n v="37.3931"/>
        <n v="37.4135"/>
        <n v="37.5203"/>
        <n v="37.535"/>
        <n v="37.55"/>
        <n v="37.552"/>
        <n v="37.57"/>
        <n v="37.661"/>
        <n v="37.6856"/>
        <n v="37.7015"/>
        <n v="37.745"/>
        <n v="37.812"/>
        <n v="37.8167"/>
        <n v="37.89"/>
        <n v="37.8973"/>
        <n v="38.0235"/>
        <n v="38.058"/>
        <n v="38.0726"/>
        <n v="38.089"/>
        <n v="38.1689"/>
        <n v="38.2107"/>
        <n v="38.2296"/>
        <n v="38.276"/>
        <n v="38.297"/>
        <n v="38.401"/>
        <n v="38.4312"/>
        <n v="38.435"/>
        <n v="38.4752"/>
        <n v="38.573"/>
        <n v="38.67"/>
        <n v="38.721"/>
        <n v="38.849"/>
        <n v="38.9056"/>
        <n v="39.03"/>
        <n v="39.059"/>
        <n v="39.241"/>
        <n v="39.2732"/>
        <n v="39.402"/>
        <n v="39.533"/>
        <n v="39.566"/>
        <n v="39.802"/>
        <n v="39.8558"/>
        <n v="39.955"/>
        <n v="40.149"/>
        <n v="40.167"/>
        <n v="40.245"/>
        <n v="40.273"/>
        <n v="40.2893"/>
        <n v="40.4535"/>
        <n v="40.652"/>
        <n v="40.748"/>
        <n v="40.758"/>
        <n v="40.8287"/>
        <n v="41.292"/>
        <n v="41.774"/>
        <n v="41.815"/>
        <n v="41.892"/>
        <n v="41.9723"/>
        <n v="42.45"/>
        <n v="42.648"/>
        <n v="42.6861"/>
        <n v="42.77"/>
        <n v="42.8621"/>
        <n v="42.9"/>
        <n v="43.006"/>
        <n v="43.046"/>
        <n v="43.207"/>
        <n v="44.4646"/>
        <n v="44.663"/>
        <n v="45.324"/>
        <n v="45.6161"/>
        <n v="46.221"/>
        <n v="46.243"/>
        <n v="46.592"/>
        <n v="47.149"/>
        <n v="48.786"/>
        <n v="48.9638"/>
        <n v="49.2586"/>
        <n v="49.277"/>
        <n v="49.2902"/>
        <n v="49.297"/>
        <n v="49.3346"/>
        <n v="49.6388"/>
        <n v="49.8"/>
        <n v="50.038"/>
        <n v="50.211"/>
        <n v="50.954"/>
        <n v="50.958"/>
        <n v="51.148"/>
        <n v="51.2407"/>
        <n v="51.4234"/>
        <n v="51.478"/>
        <n v="51.537"/>
        <n v="51.5573"/>
        <n v="51.564"/>
        <n v="51.587"/>
        <n v="51.708"/>
        <n v="51.842"/>
        <n v="51.8486"/>
        <n v="52.056"/>
        <n v="52.235"/>
        <n v="52.376"/>
        <n v="52.3909"/>
        <n v="52.48"/>
        <n v="52.502"/>
        <n v="52.6252"/>
        <n v="52.629"/>
        <n v="52.6563"/>
        <n v="52.7772"/>
        <n v="52.788"/>
        <n v="52.8549"/>
        <n v="52.886"/>
        <n v="53.1995"/>
        <n v="53.826"/>
        <n v="53.9776"/>
        <n v="54.0312"/>
        <n v="54.3844"/>
        <n v="54.4434"/>
        <n v="54.49"/>
        <n v="54.662"/>
        <n v="54.7018"/>
        <n v="54.841"/>
        <n v="54.892"/>
        <n v="55.0999"/>
        <n v="55.1079"/>
        <n v="55.228"/>
        <n v="55.2364"/>
        <n v="55.2657"/>
        <n v="55.3154"/>
        <n v="55.4742"/>
        <n v="55.492"/>
        <n v="55.682"/>
        <n v="56.0039"/>
        <n v="56.2581"/>
        <n v="56.594"/>
        <n v="56.7744"/>
        <n v="56.9401"/>
        <n v="57.3424"/>
        <n v="57.3546"/>
        <n v="58.775"/>
        <n v="59.6204"/>
        <n v="60.491"/>
        <n v="60.772"/>
        <n v="60.949"/>
        <n v="61.3464"/>
        <n v="63.5141"/>
        <n v="63.5144"/>
        <n v="63.966"/>
        <n v="63.98"/>
        <n v="67.631"/>
        <n v="71.63120000000001"/>
      </sharedItems>
    </cacheField>
    <cacheField name="longitude" uniqueList="1" numFmtId="0" sqlType="0" hierarchy="0" level="0" databaseField="1">
      <sharedItems count="992" containsNumber="1" containsSemiMixedTypes="0" containsString="0" minValue="-179.968" maxValue="179.662">
        <n v="-179.968"/>
        <n v="-179.511"/>
        <n v="-179.376"/>
        <n v="-179.373"/>
        <n v="-178.959"/>
        <n v="-178.927"/>
        <n v="-178.804"/>
        <n v="-178.787"/>
        <n v="-178.6"/>
        <n v="-178.57"/>
        <n v="-178.4"/>
        <n v="-178.346"/>
        <n v="-178.323"/>
        <n v="-178.244"/>
        <n v="-178.204"/>
        <n v="-178.153"/>
        <n v="-178.1"/>
        <n v="-178.063"/>
        <n v="-178.026"/>
        <n v="-177.897"/>
        <n v="-177.881"/>
        <n v="-177.842"/>
        <n v="-177.838"/>
        <n v="-177.773"/>
        <n v="-177.759"/>
        <n v="-177.74"/>
        <n v="-177.725"/>
        <n v="-177.668"/>
        <n v="-177.632"/>
        <n v="-177.607"/>
        <n v="-177.516"/>
        <n v="-177.356"/>
        <n v="-177.232"/>
        <n v="-177.224"/>
        <n v="-177.208"/>
        <n v="-177.064"/>
        <n v="-176.847"/>
        <n v="-176.772"/>
        <n v="-176.729"/>
        <n v="-176.619"/>
        <n v="-176.545"/>
        <n v="-176.46"/>
        <n v="-176.376"/>
        <n v="-176.34"/>
        <n v="-176.235"/>
        <n v="-176.112"/>
        <n v="-175.51"/>
        <n v="-175.272"/>
        <n v="-175.23"/>
        <n v="-174.937"/>
        <n v="-174.767"/>
        <n v="-174.705"/>
        <n v="-174.66"/>
        <n v="-174.608"/>
        <n v="-174.248"/>
        <n v="-174.123"/>
        <n v="-173.907"/>
        <n v="-173.168"/>
        <n v="-173.029"/>
        <n v="-172.968"/>
        <n v="-172.129"/>
        <n v="-172.095"/>
        <n v="-172.033"/>
        <n v="-169.446"/>
        <n v="-169.123"/>
        <n v="-168.15"/>
        <n v="-168.08"/>
        <n v="-167.917"/>
        <n v="-167.736"/>
        <n v="-160.796"/>
        <n v="-160.699"/>
        <n v="-159.675"/>
        <n v="-158.477"/>
        <n v="-157.917"/>
        <n v="-157.829"/>
        <n v="-157.707"/>
        <n v="-157.68"/>
        <n v="-156.492"/>
        <n v="-156.43"/>
        <n v="-155.935"/>
        <n v="-155"/>
        <n v="-154.701"/>
        <n v="-154.347"/>
        <n v="-154.198"/>
        <n v="-153.339"/>
        <n v="-153.281"/>
        <n v="-149.955"/>
        <n v="-149.166"/>
        <n v="-147.912"/>
        <n v="-147.453"/>
        <n v="-134.859"/>
        <n v="-132.101"/>
        <n v="-129.724"/>
        <n v="-129.412"/>
        <n v="-129.289"/>
        <n v="-128.772"/>
        <n v="-127.732"/>
        <n v="-126.194"/>
        <n v="-125.953"/>
        <n v="-125.134"/>
        <n v="-124.692"/>
        <n v="-122.727"/>
        <n v="-121.101"/>
        <n v="-117.85"/>
        <n v="-117.599"/>
        <n v="-116.265"/>
        <n v="-115.295"/>
        <n v="-115.118"/>
        <n v="-113.104"/>
        <n v="-112.903"/>
        <n v="-112.117"/>
        <n v="-110.321"/>
        <n v="-110.284"/>
        <n v="-109.623"/>
        <n v="-109.156"/>
        <n v="-106.934"/>
        <n v="-104.205"/>
        <n v="-104.104"/>
        <n v="-103.252"/>
        <n v="-102.913"/>
        <n v="-102.756"/>
        <n v="-102.689"/>
        <n v="-102.48"/>
        <n v="-101.604"/>
        <n v="-100.972"/>
        <n v="-100.965"/>
        <n v="-100.865"/>
        <n v="-99.789"/>
        <n v="-99.7877"/>
        <n v="-98.59699999999999"/>
        <n v="-98.48869999999999"/>
        <n v="-98.23099999999999"/>
        <n v="-98.21599999999999"/>
        <n v="-98.06999999999999"/>
        <n v="-97.9787"/>
        <n v="-97.43600000000001"/>
        <n v="-96.931"/>
        <n v="-95.9533"/>
        <n v="-94.33799999999999"/>
        <n v="-94.304"/>
        <n v="-93.8993"/>
        <n v="-93.633"/>
        <n v="-93.46899999999999"/>
        <n v="-92.4614"/>
        <n v="-92.45269999999999"/>
        <n v="-92.364"/>
        <n v="-92.164"/>
        <n v="-92.00920000000001"/>
        <n v="-91.895"/>
        <n v="-91.473"/>
        <n v="-90.9718"/>
        <n v="-90.774"/>
        <n v="-90.61799999999999"/>
        <n v="-89.3056"/>
        <n v="-88.938"/>
        <n v="-88.8968"/>
        <n v="-88.80800000000001"/>
        <n v="-88.66"/>
        <n v="-88.59"/>
        <n v="-88.33"/>
        <n v="-88.12649999999999"/>
        <n v="-88.1225"/>
        <n v="-87.85420000000001"/>
        <n v="-86.9919"/>
        <n v="-86.926"/>
        <n v="-86.85599999999999"/>
        <n v="-86.77200000000001"/>
        <n v="-86.66500000000001"/>
        <n v="-86.217"/>
        <n v="-86.172"/>
        <n v="-85.8779"/>
        <n v="-85.315"/>
        <n v="-85.298"/>
        <n v="-84.48650000000001"/>
        <n v="-84.15900000000001"/>
        <n v="-83.52"/>
        <n v="-82.8813"/>
        <n v="-82.824"/>
        <n v="-82.79300000000001"/>
        <n v="-82.6865"/>
        <n v="-82.6576"/>
        <n v="-82.3396"/>
        <n v="-82.3045"/>
        <n v="-81.40900000000001"/>
        <n v="-80.393"/>
        <n v="-79.9218"/>
        <n v="-79.8001"/>
        <n v="-79.7899"/>
        <n v="-79.616"/>
        <n v="-79.587"/>
        <n v="-78.756"/>
        <n v="-78.581"/>
        <n v="-78.1999"/>
        <n v="-77.96299999999999"/>
        <n v="-77.881"/>
        <n v="-77.851"/>
        <n v="-77.83799999999999"/>
        <n v="-77.82899999999999"/>
        <n v="-77.508"/>
        <n v="-77.393"/>
        <n v="-77.306"/>
        <n v="-77.12309999999999"/>
        <n v="-77.0505"/>
        <n v="-76.9395"/>
        <n v="-76.84610000000001"/>
        <n v="-76.681"/>
        <n v="-76.67700000000001"/>
        <n v="-76.60299999999999"/>
        <n v="-76.398"/>
        <n v="-76.36199999999999"/>
        <n v="-75.96599999999999"/>
        <n v="-75.749"/>
        <n v="-75.675"/>
        <n v="-75.577"/>
        <n v="-75.2697"/>
        <n v="-75.048"/>
        <n v="-74.9067"/>
        <n v="-74.7092"/>
        <n v="-74.52500000000001"/>
        <n v="-74.5112"/>
        <n v="-74.238"/>
        <n v="-73.98699999999999"/>
        <n v="-73.9413"/>
        <n v="-73.64100000000001"/>
        <n v="-73.5714"/>
        <n v="-73.4804"/>
        <n v="-73.40600000000001"/>
        <n v="-73.374"/>
        <n v="-73.32599999999999"/>
        <n v="-73.31"/>
        <n v="-73.25700000000001"/>
        <n v="-73.163"/>
        <n v="-72.95999999999999"/>
        <n v="-72.898"/>
        <n v="-72.834"/>
        <n v="-72.66200000000001"/>
        <n v="-72.571"/>
        <n v="-72.31019999999999"/>
        <n v="-72.217"/>
        <n v="-72.077"/>
        <n v="-72.0617"/>
        <n v="-72.0585"/>
        <n v="-72.0068"/>
        <n v="-71.89100000000001"/>
        <n v="-71.872"/>
        <n v="-71.804"/>
        <n v="-71.79900000000001"/>
        <n v="-71.715"/>
        <n v="-71.6876"/>
        <n v="-71.67440000000001"/>
        <n v="-71.649"/>
        <n v="-71.637"/>
        <n v="-71.587"/>
        <n v="-71.5215"/>
        <n v="-71.45189999999999"/>
        <n v="-71.42619999999999"/>
        <n v="-71.417"/>
        <n v="-71.41"/>
        <n v="-71.3937"/>
        <n v="-71.3815"/>
        <n v="-71.3792"/>
        <n v="-71.36499999999999"/>
        <n v="-71.2574"/>
        <n v="-71.22"/>
        <n v="-71.19580000000001"/>
        <n v="-71.1647"/>
        <n v="-71.124"/>
        <n v="-71.056"/>
        <n v="-71.02200000000001"/>
        <n v="-71.0184"/>
        <n v="-70.9455"/>
        <n v="-70.94370000000001"/>
        <n v="-70.8284"/>
        <n v="-70.76909999999999"/>
        <n v="-70.7022"/>
        <n v="-70.65300000000001"/>
        <n v="-70.586"/>
        <n v="-70.57559999999999"/>
        <n v="-70.52500000000001"/>
        <n v="-70.4931"/>
        <n v="-70.37309999999999"/>
        <n v="-70.321"/>
        <n v="-70.3081"/>
        <n v="-70.294"/>
        <n v="-70.23699999999999"/>
        <n v="-70.20699999999999"/>
        <n v="-70.182"/>
        <n v="-70.1546"/>
        <n v="-70.093"/>
        <n v="-69.89"/>
        <n v="-69.197"/>
        <n v="-69.17100000000001"/>
        <n v="-68.4204"/>
        <n v="-68.32899999999999"/>
        <n v="-67.895"/>
        <n v="-66.7236"/>
        <n v="-66.688"/>
        <n v="-66.5108"/>
        <n v="-66.452"/>
        <n v="-65.431"/>
        <n v="-63.9047"/>
        <n v="-63.486"/>
        <n v="-63.0394"/>
        <n v="-63.0058"/>
        <n v="-62.9019"/>
        <n v="-61.274"/>
        <n v="-61.0955"/>
        <n v="-60.892"/>
        <n v="-58.9272"/>
        <n v="-58.5479"/>
        <n v="-55.559"/>
        <n v="-47.0621"/>
        <n v="-46.4011"/>
        <n v="-43.411"/>
        <n v="-42.594"/>
        <n v="-29.7046"/>
        <n v="-28.3669"/>
        <n v="-26.9353"/>
        <n v="-26.8332"/>
        <n v="-26.5801"/>
        <n v="-26.3856"/>
        <n v="-25.7432"/>
        <n v="-25.3206"/>
        <n v="-25.304"/>
        <n v="-25.1874"/>
        <n v="-25.07"/>
        <n v="-24.9992"/>
        <n v="-24.4608"/>
        <n v="-23.3318"/>
        <n v="-20.758"/>
        <n v="-20.487"/>
        <n v="-11.2431"/>
        <n v="2.1628"/>
        <n v="3.634"/>
        <n v="13.0961"/>
        <n v="20.5565"/>
        <n v="20.6"/>
        <n v="20.656"/>
        <n v="21.67"/>
        <n v="21.695"/>
        <n v="21.863"/>
        <n v="22.283"/>
        <n v="23.212"/>
        <n v="23.2523"/>
        <n v="24.244"/>
        <n v="25.1558"/>
        <n v="25.3889"/>
        <n v="25.7101"/>
        <n v="26.7953"/>
        <n v="27.4139"/>
        <n v="29.83"/>
        <n v="29.864"/>
        <n v="30.709"/>
        <n v="31.161"/>
        <n v="31.271"/>
        <n v="31.9095"/>
        <n v="32.126"/>
        <n v="33.583"/>
        <n v="34.799"/>
        <n v="36.8306"/>
        <n v="36.9997"/>
        <n v="37.203"/>
        <n v="39.0609"/>
        <n v="42.3568"/>
        <n v="43.508"/>
        <n v="45.9592"/>
        <n v="49.047"/>
        <n v="49.946"/>
        <n v="49.954"/>
        <n v="54.799"/>
        <n v="57.193"/>
        <n v="57.291"/>
        <n v="57.605"/>
        <n v="58.311"/>
        <n v="59.18"/>
        <n v="59.809"/>
        <n v="61.996"/>
        <n v="63.951"/>
        <n v="65.5009"/>
        <n v="65.5052"/>
        <n v="66.3745"/>
        <n v="68.208"/>
        <n v="70.11"/>
        <n v="70.232"/>
        <n v="70.3676"/>
        <n v="70.482"/>
        <n v="70.74299999999999"/>
        <n v="70.94499999999999"/>
        <n v="70.9787"/>
        <n v="71.029"/>
        <n v="71.093"/>
        <n v="71.1311"/>
        <n v="71.23999999999999"/>
        <n v="72.77970000000001"/>
        <n v="73.2077"/>
        <n v="73.58799999999999"/>
        <n v="73.824"/>
        <n v="73.9776"/>
        <n v="78.133"/>
        <n v="79.40300000000001"/>
        <n v="81.467"/>
        <n v="82.5864"/>
        <n v="83.52"/>
        <n v="84.73139999999999"/>
        <n v="84.8216"/>
        <n v="86.01730000000001"/>
        <n v="86.0655"/>
        <n v="87.325"/>
        <n v="87.721"/>
        <n v="87.813"/>
        <n v="88.155"/>
        <n v="90.541"/>
        <n v="91.824"/>
        <n v="91.93600000000001"/>
        <n v="92.19"/>
        <n v="92.375"/>
        <n v="92.46299999999999"/>
        <n v="92.831"/>
        <n v="92.902"/>
        <n v="92.958"/>
        <n v="93.063"/>
        <n v="93.068"/>
        <n v="93.20999999999999"/>
        <n v="93.65049999999999"/>
        <n v="94.32989999999999"/>
        <n v="94.569"/>
        <n v="94.648"/>
        <n v="94.86539999999999"/>
        <n v="95.592"/>
        <n v="95.672"/>
        <n v="95.88500000000001"/>
        <n v="95.911"/>
        <n v="95.964"/>
        <n v="95.982"/>
        <n v="95.991"/>
        <n v="96.018"/>
        <n v="96.08499999999999"/>
        <n v="96.1678"/>
        <n v="96.548"/>
        <n v="96.64749999999999"/>
        <n v="96.786"/>
        <n v="97.041"/>
        <n v="97.048"/>
        <n v="97.05"/>
        <n v="97.08199999999999"/>
        <n v="97.108"/>
        <n v="97.453"/>
        <n v="97.893"/>
        <n v="98.2551"/>
        <n v="98.459"/>
        <n v="98.5339"/>
        <n v="98.60339999999999"/>
        <n v="99.196"/>
        <n v="99.261"/>
        <n v="99.48999999999999"/>
        <n v="99.607"/>
        <n v="99.627"/>
        <n v="99.66800000000001"/>
        <n v="99.779"/>
        <n v="99.80800000000001"/>
        <n v="99.822"/>
        <n v="99.867"/>
        <n v="99.89100000000001"/>
        <n v="99.931"/>
        <n v="99.97199999999999"/>
        <n v="100.082"/>
        <n v="100.139"/>
        <n v="100.141"/>
        <n v="100.276"/>
        <n v="100.443"/>
        <n v="100.665"/>
        <n v="100.738"/>
        <n v="100.841"/>
        <n v="100.991"/>
        <n v="101.02"/>
        <n v="101.095"/>
        <n v="101.215"/>
        <n v="101.299"/>
        <n v="101.367"/>
        <n v="101.436"/>
        <n v="101.524"/>
        <n v="101.776"/>
        <n v="101.905"/>
        <n v="102.087"/>
        <n v="102.102"/>
        <n v="102.279"/>
        <n v="102.562"/>
        <n v="102.888"/>
        <n v="103.322"/>
        <n v="103.855"/>
        <n v="104.791"/>
        <n v="105.251"/>
        <n v="105.555"/>
        <n v="105.63"/>
        <n v="107.236"/>
        <n v="107.297"/>
        <n v="107.419"/>
        <n v="108.163"/>
        <n v="108.174"/>
        <n v="110.678"/>
        <n v="112.033"/>
        <n v="112.413"/>
        <n v="116.438"/>
        <n v="116.627"/>
        <n v="118.37"/>
        <n v="118.467"/>
        <n v="118.631"/>
        <n v="119.584"/>
        <n v="119.74"/>
        <n v="119.802"/>
        <n v="119.846"/>
        <n v="119.931"/>
        <n v="120.254"/>
        <n v="120.358"/>
        <n v="120.431"/>
        <n v="120.45"/>
        <n v="120.493"/>
        <n v="120.534"/>
        <n v="120.547"/>
        <n v="120.713"/>
        <n v="120.743"/>
        <n v="120.809"/>
        <n v="120.982"/>
        <n v="121.158"/>
        <n v="121.307"/>
        <n v="121.348"/>
        <n v="121.362"/>
        <n v="121.498"/>
        <n v="121.636"/>
        <n v="121.937"/>
        <n v="122.091"/>
        <n v="122.129"/>
        <n v="122.179"/>
        <n v="122.2"/>
        <n v="122.535"/>
        <n v="122.536"/>
        <n v="122.58"/>
        <n v="122.589"/>
        <n v="122.617"/>
        <n v="122.694"/>
        <n v="122.734"/>
        <n v="122.839"/>
        <n v="123.074"/>
        <n v="123.126"/>
        <n v="123.206"/>
        <n v="123.337"/>
        <n v="123.48"/>
        <n v="123.493"/>
        <n v="123.573"/>
        <n v="123.907"/>
        <n v="124.117"/>
        <n v="124.13"/>
        <n v="124.249"/>
        <n v="124.629"/>
        <n v="124.868"/>
        <n v="124.875"/>
        <n v="124.891"/>
        <n v="125.008"/>
        <n v="125.066"/>
        <n v="125.127"/>
        <n v="125.154"/>
        <n v="125.174"/>
        <n v="125.178"/>
        <n v="125.297"/>
        <n v="125.308"/>
        <n v="125.416"/>
        <n v="125.452"/>
        <n v="125.63"/>
        <n v="125.779"/>
        <n v="126.189"/>
        <n v="126.249"/>
        <n v="126.282"/>
        <n v="126.284"/>
        <n v="126.334"/>
        <n v="126.387"/>
        <n v="126.416"/>
        <n v="126.421"/>
        <n v="126.48"/>
        <n v="126.522"/>
        <n v="126.575"/>
        <n v="126.579"/>
        <n v="126.638"/>
        <n v="126.742"/>
        <n v="126.758"/>
        <n v="126.764"/>
        <n v="126.837"/>
        <n v="126.862"/>
        <n v="126.899"/>
        <n v="126.921"/>
        <n v="126.976"/>
        <n v="127.051"/>
        <n v="127.056"/>
        <n v="127.214"/>
        <n v="127.363"/>
        <n v="127.367"/>
        <n v="127.394"/>
        <n v="127.4"/>
        <n v="127.464"/>
        <n v="127.517"/>
        <n v="127.581"/>
        <n v="127.647"/>
        <n v="127.921"/>
        <n v="128.02"/>
        <n v="128.034"/>
        <n v="128.221"/>
        <n v="128.262"/>
        <n v="128.37"/>
        <n v="128.425"/>
        <n v="128.855"/>
        <n v="128.873"/>
        <n v="128.946"/>
        <n v="129.022"/>
        <n v="129.151"/>
        <n v="129.169"/>
        <n v="129.508"/>
        <n v="129.782"/>
        <n v="129.785"/>
        <n v="129.825"/>
        <n v="129.933"/>
        <n v="130.039"/>
        <n v="130.131"/>
        <n v="130.148"/>
        <n v="130.175"/>
        <n v="130.385"/>
        <n v="130.754"/>
        <n v="131.093"/>
        <n v="131.262"/>
        <n v="131.314"/>
        <n v="131.468"/>
        <n v="132.526"/>
        <n v="132.885"/>
        <n v="133.091"/>
        <n v="133.13"/>
        <n v="133.134"/>
        <n v="133.305"/>
        <n v="133.76"/>
        <n v="133.973"/>
        <n v="134.03"/>
        <n v="134.276"/>
        <n v="134.297"/>
        <n v="134.85"/>
        <n v="135.023"/>
        <n v="135.339"/>
        <n v="135.404"/>
        <n v="135.538"/>
        <n v="135.84"/>
        <n v="136.225"/>
        <n v="136.484"/>
        <n v="136.543"/>
        <n v="136.588"/>
        <n v="136.618"/>
        <n v="136.952"/>
        <n v="137.071"/>
        <n v="137.227"/>
        <n v="137.944"/>
        <n v="138.446"/>
        <n v="138.476"/>
        <n v="138.528"/>
        <n v="138.779"/>
        <n v="138.833"/>
        <n v="138.901"/>
        <n v="138.92"/>
        <n v="139.376"/>
        <n v="139.725"/>
        <n v="140.233"/>
        <n v="140.395"/>
        <n v="140.401"/>
        <n v="140.493"/>
        <n v="140.881"/>
        <n v="141.089"/>
        <n v="141.111"/>
        <n v="141.387"/>
        <n v="141.464"/>
        <n v="141.491"/>
        <n v="141.526"/>
        <n v="141.562"/>
        <n v="141.568"/>
        <n v="141.587"/>
        <n v="141.588"/>
        <n v="141.59"/>
        <n v="141.607"/>
        <n v="141.665"/>
        <n v="141.926"/>
        <n v="141.929"/>
        <n v="141.992"/>
        <n v="142.032"/>
        <n v="142.039"/>
        <n v="142.122"/>
        <n v="142.205"/>
        <n v="142.214"/>
        <n v="142.246"/>
        <n v="142.373"/>
        <n v="142.38"/>
        <n v="142.427"/>
        <n v="142.452"/>
        <n v="142.463"/>
        <n v="142.508"/>
        <n v="142.542"/>
        <n v="142.612"/>
        <n v="142.619"/>
        <n v="142.714"/>
        <n v="142.754"/>
        <n v="142.779"/>
        <n v="142.781"/>
        <n v="142.827"/>
        <n v="142.842"/>
        <n v="142.881"/>
        <n v="142.945"/>
        <n v="143.092"/>
        <n v="143.155"/>
        <n v="143.485"/>
        <n v="143.593"/>
        <n v="143.754"/>
        <n v="143.807"/>
        <n v="143.91"/>
        <n v="143.949"/>
        <n v="144.362"/>
        <n v="144.38"/>
        <n v="144.429"/>
        <n v="144.57"/>
        <n v="144.59"/>
        <n v="144.619"/>
        <n v="144.661"/>
        <n v="144.828"/>
        <n v="144.901"/>
        <n v="144.98"/>
        <n v="145.064"/>
        <n v="145.119"/>
        <n v="145.228"/>
        <n v="145.288"/>
        <n v="145.507"/>
        <n v="145.955"/>
        <n v="146.169"/>
        <n v="146.199"/>
        <n v="146.449"/>
        <n v="146.471"/>
        <n v="146.809"/>
        <n v="146.822"/>
        <n v="146.837"/>
        <n v="147.098"/>
        <n v="147.117"/>
        <n v="147.408"/>
        <n v="147.755"/>
        <n v="147.867"/>
        <n v="147.881"/>
        <n v="148.174"/>
        <n v="148.232"/>
        <n v="148.763"/>
        <n v="148.82"/>
        <n v="148.887"/>
        <n v="148.959"/>
        <n v="149.3"/>
        <n v="149.487"/>
        <n v="149.568"/>
        <n v="149.706"/>
        <n v="149.892"/>
        <n v="149.977"/>
        <n v="150.196"/>
        <n v="150.428"/>
        <n v="150.59"/>
        <n v="150.765"/>
        <n v="150.788"/>
        <n v="150.876"/>
        <n v="150.88"/>
        <n v="150.917"/>
        <n v="150.982"/>
        <n v="151.133"/>
        <n v="151.195"/>
        <n v="151.205"/>
        <n v="151.248"/>
        <n v="151.402"/>
        <n v="151.444"/>
        <n v="151.5"/>
        <n v="151.515"/>
        <n v="151.714"/>
        <n v="151.771"/>
        <n v="151.777"/>
        <n v="151.781"/>
        <n v="151.84"/>
        <n v="151.875"/>
        <n v="152.127"/>
        <n v="152.169"/>
        <n v="152.174"/>
        <n v="152.486"/>
        <n v="152.502"/>
        <n v="152.562"/>
        <n v="152.597"/>
        <n v="152.725"/>
        <n v="152.786"/>
        <n v="152.792"/>
        <n v="152.807"/>
        <n v="152.877"/>
        <n v="153.102"/>
        <n v="153.173"/>
        <n v="153.181"/>
        <n v="153.2"/>
        <n v="153.221"/>
        <n v="153.226"/>
        <n v="153.235"/>
        <n v="153.238"/>
        <n v="153.243"/>
        <n v="153.266"/>
        <n v="153.275"/>
        <n v="153.474"/>
        <n v="153.5"/>
        <n v="153.522"/>
        <n v="153.701"/>
        <n v="153.773"/>
        <n v="153.782"/>
        <n v="153.927"/>
        <n v="153.945"/>
        <n v="154.178"/>
        <n v="154.347"/>
        <n v="154.46"/>
        <n v="154.524"/>
        <n v="154.557"/>
        <n v="154.607"/>
        <n v="154.931"/>
        <n v="154.95"/>
        <n v="154.999"/>
        <n v="155.024"/>
        <n v="155.048"/>
        <n v="155.087"/>
        <n v="155.172"/>
        <n v="155.512"/>
        <n v="155.568"/>
        <n v="155.741"/>
        <n v="155.777"/>
        <n v="155.865"/>
        <n v="156.297"/>
        <n v="157.043"/>
        <n v="157.283"/>
        <n v="157.354"/>
        <n v="157.408"/>
        <n v="157.487"/>
        <n v="157.522"/>
        <n v="157.551"/>
        <n v="157.695"/>
        <n v="157.877"/>
        <n v="158.053"/>
        <n v="158.403"/>
        <n v="158.422"/>
        <n v="158.484"/>
        <n v="158.546"/>
        <n v="159.027"/>
        <n v="159.465"/>
        <n v="159.52"/>
        <n v="159.53"/>
        <n v="159.586"/>
        <n v="159.596"/>
        <n v="159.999"/>
        <n v="160.003"/>
        <n v="160.77"/>
        <n v="161.116"/>
        <n v="161.132"/>
        <n v="161.2"/>
        <n v="161.314"/>
        <n v="161.327"/>
        <n v="161.335"/>
        <n v="161.345"/>
        <n v="161.445"/>
        <n v="161.447"/>
        <n v="161.503"/>
        <n v="162.035"/>
        <n v="162.051"/>
        <n v="162.052"/>
        <n v="162.148"/>
        <n v="162.149"/>
        <n v="162.161"/>
        <n v="162.208"/>
        <n v="162.786"/>
        <n v="163.208"/>
        <n v="163.215"/>
        <n v="163.696"/>
        <n v="164.016"/>
        <n v="164.169"/>
        <n v="164.699"/>
        <n v="164.721"/>
        <n v="164.882"/>
        <n v="165.114"/>
        <n v="165.141"/>
        <n v="165.354"/>
        <n v="165.588"/>
        <n v="165.655"/>
        <n v="165.741"/>
        <n v="165.743"/>
        <n v="165.762"/>
        <n v="165.91"/>
        <n v="165.969"/>
        <n v="166.018"/>
        <n v="166.16"/>
        <n v="166.382"/>
        <n v="166.383"/>
        <n v="166.385"/>
        <n v="166.448"/>
        <n v="166.497"/>
        <n v="166.51"/>
        <n v="166.562"/>
        <n v="166.594"/>
        <n v="166.624"/>
        <n v="166.643"/>
        <n v="166.648"/>
        <n v="166.676"/>
        <n v="166.697"/>
        <n v="166.855"/>
        <n v="166.875"/>
        <n v="166.878"/>
        <n v="166.91"/>
        <n v="166.967"/>
        <n v="167.085"/>
        <n v="167.089"/>
        <n v="167.13"/>
        <n v="167.133"/>
        <n v="167.144"/>
        <n v="167.158"/>
        <n v="167.17"/>
        <n v="167.198"/>
        <n v="167.227"/>
        <n v="167.249"/>
        <n v="167.259"/>
        <n v="167.286"/>
        <n v="167.297"/>
        <n v="167.303"/>
        <n v="167.372"/>
        <n v="167.375"/>
        <n v="167.377"/>
        <n v="167.379"/>
        <n v="167.516"/>
        <n v="167.553"/>
        <n v="167.68"/>
        <n v="167.789"/>
        <n v="167.856"/>
        <n v="167.947"/>
        <n v="167.998"/>
        <n v="168.004"/>
        <n v="168.039"/>
        <n v="168.069"/>
        <n v="168.143"/>
        <n v="168.156"/>
        <n v="168.214"/>
        <n v="168.218"/>
        <n v="168.226"/>
        <n v="168.471"/>
        <n v="168.52"/>
        <n v="168.598"/>
        <n v="168.671"/>
        <n v="168.857"/>
        <n v="168.859"/>
        <n v="168.892"/>
        <n v="169.148"/>
        <n v="169.287"/>
        <n v="169.357"/>
        <n v="169.427"/>
        <n v="169.522"/>
        <n v="169.716"/>
        <n v="169.733"/>
        <n v="169.766"/>
        <n v="169.9"/>
        <n v="170.126"/>
        <n v="170.239"/>
        <n v="170.277"/>
        <n v="170.349"/>
        <n v="170.355"/>
        <n v="170.456"/>
        <n v="170.694"/>
        <n v="170.92"/>
        <n v="171.489"/>
        <n v="171.83"/>
        <n v="173.054"/>
        <n v="173.117"/>
        <n v="173.254"/>
        <n v="173.669"/>
        <n v="174.152"/>
        <n v="174.337"/>
        <n v="174.54"/>
        <n v="174.895"/>
        <n v="176.052"/>
        <n v="176.769"/>
        <n v="176.989"/>
        <n v="178.199"/>
        <n v="178.278"/>
        <n v="178.291"/>
        <n v="178.331"/>
        <n v="178.363"/>
        <n v="178.381"/>
        <n v="178.424"/>
        <n v="178.735"/>
        <n v="179.146"/>
        <n v="179.35"/>
        <n v="179.391"/>
        <n v="179.544"/>
        <n v="179.662"/>
      </sharedItems>
    </cacheField>
    <cacheField name="location" uniqueList="1" numFmtId="0" sqlType="0" hierarchy="0" level="0" databaseField="1">
      <sharedItems count="503" containsBlank="1">
        <s v="?alabja, Iraq"/>
        <s v="?arai, Japan"/>
        <s v="?funato, Japan"/>
        <s v="?tsuchi, Japan"/>
        <s v="?yama, Japan"/>
        <s v="‘Ohonua, Tonga"/>
        <s v="2004 Sumatra - Andaman Islands Earthquake"/>
        <s v="2011 Great Tohoku Earthquake, Japan"/>
        <s v="Abepura, Indonesia"/>
        <s v="Abhar, Iran"/>
        <s v="Acapulco, Mexico"/>
        <s v="Achanizo, Peru"/>
        <s v="Adak, Alaska"/>
        <s v="Afghanistan-Tajikistan-Pakistan region"/>
        <s v="Aguililla, Mexico"/>
        <s v="Aianí, Greece"/>
        <s v="Aitape, Papua New Guinea"/>
        <s v="Aktash, Russia"/>
        <s v="Alaska Peninsula"/>
        <s v="Alo, Wallis and Futuna"/>
        <s v="Amahai, Indonesia"/>
        <s v="Amberley, New Zealand"/>
        <s v="Ambon, Indonesia"/>
        <s v="Angoram, Papua New Guinea"/>
        <s v="Aniso, Peru"/>
        <s v="Ant"/>
        <s v="Arica, Chile"/>
        <s v="Ashk?sham, Afghanistan"/>
        <s v="Atico, Peru"/>
        <s v="Atiquipa, Peru"/>
        <s v="Atka, Alaska"/>
        <s v="Atlasovo, Russia"/>
        <s v="Attu Station, Alaska"/>
        <s v="Auckland Islands, New Zealand region"/>
        <s v="Azángaro, Peru"/>
        <s v="Azoyú, Mexico"/>
        <s v="Ba, Fiji"/>
        <s v="Badamdar, Azerbaijan"/>
        <s v="Bahía de Caráquez, Ecuador"/>
        <s v="Bahía de Kino, Mexico"/>
        <s v="Bahía Solano, Colombia"/>
        <s v="Baku, Azerbaijan"/>
        <s v="Balkanabat, Turkmenistan"/>
        <s v="Bam, Iran"/>
        <s v="Bamboo Flat, India"/>
        <s v="Banda Sea"/>
        <s v="Banjar, Indonesia"/>
        <s v="Bantay, Philippines"/>
        <s v="Bantogon, Philippines"/>
        <s v="Barra Patuca, Honduras"/>
        <s v="Barranca, Peru"/>
        <s v="Basse-Pointe, Martinique"/>
        <s v="Batang, Indonesia"/>
        <s v="Bathsheba, Barbados"/>
        <s v="Bela, Pakistan"/>
        <s v="Belaya Gora, Russia"/>
        <s v="Belén, Nicaragua"/>
        <s v="Bengkulu, Indonesia"/>
        <s v="Bhach?u, India"/>
        <s v="Bharatpur, Nepal"/>
        <s v="Biak, Indonesia"/>
        <s v="Big Lagoon, California"/>
        <s v="Bima, Indonesia"/>
        <s v="Bitung, Indonesia"/>
        <s v="Blenheim, New Zealand"/>
        <s v="Boca Chica, Panama"/>
        <s v="Bolitoc, Philippines"/>
        <s v="Bonin Islands, Japan region"/>
        <s v="Bouvet Island region"/>
        <s v="Boyuibe, Bolivia"/>
        <s v="Brisas Barra de Suchiate, Mexico"/>
        <s v="Bristol Island, South Sandwich Islands"/>
        <s v="Broome, Australia"/>
        <s v="Buala, Solomon Islands"/>
        <s v="Bulolo, Papua New Guinea"/>
        <s v="Burias, Philippines"/>
        <s v="Burica, Panama"/>
        <s v="Cabatuan, Philippines"/>
        <s v="Calama, Chile"/>
        <s v="Camaná, Peru"/>
        <s v="Can-Avid, Philippines"/>
        <s v="Cañete, Chile"/>
        <s v="Cantwell, Alaska"/>
        <s v="Carahue, Chile"/>
        <s v="Carúpano, Venezuela"/>
        <s v="central Mid-Atlantic Ridge"/>
        <s v="Central Turkey"/>
        <s v="Champerico, Guatemala"/>
        <s v="Changuillo, Peru"/>
        <s v="Chauk, Myanmar"/>
        <s v="Chiapas, Mexico"/>
        <s v="Chignik, Alaska"/>
        <s v="Chiniak, Alaska"/>
        <s v="Chipinge, Zimbabwe"/>
        <s v="Chitose, Japan"/>
        <s v="Churumuco de Morelos, Mexico"/>
        <s v="Codrington, Antigua and Barbuda"/>
        <s v="Cojutepeque, El Salvador"/>
        <s v="Columbio, Philippines"/>
        <s v="Constitución, Chile"/>
        <s v="Contamana, Peru"/>
        <s v="Copiapó, Chile"/>
        <s v="Coquimbo, Chile"/>
        <s v="Corral, Chile"/>
        <s v="Cortes, Philippines"/>
        <s v="Costa Rica"/>
        <s v="Coyuquilla Norte, Mexico"/>
        <s v="Cuyutlán, Mexico"/>
        <s v="Dalbandin, Pakistan"/>
        <s v="Dellys, Algeria"/>
        <s v="Delta, B.C., MX"/>
        <s v="Derince, Turkey"/>
        <s v="Do?anyol, Turkey"/>
        <s v="Dompu, Indonesia"/>
        <s v="Düzce, Turkey"/>
        <s v="Ecuador"/>
        <s v="Edna Bay, Alaska"/>
        <s v="Ekinözü, Turkey"/>
        <s v="El Aguilar, Argentina"/>
        <s v="El Ciruelo, Mexico"/>
        <s v="El Colomo, Mexico"/>
        <s v="El Habillal, Mexico"/>
        <s v="El Huitusi, Mexico"/>
        <s v="Etchoropo, Mexico"/>
        <s v="Ferndale, California"/>
        <s v="Fiji region"/>
        <s v="Finschhafen, Papua New Guinea"/>
        <s v="Flores Sea"/>
        <s v="Fox Islands, Aleutian Islands, Alaska"/>
        <s v="Galaxídhion, Greece"/>
        <s v="General Pascual Fentes, Mexico"/>
        <s v="George Town, Cayman Islands"/>
        <s v="Gisborne, New Zealand"/>
        <s v="Gizo, Solomon Islands"/>
        <s v="Gorontalo, Indonesia"/>
        <s v="Greenland, Barbados"/>
        <s v="Guanaja, Honduras"/>
        <s v="Hacienda La Calera, Chile"/>
        <s v="Hanamaki, Japan"/>
        <s v="Harnai, Pakistan"/>
        <s v="Hasaki, Japan"/>
        <s v="Haveluloto, Tonga"/>
        <s v="Hector Mine, CA Earthquake"/>
        <s v="Helio García Alfaro, Mexico"/>
        <s v="Hengchun, Taiwan"/>
        <s v="Hihifo, Tonga"/>
        <s v="Hindu Kush region, Afghanistan"/>
        <s v="Hirara, Japan"/>
        <s v="Hojancha, Costa Rica"/>
        <s v="Hotan, China"/>
        <s v="Hualien City, Taiwan"/>
        <s v="Hukay, Philippines"/>
        <s v="Ialibu, Papua New Guinea"/>
        <s v="Illapel, Chile"/>
        <s v="Imph?l, India"/>
        <s v="Iñapari, Peru"/>
        <s v="Inarajan Village, Guam"/>
        <s v="Indianola, California"/>
        <s v="Insrom, Indonesia"/>
        <s v="Intipucá, El Salvador"/>
        <s v="Iquique, Chile"/>
        <s v="Isangel, Vanuatu"/>
        <s v="Ishigaki, Japan"/>
        <s v="Ishikawa, Japan"/>
        <s v="Ishinomaki, Japan"/>
        <s v="Iwanai, Japan"/>
        <s v="Iztapa, Guatemala"/>
        <s v="Izu Islands, Japan region"/>
        <s v="Java, Indonesia"/>
        <s v="Jimalalud, Philippines"/>
        <s v="Jinghong, China"/>
        <s v="Jiquilillo, Nicaragua"/>
        <s v="Jumla, Nepal"/>
        <s v="Juradó, Colombia"/>
        <s v="Jurm, Afghanistan"/>
        <s v="K?h Sef?d, Iran"/>
        <s v="Kabanjahe, Indonesia"/>
        <s v="Kainantu, Papua New Guinea"/>
        <s v="Kairatu, Indonesia"/>
        <s v="Kalemie, Democratic Republic"/>
        <s v="Kamaishi, Japan"/>
        <s v="Kamariótissa, Greece"/>
        <s v="Kandrian, Papua New Guinea"/>
        <s v="Kangding, China"/>
        <s v="Karluk, Alaska"/>
        <s v="Kashiwazaki, Japan"/>
        <s v="Katabu, Indonesia"/>
        <s v="Katsuren-haebaru, Japan"/>
        <s v="Katsuura, Japan"/>
        <s v="Kawalu, Indonesia"/>
        <s v="Kendari, Indonesia"/>
        <s v="Kepulauan Mentawai region, Indonesia"/>
        <s v="Kermadec Islands region"/>
        <s v="Kermadec Islands, New Zealand"/>
        <s v="Kerman, Iran"/>
        <s v="Kh?sh, Iran"/>
        <s v="Khuzdar, Pakistan"/>
        <s v="Kimbe, Papua New Guinea"/>
        <s v="Kinablangan, Philippines"/>
        <s v="Kirakira, Solomon Islands"/>
        <s v="Kisante, Philippines"/>
        <s v="Kíssamos, Greece"/>
        <s v="Kod?ri??, Nepal"/>
        <s v="Kokhanok, Alaska"/>
        <s v="Kokopo, Papua New Guinea"/>
        <s v="Komandorskiye Ostrova, Russia region"/>
        <s v="Koróni, Greece"/>
        <s v="Kos, Greece"/>
        <s v="Kota Ternate, Indonesia"/>
        <s v="Kumamoto, Japan"/>
        <s v="Kure, Japan"/>
        <s v="Kuril Islands"/>
        <s v="Kuril’sk, Russia"/>
        <s v="Kushiro, Japan"/>
        <s v="Kýthira, Greece"/>
        <s v="L'Esperance Rock, New Zealand"/>
        <s v="La Cruz de Loreto, Mexico"/>
        <s v="La Libertad, El Salvador"/>
        <s v="Labasa, Fiji"/>
        <s v="Labuan Bajo, Indonesia"/>
        <s v="Labuan Lombok, Indonesia"/>
        <s v="Labuan, Indonesia"/>
        <s v="Lae, Papua New Guinea"/>
        <s v="Laiwui, Indonesia"/>
        <s v="Lakatoro, Vanuatu"/>
        <s v="Larsen Bay, Alaska"/>
        <s v="Lata, Solomon Islands"/>
        <s v="Lautoka, Fiji"/>
        <s v="Lebu, Chile"/>
        <s v="Lefkáda, Greece"/>
        <s v="Leilani Estates, Hawaii"/>
        <s v="Léogâne, Haiti"/>
        <s v="Levuka, Fiji"/>
        <s v="Lijiang, China"/>
        <s v="Lim-oo, Philippines"/>
        <s v="Linqiong, China"/>
        <s v="Lithakiá, Greece"/>
        <s v="Loncopué, Argentina"/>
        <s v="Longbranch, Washington"/>
        <s v="Lospalos, Timor Leste"/>
        <s v="Lucea, Jamaica"/>
        <s v="Luganville, Vanuatu"/>
        <s v="Lugu, Taiwan"/>
        <s v="Lukatan, Philippines"/>
        <s v="Luwuk, Indonesia"/>
        <s v="Mabua, Philippines"/>
        <s v="Macas, Ecuador"/>
        <s v="Macquarie Island"/>
        <s v="Madang, Papua New Guinea"/>
        <s v="Maebaru-ch??, Japan"/>
        <s v="Magsaysay, Philippines"/>
        <s v="Makurazaki, Japan"/>
        <s v="Malango, Solomon Islands"/>
        <s v="Mangan, India"/>
        <s v="Manokwari, Indonesia"/>
        <s v="Manuel Ávila Camacho (Ponte Duro), Mexico"/>
        <s v="Masachapa, Nicaragua"/>
        <s v="Mata-Utu, Wallis and Futuna"/>
        <s v="Matavai, Samoa"/>
        <s v="Matsue, Japan"/>
        <s v="Matzaco, Mexico"/>
        <s v="Maubara, Timor Leste"/>
        <s v="Maumere, Indonesia"/>
        <s v="Mauritius - Reunion region"/>
        <s v="Mawlaik, Myanmar"/>
        <s v="Mawu, China"/>
        <s v="Merizo Village, Guam"/>
        <s v="Methóni, Greece"/>
        <s v="Methven, New Zealand"/>
        <s v="Meulaboh, Indonesia"/>
        <s v="Micronesia region"/>
        <s v="Mikuni, Japan"/>
        <s v="Mil’kovo, Russia"/>
        <s v="Mindanao, Philippines"/>
        <s v="Miyako, Japan"/>
        <s v="Miyazaki, Japan"/>
        <s v="Mizque, Bolivia"/>
        <s v="Mizusawa, Japan"/>
        <s v="Moijabana, Botswana"/>
        <s v="Molucca Sea"/>
        <s v="Monte Cristo Range, NV Earthquake"/>
        <s v="Monte Patria, Chile"/>
        <s v="Morioka, Japan"/>
        <s v="Muisne, Ecuador"/>
        <s v="Murghob, Tajikistan"/>
        <s v="Muzaffar?b?d, Pakistan"/>
        <s v="Nabire, Indonesia"/>
        <s v="Nadi, Fiji"/>
        <s v="Nago, Japan"/>
        <s v="Naisano Dua, Indonesia"/>
        <s v="Namatanai, Papua New Guinea"/>
        <s v="Namie, Japan"/>
        <s v="Nanao, Japan"/>
        <s v="Navarro, Peru"/>
        <s v="Naze, Japan"/>
        <s v="Ndoi Island, Fiji"/>
        <s v="Néa Anatolí, Greece"/>
        <s v="Neiafu, Tonga"/>
        <s v="Neira, Colombia"/>
        <s v="Nemuro, Japan"/>
        <s v="Néon Karlovásion, Greece"/>
        <s v="Nepal"/>
        <s v="New Britain region, Papua New Guinea"/>
        <s v="New Guinea, Papua New Guinea"/>
        <s v="New Ireland region, Papua New Guinea"/>
        <s v="Nicobar Islands, India region"/>
        <s v="Nikolski, Alaska"/>
        <s v="Nippes, Haiti"/>
        <s v="Nishinoomote, Japan"/>
        <s v="Nkove, Tanzania"/>
        <s v="Nookat, Kyrgyzstan"/>
        <s v="Norsup, Vanuatu"/>
        <s v="northern Mid-Atlantic Ridge"/>
        <s v="northern Qinghai, China"/>
        <s v="Nuevo Balsas, Mexico"/>
        <s v="Nurdağı, Turkey"/>
        <s v="Nuwaybi‘a, Egypt"/>
        <s v="Nuxco, Mexico"/>
        <s v="Obihiro, Japan"/>
        <s v="Ocozocoautla de Espinosa, Mexico"/>
        <s v="off the east coast of Honshu, Japan"/>
        <s v="off the west coast of northern Sumatra"/>
        <s v="Ojiya, Japan"/>
        <s v="Okhotsk"/>
        <s v="Old Harbor, Alaska"/>
        <s v="Olonkinbyen, Svalbard and Jan Mayen"/>
        <s v="Ovalle, Chile"/>
        <s v="Ozernovskiy, Russia"/>
        <s v="P?palkoti, India"/>
        <s v="Pacocha, Peru"/>
        <s v="Padang, Indonesia"/>
        <s v="Padangsidempuan, Indonesia"/>
        <s v="Padilla, Bolivia"/>
        <s v="Pagan region, Northern Mariana Islands"/>
        <s v="Palapag, Philippines"/>
        <s v="Palimbang, Philippines"/>
        <s v="Palora, Ecuador"/>
        <s v="Palu, Indonesia"/>
        <s v="Pamanukan, Indonesia"/>
        <s v="Panama-Colombia border region"/>
        <s v="Pangai, Tonga"/>
        <s v="Panguna, Papua New Guinea"/>
        <s v="Paphos, Cyprus"/>
        <s v="Papua, Indonesia"/>
        <s v="Paramonga, Peru"/>
        <s v="Pariaman, Indonesia"/>
        <s v="Parrita, Costa Rica"/>
        <s v="Pedro Bay, Alaska"/>
        <s v="Perryville, Alaska"/>
        <s v="Philippine Islands region"/>
        <s v="Pinotepa de Don Luis, Mexico"/>
        <s v="Piti Village, Guam"/>
        <s v="Pizarro, Colombia"/>
        <s v="Point MacKenzie, Alaska"/>
        <s v="Pólis, Cyprus"/>
        <s v="Pondaguitan, Philippines"/>
        <s v="Popondetta, Papua New Guinea"/>
        <s v="Poronaysk, Russia"/>
        <s v="Port McNeill, Canada"/>
        <s v="Port-Olry, Vanuatu"/>
        <s v="Port-Vila, Vanuatu"/>
        <s v="Poso, Indonesia"/>
        <s v="Potrerillos, Honduras"/>
        <s v="Preci, Italy"/>
        <s v="Prince Edward Islands region"/>
        <s v="Prince Rupert, Canada"/>
        <s v="Progreso, Panama"/>
        <s v="Puako, Hawaii"/>
        <s v="Puerto El Triunfo, El Salvador"/>
        <s v="Puerto Madero, Mexico"/>
        <s v="Puerto San José, Guatemala"/>
        <s v="Puerto Santa, Peru"/>
        <s v="Pulau Pulau Tanimbar, Indonesia"/>
        <s v="Pulau-Pulau Talaud, Indonesia"/>
        <s v="Puli, Taiwan"/>
        <s v="Punta de Bombón, Peru"/>
        <s v="Punta de Burica, Panama"/>
        <s v="Q?’en, Iran"/>
        <s v="Qamdo, China"/>
        <s v="Quellón, Chile"/>
        <s v="Quepos, Costa Rica"/>
        <s v="Quirihue, Chile"/>
        <s v="Rabaul, Papua New Guinea"/>
        <s v="Rat Islands, Aleutian Islands, Alaska"/>
        <s v="Rengasdengklok, Indonesia"/>
        <s v="Reuleuet, Indonesia"/>
        <s v="Riverton, New Zealand"/>
        <s v="Roncesvalles, Colombia"/>
        <s v="Rosa Zarate, Ecuador"/>
        <s v="Rust?q, Afghanistan"/>
        <s v="Ruteng, Indonesia"/>
        <s v="S"/>
        <s v="Sabang, Indonesia"/>
        <s v="Sagbayan, Philippines"/>
        <s v="San Agustín, Colombia"/>
        <s v="San Antonio de los Cobres, Argentina"/>
        <s v="San Antonio, Chile"/>
        <s v="San Baltazar Loxicha, Mexico"/>
        <s v="San Fernando, Peru"/>
        <s v="San José El Ídolo, Guatemala"/>
        <s v="San Jose Village, Northern Mariana Islands"/>
        <s v="San Juan del Sur, Nicaragua"/>
        <s v="San Luis, Mexico"/>
        <s v="San Pablo, Guatemala"/>
        <s v="San Pedro de Atacama, Chile"/>
        <s v="San Pedro, Philippines"/>
        <s v="San Sebastián, El Salvador"/>
        <s v="San Simeon, California"/>
        <s v="San Vicente de Cañete, Peru"/>
        <s v="Sand Point, Alaska"/>
        <s v="Sangay, Philippines"/>
        <s v="Santa Cruz, Chile"/>
        <s v="Santa María Chico Ometepec, Mexico"/>
        <s v="Santa María Xadani, Mexico"/>
        <s v="Santiago Llano Grande, Mexico"/>
        <s v="Santiago, Peru"/>
        <s v="Sarangani, Philippines"/>
        <s v="Saryg-Sep, Russia"/>
        <s v="Saumlaki, Indonesia"/>
        <s v="Scarborough, Trinidad and Tobago"/>
        <s v="Scotia Sea"/>
        <s v="Searles Valley, CA"/>
        <s v="Selfoss, Iceland"/>
        <s v="Severo-Kuril’sk, Russia"/>
        <s v="Shikotan, Russia"/>
        <s v="Shimoda, Japan"/>
        <s v="Shing?, Japan"/>
        <s v="Shizunai-furukawach?, Japan"/>
        <s v="Shwebo, Myanmar"/>
        <s v="Sinabang, Indonesia"/>
        <s v="Singaparna, Indonesia"/>
        <s v="Singkil, Indonesia"/>
        <s v="Skýros, Greece"/>
        <s v="Sola, Vanuatu"/>
        <s v="Sorong, Indonesia"/>
        <s v="South Indian Ocean"/>
        <s v="South Sandwich Islands region"/>
        <s v="South Shetland Islands"/>
        <s v="Southern Qinghai, China"/>
        <s v="Stanley, Idaho"/>
        <s v="Sucúa, Ecuador"/>
        <s v="Sulangan, Philippines"/>
        <s v="Sultanda??, Turkey"/>
        <s v="Sumatra, Indonesia"/>
        <s v="Sumberpucung, Indonesia"/>
        <s v="Sungai Penuh, Indonesia"/>
        <s v="Tabiauan, Philippines"/>
        <s v="Tachilek, Myanmar"/>
        <s v="Tadine, New Caledonia"/>
        <s v="Talcahuano, Chile"/>
        <s v="Talisay, Philippines"/>
        <s v="Tarauaca, Brazil"/>
        <s v="Tarauacá, Brazil"/>
        <s v="Tari, Papua New Guinea"/>
        <s v="Tateyama, Japan"/>
        <s v="Taungdwingyi, Myanmar"/>
        <s v="Te Anau, New Zealand"/>
        <s v="Teluk Dalam, Indonesia"/>
        <s v="Teno, Chile"/>
        <s v="Ternate, Indonesia"/>
        <s v="Texcala, Mexico"/>
        <s v="Thang, India"/>
        <s v="the Fiji Islands"/>
        <s v="the Kamchatka Peninsula, Russia"/>
        <s v="the Kermadec Islands"/>
        <s v="the Kuril Islands"/>
        <s v="the Loyalty Islands"/>
        <s v="Tianpeng, China"/>
        <s v="Tilichiki, Russia"/>
        <s v="Timbiquí, Colombia"/>
        <s v="Tobelo, Indonesia"/>
        <s v="Tocopilla, Chile"/>
        <s v="Tomé, Chile"/>
        <s v="Tonga"/>
        <s v="Topolobampo, Mexico"/>
        <s v="Tual, Indonesia"/>
        <s v="Tuban, Indonesia"/>
        <s v="Tungor, Russia"/>
        <s v="Turkmenistan-Iran border region"/>
        <s v="Turt, Mongolia"/>
        <s v="Ugashik, Alaska"/>
        <s v="Uglegorsk, Russia"/>
        <s v="Ust’-Kamchatsk Staryy, Russia"/>
        <s v="Vaini, Tonga"/>
        <s v="Vallenar, Chile"/>
        <s v="Valparaíso, Chile"/>
        <s v="Van, Turkey"/>
        <s v="Vanuatu"/>
        <s v="Vanuatu region"/>
        <s v="Vao, New Caledonia"/>
        <s v="Vernon, Canada"/>
        <s v="Villa El Carmen, Nicaragua"/>
        <s v="Vilyuchinsk, Russia"/>
        <s v="Wau, Papua New Guinea"/>
        <s v="Wé, New Caledonia"/>
        <s v="western Xizang"/>
        <s v="Yacuanquer, Colombia"/>
        <s v="Yelizovo, Russia"/>
        <s v="Yigo Village, Guam"/>
        <s v="Yonakuni, Japan"/>
        <s v="Yujing, Taiwan"/>
        <s v="Yurimaguas, Peru"/>
        <m/>
      </sharedItems>
    </cacheField>
    <cacheField name="continent" uniqueList="1" numFmtId="0" sqlType="0" hierarchy="0" level="0" databaseField="1">
      <sharedItems count="7" containsBlank="1">
        <s v="Africa"/>
        <s v="Asia"/>
        <s v="Europe"/>
        <s v="North America"/>
        <s v="Oceania"/>
        <s v="South America"/>
        <m/>
      </sharedItems>
    </cacheField>
    <cacheField name="country" uniqueList="1" numFmtId="0" sqlType="0" hierarchy="0" level="0" databaseField="1">
      <sharedItems count="57" containsBlank="1">
        <s v="Afghanistan"/>
        <s v="Algeria"/>
        <s v="Antarctica"/>
        <s v="Argentina"/>
        <s v="Azerbaijan"/>
        <s v="Bolivia"/>
        <s v="Botswana"/>
        <s v="Brazil"/>
        <s v="Canada"/>
        <s v="Chile"/>
        <s v="Colombia"/>
        <s v="Costa Rica"/>
        <s v="Ecuador"/>
        <s v="El Salvador"/>
        <s v="Fiji"/>
        <s v="Greece"/>
        <s v="Guatemala"/>
        <s v="Haiti"/>
        <s v="Iceland"/>
        <s v="India"/>
        <s v="Indonesia"/>
        <s v="Iran"/>
        <s v="Italy"/>
        <s v="Japan"/>
        <s v="Kyrgyzstan"/>
        <s v="Martinique"/>
        <s v="Mexico"/>
        <s v="Mongolia"/>
        <s v="Mozambique"/>
        <s v="Myanmar"/>
        <s v="Nepal"/>
        <s v="New Zealand"/>
        <s v="Nicaragua"/>
        <s v="Pakistan"/>
        <s v="Panama"/>
        <s v="Papua New Guinea"/>
        <s v="People's Republic of China"/>
        <s v="Peru"/>
        <s v="Philippines"/>
        <s v="Russia"/>
        <s v="Russian Federation (the)"/>
        <s v="Saudi Arabia"/>
        <s v="Solomon Islands"/>
        <s v="South Georgia and the South Sandwich Islands"/>
        <s v="Taiwan"/>
        <s v="Tajikistan"/>
        <s v="Tanzania"/>
        <s v="Tonga"/>
        <s v="Trinidad and Tobago"/>
        <s v="Turkey"/>
        <s v="Turkiye"/>
        <s v="Turkmenistan"/>
        <s v="United Kingdom of Great Britain and Northern Ireland (the)"/>
        <s v="United States of America"/>
        <s v="Vanuatu"/>
        <s v="Venezuela"/>
        <m/>
      </sharedItems>
    </cacheField>
    <cacheField name="DateTime_Converted" uniqueList="1" numFmtId="0" sqlType="0" hierarchy="0" level="0" databaseField="1">
      <sharedItems count="990" containsDate="1" containsNonDate="0" containsSemiMixedTypes="0" containsString="0" minDate="1995-05-05T03:53:00" maxDate="2023-08-16T12:47:00">
        <d v="1995-05-05T03:53:00"/>
        <d v="1995-05-13T08:47:00"/>
        <d v="1995-05-14T11:33:00"/>
        <d v="1995-05-16T20:12:00"/>
        <d v="1995-05-27T13:03:00"/>
        <d v="1995-06-15T00:15:00"/>
        <d v="1995-06-29T12:24:00"/>
        <d v="1995-07-11T21:46:00"/>
        <d v="1995-07-30T05:11:00"/>
        <d v="1995-08-14T04:37:00"/>
        <d v="1995-08-16T10:27:00"/>
        <d v="1995-08-16T16:24:00"/>
        <d v="1995-08-16T23:10:00"/>
        <d v="1995-08-19T21:43:00"/>
        <d v="1995-08-28T10:46:00"/>
        <d v="1995-09-14T14:04:00"/>
        <d v="1995-09-23T22:31:00"/>
        <d v="1995-10-03T01:51:00"/>
        <d v="1995-10-03T12:44:00"/>
        <d v="1995-10-06T18:09:00"/>
        <d v="1995-10-09T15:35:00"/>
        <d v="1995-10-18T10:37:00"/>
        <d v="1995-10-19T02:41:00"/>
        <d v="1995-10-21T02:38:00"/>
        <d v="1995-11-01T00:35:00"/>
        <d v="1995-11-22T04:15:00"/>
        <d v="1995-12-03T18:01:00"/>
        <d v="1995-12-19T23:28:00"/>
        <d v="1995-12-25T04:43:00"/>
        <d v="1996-01-01T08:05:00"/>
        <d v="1996-01-01T09:57:00"/>
        <d v="1996-02-03T11:14:00"/>
        <d v="1996-02-07T21:36:00"/>
        <d v="1996-02-16T15:22:00"/>
        <d v="1996-02-17T05:59:00"/>
        <d v="1996-02-17T14:21:00"/>
        <d v="1996-02-17T20:18:00"/>
        <d v="1996-02-21T12:51:00"/>
        <d v="1996-02-25T03:08:00"/>
        <d v="1996-03-03T14:55:00"/>
        <d v="1996-03-03T16:37:00"/>
        <d v="1996-03-17T14:48:00"/>
        <d v="1996-04-19T00:19:00"/>
        <d v="1996-04-29T14:40:00"/>
        <d v="1996-06-10T01:04:00"/>
        <d v="1996-06-10T04:03:00"/>
        <d v="1996-06-10T15:24:00"/>
        <d v="1996-06-11T18:22:00"/>
        <d v="1996-06-17T11:22:00"/>
        <d v="1996-07-15T21:23:00"/>
        <d v="1996-07-16T10:07:00"/>
        <d v="1996-07-22T14:19:00"/>
        <d v="1996-08-02T12:55:00"/>
        <d v="1996-09-05T23:42:00"/>
        <d v="1996-09-20T04:10:00"/>
        <d v="1996-09-20T04:11:00"/>
        <d v="1996-10-09T13:10:00"/>
        <d v="1996-10-14T23:26:00"/>
        <d v="1996-10-18T10:50:00"/>
        <d v="1996-10-19T14:44:00"/>
        <d v="1996-11-12T16:59:00"/>
        <d v="1996-11-19T10:44:00"/>
        <d v="1996-12-02T22:17:00"/>
        <d v="1996-12-22T14:53:00"/>
        <d v="1997-01-11T20:28:00"/>
        <d v="1997-02-04T10:37:00"/>
        <d v="1997-02-27T21:08:00"/>
        <d v="1997-03-11T19:22:00"/>
        <d v="1997-04-05T12:23:00"/>
        <d v="1997-04-21T12:02:00"/>
        <d v="1997-04-22T09:31:00"/>
        <d v="1997-04-23T19:44:00"/>
        <d v="1997-05-10T07:57:00"/>
        <d v="1997-05-13T14:13:00"/>
        <d v="1997-05-21T14:10:00"/>
        <d v="1997-05-22T07:50:00"/>
        <d v="1997-07-06T09:54:00"/>
        <d v="1997-07-09T19:24:00"/>
        <d v="1997-07-19T14:22:00"/>
        <d v="1997-08-29T08:14:00"/>
        <d v="1997-09-02T12:13:00"/>
        <d v="1997-10-06T12:30:00"/>
        <d v="1997-10-14T09:53:00"/>
        <d v="1997-10-15T01:03:00"/>
        <d v="1997-10-28T06:15:00"/>
        <d v="1997-11-08T10:02:00"/>
        <d v="1997-11-09T22:56:00"/>
        <d v="1997-11-15T18:59:00"/>
        <d v="1997-11-18T13:07:00"/>
        <d v="1997-11-25T12:14:00"/>
        <d v="1997-12-05T11:26:00"/>
        <d v="1997-12-22T02:05:00"/>
        <d v="1998-01-10T08:20:00"/>
        <d v="1998-01-12T10:14:00"/>
        <d v="1998-01-12T16:36:00"/>
        <d v="1998-01-30T12:16:00"/>
        <d v="1998-03-14T19:40:00"/>
        <d v="1998-04-01T17:56:00"/>
        <d v="1998-04-03T22:01:00"/>
        <d v="1998-05-03T23:30:00"/>
        <d v="1998-05-13T23:02:00"/>
        <d v="1998-05-21T05:34:00"/>
        <d v="1998-05-22T04:48:00"/>
        <d v="1998-05-30T06:22:00"/>
        <d v="1998-07-16T11:56:00"/>
        <d v="1998-07-17T08:49:00"/>
        <d v="1998-07-29T18:00:00"/>
        <d v="1998-08-04T18:59:00"/>
        <d v="1998-09-02T08:37:00"/>
        <d v="1998-09-03T17:37:00"/>
        <d v="1998-09-28T13:34:00"/>
        <d v="1998-11-09T05:30:00"/>
        <d v="1998-11-09T05:38:00"/>
        <d v="1998-11-29T14:10:00"/>
        <d v="1998-12-27T00:38:00"/>
        <d v="1999-01-19T03:35:00"/>
        <d v="1999-01-28T08:10:00"/>
        <d v="1999-02-06T21:47:00"/>
        <d v="1999-03-04T05:38:00"/>
        <d v="1999-03-04T08:52:00"/>
        <d v="1999-03-08T12:25:00"/>
        <d v="1999-03-20T10:47:00"/>
        <d v="1999-03-28T19:05:00"/>
        <d v="1999-04-03T06:17:00"/>
        <d v="1999-04-05T11:08:00"/>
        <d v="1999-04-13T10:38:00"/>
        <d v="1999-05-10T20:33:00"/>
        <d v="1999-05-16T00:51:00"/>
        <d v="1999-05-17T10:07:00"/>
        <d v="1999-06-15T20:42:00"/>
        <d v="1999-07-11T14:14:00"/>
        <d v="1999-08-17T00:01:00"/>
        <d v="1999-08-20T10:02:00"/>
        <d v="1999-08-22T12:40:00"/>
        <d v="1999-09-20T17:47:00"/>
        <d v="1999-09-25T23:52:00"/>
        <d v="1999-09-30T16:31:00"/>
        <d v="1999-10-16T09:46:00"/>
        <d v="1999-11-08T16:45:00"/>
        <d v="1999-11-12T16:57:00"/>
        <d v="1999-11-17T03:27:00"/>
        <d v="1999-11-19T13:56:00"/>
        <d v="1999-11-26T13:21:00"/>
        <d v="1999-11-30T04:01:00"/>
        <d v="1999-12-06T23:12:00"/>
        <d v="1999-12-11T18:03:00"/>
        <d v="1999-12-21T14:14:00"/>
        <d v="1999-12-29T13:29:00"/>
        <d v="2000-01-08T16:47:00"/>
        <d v="2000-01-28T14:21:00"/>
        <d v="2000-02-06T11:33:00"/>
        <d v="2000-03-03T22:22:00"/>
        <d v="2000-05-04T04:21:00"/>
        <d v="2000-05-12T18:43:00"/>
        <d v="2000-06-04T16:28:00"/>
        <d v="2000-06-04T16:39:00"/>
        <d v="2000-06-07T23:45:00"/>
        <d v="2000-06-17T15:40:00"/>
        <d v="2000-06-18T14:44:00"/>
        <d v="2000-06-21T00:51:00"/>
        <d v="2000-07-11T01:32:00"/>
        <d v="2000-07-16T03:57:00"/>
        <d v="2000-07-30T12:25:00"/>
        <d v="2000-08-03T01:09:00"/>
        <d v="2000-08-04T21:13:00"/>
        <d v="2000-08-09T11:41:00"/>
        <d v="2000-08-28T15:05:00"/>
        <d v="2000-10-02T02:25:00"/>
        <d v="2000-10-04T16:58:00"/>
        <d v="2000-10-06T04:30:00"/>
        <d v="2000-10-25T09:32:00"/>
        <d v="2000-10-29T08:37:00"/>
        <d v="2000-11-08T06:59:00"/>
        <d v="2000-11-16T04:54:00"/>
        <d v="2000-11-16T07:42:00"/>
        <d v="2000-11-16T07:45:00"/>
        <d v="2000-11-17T21:01:00"/>
        <d v="2000-11-18T02:05:00"/>
        <d v="2000-11-18T06:54:00"/>
        <d v="2000-11-25T18:09:00"/>
        <d v="2000-11-25T18:10:00"/>
        <d v="2000-12-06T17:11:00"/>
        <d v="2000-12-06T22:57:00"/>
        <d v="2001-01-01T06:57:00"/>
        <d v="2001-01-01T08:54:00"/>
        <d v="2001-01-09T16:49:00"/>
        <d v="2001-01-10T16:02:00"/>
        <d v="2001-01-13T17:33:00"/>
        <d v="2001-01-16T13:25:00"/>
        <d v="2001-01-26T03:16:00"/>
        <d v="2001-02-13T14:22:00"/>
        <d v="2001-02-13T19:28:00"/>
        <d v="2001-02-24T07:23:00"/>
        <d v="2001-02-28T18:54:00"/>
        <d v="2001-03-19T05:52:00"/>
        <d v="2001-03-24T06:27:00"/>
        <d v="2001-04-19T21:43:00"/>
        <d v="2001-06-23T20:33:00"/>
        <d v="2001-06-26T04:18:00"/>
        <d v="2001-07-05T13:53:00"/>
        <d v="2001-07-07T09:38:00"/>
        <d v="2001-07-26T00:21:00"/>
        <d v="2001-07-28T07:32:00"/>
        <d v="2001-09-11T14:56:00"/>
        <d v="2001-10-12T15:02:00"/>
        <d v="2001-10-19T03:28:00"/>
        <d v="2001-10-31T09:10:00"/>
        <d v="2001-11-14T09:26:00"/>
        <d v="2001-12-02T13:01:00"/>
        <d v="2001-12-18T04:02:00"/>
        <d v="2001-12-23T22:52:00"/>
        <d v="2002-01-02T17:22:00"/>
        <d v="2002-01-03T10:17:00"/>
        <d v="2002-01-10T11:14:00"/>
        <d v="2002-02-03T07:11:00"/>
        <d v="2002-02-05T13:27:00"/>
        <d v="2002-03-03T12:08:00"/>
        <d v="2002-03-05T21:16:00"/>
        <d v="2002-03-28T04:56:00"/>
        <d v="2002-03-31T06:52:00"/>
        <d v="2002-04-18T05:02:00"/>
        <d v="2002-04-18T16:08:00"/>
        <d v="2002-04-26T16:06:00"/>
        <d v="2002-06-17T21:26:00"/>
        <d v="2002-06-18T13:56:00"/>
        <d v="2002-06-22T02:58:00"/>
        <d v="2002-07-31T00:16:00"/>
        <d v="2002-08-14T13:57:00"/>
        <d v="2002-09-08T18:44:00"/>
        <d v="2002-09-13T22:28:00"/>
        <d v="2002-10-10T10:50:00"/>
        <d v="2002-10-10T12:28:00"/>
        <d v="2002-10-23T11:27:00"/>
        <d v="2002-11-02T01:26:00"/>
        <d v="2002-11-03T22:12:00"/>
        <d v="2002-12-12T08:30:00"/>
        <d v="2003-01-10T13:11:00"/>
        <d v="2003-01-20T08:43:00"/>
        <d v="2003-01-21T02:46:00"/>
        <d v="2003-01-22T02:06:00"/>
        <d v="2003-03-11T07:27:00"/>
        <d v="2003-03-25T02:53:00"/>
        <d v="2003-05-21T18:44:00"/>
        <d v="2003-05-26T09:24:00"/>
        <d v="2003-05-26T19:23:00"/>
        <d v="2003-06-07T00:32:00"/>
        <d v="2003-06-16T22:08:00"/>
        <d v="2003-06-20T13:30:00"/>
        <d v="2003-07-15T18:46:00"/>
        <d v="2003-08-04T04:37:00"/>
        <d v="2003-08-21T12:12:00"/>
        <d v="2003-09-21T18:16:00"/>
        <d v="2003-09-25T19:50:00"/>
        <d v="2003-09-25T21:08:00"/>
        <d v="2003-09-27T11:33:00"/>
        <d v="2003-09-29T02:36:00"/>
        <d v="2003-10-01T01:03:00"/>
        <d v="2003-10-08T09:06:00"/>
        <d v="2003-10-31T01:06:00"/>
        <d v="2003-11-06T10:38:00"/>
        <d v="2003-11-18T17:14:00"/>
        <d v="2003-11-25T20:19:00"/>
        <d v="2003-12-10T04:38:00"/>
        <d v="2003-12-22T19:15:00"/>
        <d v="2003-12-25T07:11:00"/>
        <d v="2003-12-26T01:56:00"/>
        <d v="2003-12-27T16:00:00"/>
        <d v="2004-01-28T22:15:00"/>
        <d v="2004-02-05T21:05:00"/>
        <d v="2004-02-07T02:42:00"/>
        <d v="2004-02-08T08:58:00"/>
        <d v="2004-04-05T21:24:00"/>
        <d v="2004-04-09T15:23:00"/>
        <d v="2004-04-23T01:50:00"/>
        <d v="2004-05-03T04:36:00"/>
        <d v="2004-06-10T15:19:00"/>
        <d v="2004-07-28T03:56:00"/>
        <d v="2004-08-28T13:41:00"/>
        <d v="2004-09-05T10:07:00"/>
        <d v="2004-09-05T14:57:00"/>
        <d v="2004-09-06T23:29:00"/>
        <d v="2004-10-08T08:27:00"/>
        <d v="2004-10-08T14:36:00"/>
        <d v="2004-10-09T21:26:00"/>
        <d v="2004-10-15T04:08:00"/>
        <d v="2004-10-23T08:56:00"/>
        <d v="2004-11-02T10:02:00"/>
        <d v="2004-11-11T17:34:00"/>
        <d v="2004-11-11T21:26:00"/>
        <d v="2004-11-15T09:06:00"/>
        <d v="2004-11-22T20:26:00"/>
        <d v="2004-11-26T02:25:00"/>
        <d v="2004-11-28T18:32:00"/>
        <d v="2004-12-06T14:15:00"/>
        <d v="2004-12-14T23:20:00"/>
        <d v="2004-12-23T14:59:00"/>
        <d v="2004-12-26T00:58:00"/>
        <d v="2004-12-26T04:21:00"/>
        <d v="2004-12-26T09:20:00"/>
        <d v="2005-01-19T06:11:00"/>
        <d v="2005-02-05T12:23:00"/>
        <d v="2005-02-08T14:48:00"/>
        <d v="2005-02-15T14:42:00"/>
        <d v="2005-02-19T00:04:00"/>
        <d v="2005-02-26T12:56:00"/>
        <d v="2005-03-02T10:42:00"/>
        <d v="2005-03-20T01:53:00"/>
        <d v="2005-03-28T16:09:00"/>
        <d v="2005-04-10T10:29:00"/>
        <d v="2005-04-10T11:14:00"/>
        <d v="2005-05-14T05:05:00"/>
        <d v="2005-05-19T01:54:00"/>
        <d v="2005-06-13T22:44:00"/>
        <d v="2005-06-15T02:50:00"/>
        <d v="2005-07-02T02:16:00"/>
        <d v="2005-07-05T01:52:00"/>
        <d v="2005-07-24T15:42:00"/>
        <d v="2005-08-16T02:46:00"/>
        <d v="2005-09-09T07:26:00"/>
        <d v="2005-09-26T01:55:00"/>
        <d v="2005-09-29T15:50:00"/>
        <d v="2005-10-08T03:50:00"/>
        <d v="2005-11-17T19:26:00"/>
        <d v="2005-11-19T14:10:00"/>
        <d v="2005-12-02T13:13:00"/>
        <d v="2005-12-05T12:19:00"/>
        <d v="2005-12-12T21:47:00"/>
        <d v="2006-01-04T08:32:00"/>
        <d v="2006-01-08T11:34:00"/>
        <d v="2006-02-22T22:19:00"/>
        <d v="2006-03-14T06:57:00"/>
        <d v="2006-04-07T08:30:00"/>
        <d v="2006-04-20T23:25:00"/>
        <d v="2006-04-29T16:58:00"/>
        <d v="2006-04-30T19:17:00"/>
        <d v="2006-04-30T21:40:00"/>
        <d v="2006-05-03T15:26:00"/>
        <d v="2006-05-16T15:28:00"/>
        <d v="2006-05-22T11:12:00"/>
        <d v="2006-05-28T03:12:00"/>
        <d v="2006-07-17T08:19:00"/>
        <d v="2006-08-07T22:18:00"/>
        <d v="2006-08-24T21:50:00"/>
        <d v="2006-09-01T10:18:00"/>
        <d v="2006-09-28T06:22:00"/>
        <d v="2006-10-15T17:07:00"/>
        <d v="2006-10-17T01:25:00"/>
        <d v="2006-10-20T10:48:00"/>
        <d v="2006-11-07T17:38:00"/>
        <d v="2006-11-15T11:14:00"/>
        <d v="2006-12-26T12:26:00"/>
        <d v="2006-12-26T12:34:00"/>
        <d v="2007-01-13T04:23:00"/>
        <d v="2007-01-21T11:27:00"/>
        <d v="2007-02-20T08:04:00"/>
        <d v="2007-03-25T00:40:00"/>
        <d v="2007-03-25T00:41:00"/>
        <d v="2007-04-01T20:39:00"/>
        <d v="2007-04-01T20:47:00"/>
        <d v="2007-04-01T21:11:00"/>
        <d v="2007-06-13T19:29:00"/>
        <d v="2007-07-16T01:13:00"/>
        <d v="2007-07-16T14:17:00"/>
        <d v="2007-07-26T05:40:00"/>
        <d v="2007-08-01T17:08:00"/>
        <d v="2007-08-08T17:05:00"/>
        <d v="2007-08-15T23:40:00"/>
        <d v="2007-08-16T08:39:00"/>
        <d v="2007-09-02T01:05:00"/>
        <d v="2007-09-10T01:49:00"/>
        <d v="2007-09-12T11:10:00"/>
        <d v="2007-09-12T23:49:00"/>
        <d v="2007-09-13T02:30:00"/>
        <d v="2007-09-13T03:35:00"/>
        <d v="2007-09-20T08:31:00"/>
        <d v="2007-09-26T12:36:00"/>
        <d v="2007-10-15T12:29:00"/>
        <d v="2007-10-24T21:02:00"/>
        <d v="2007-11-14T15:40:00"/>
        <d v="2007-11-15T15:05:00"/>
        <d v="2007-11-16T03:13:00"/>
        <d v="2007-11-22T08:48:00"/>
        <d v="2007-11-25T16:02:00"/>
        <d v="2007-11-25T19:53:00"/>
        <d v="2007-11-27T11:49:00"/>
        <d v="2007-11-29T19:00:00"/>
        <d v="2007-12-16T08:09:00"/>
        <d v="2007-12-20T07:55:00"/>
        <d v="2008-02-12T12:50:00"/>
        <d v="2008-02-14T10:09:00"/>
        <d v="2008-02-14T12:08:00"/>
        <d v="2008-02-20T08:08:00"/>
        <d v="2008-02-24T14:46:00"/>
        <d v="2008-02-25T08:36:00"/>
        <d v="2008-02-25T18:06:00"/>
        <d v="2008-02-25T21:02:00"/>
        <d v="2008-03-03T14:11:00"/>
        <d v="2008-03-20T22:32:00"/>
        <d v="2008-04-09T12:46:00"/>
        <d v="2008-05-07T16:45:00"/>
        <d v="2008-05-12T06:28:00"/>
        <d v="2008-06-13T23:43:00"/>
        <d v="2008-06-27T11:40:00"/>
        <d v="2008-07-19T02:39:00"/>
        <d v="2008-07-23T15:26:00"/>
        <d v="2008-08-25T13:21:00"/>
        <d v="2008-09-08T18:52:00"/>
        <d v="2008-09-11T00:00:00"/>
        <d v="2008-09-11T00:20:00"/>
        <d v="2008-10-05T15:52:00"/>
        <d v="2008-10-16T19:41:00"/>
        <d v="2008-11-16T17:02:00"/>
        <d v="2009-01-03T19:43:00"/>
        <d v="2009-01-03T20:23:00"/>
        <d v="2009-01-03T22:33:00"/>
        <d v="2009-02-11T17:34:00"/>
        <d v="2009-03-19T18:17:00"/>
        <d v="2009-05-28T08:24:00"/>
        <d v="2009-06-23T14:19:00"/>
        <d v="2009-07-15T09:22:00"/>
        <d v="2009-08-03T17:59:00"/>
        <d v="2009-08-09T10:55:00"/>
        <d v="2009-08-10T19:55:00"/>
        <d v="2009-08-12T22:48:00"/>
        <d v="2009-08-16T07:38:00"/>
        <d v="2009-09-02T07:55:00"/>
        <d v="2009-09-29T17:48:00"/>
        <d v="2009-09-30T10:16:00"/>
        <d v="2009-10-01T01:52:00"/>
        <d v="2009-10-07T22:03:00"/>
        <d v="2009-10-07T22:18:00"/>
        <d v="2009-10-07T23:13:00"/>
        <d v="2009-10-08T08:28:00"/>
        <d v="2009-10-24T14:40:00"/>
        <d v="2009-10-30T07:03:00"/>
        <d v="2009-11-08T19:41:00"/>
        <d v="2009-11-09T10:44:00"/>
        <d v="2009-11-13T03:05:00"/>
        <d v="2010-01-03T21:48:00"/>
        <d v="2010-01-03T22:36:00"/>
        <d v="2010-01-05T12:15:00"/>
        <d v="2010-01-10T00:27:00"/>
        <d v="2010-01-12T21:53:00"/>
        <d v="2010-02-26T20:31:00"/>
        <d v="2010-02-27T06:34:00"/>
        <d v="2010-02-27T08:01:00"/>
        <d v="2010-03-04T14:02:00"/>
        <d v="2010-03-05T11:47:00"/>
        <d v="2010-03-05T16:07:00"/>
        <d v="2010-03-11T14:39:00"/>
        <d v="2010-03-11T14:55:00"/>
        <d v="2010-03-14T08:08:00"/>
        <d v="2010-03-16T02:21:00"/>
        <d v="2010-03-30T16:54:00"/>
        <d v="2010-04-04T22:40:00"/>
        <d v="2010-04-06T22:15:00"/>
        <d v="2010-04-11T09:40:00"/>
        <d v="2010-04-13T23:49:00"/>
        <d v="2010-05-09T05:59:00"/>
        <d v="2010-05-27T17:14:00"/>
        <d v="2010-06-12T19:26:00"/>
        <d v="2010-06-16T03:16:00"/>
        <d v="2010-06-16T03:58:00"/>
        <d v="2010-06-26T05:30:00"/>
        <d v="2010-07-14T08:32:00"/>
        <d v="2010-07-18T13:04:00"/>
        <d v="2010-07-18T13:34:00"/>
        <d v="2010-07-23T22:51:00"/>
        <d v="2010-08-04T07:15:00"/>
        <d v="2010-08-04T22:01:00"/>
        <d v="2010-08-10T05:23:00"/>
        <d v="2010-08-12T11:54:00"/>
        <d v="2010-09-03T16:35:00"/>
        <d v="2010-09-29T17:11:00"/>
        <d v="2010-10-21T17:53:00"/>
        <d v="2010-10-25T14:42:00"/>
        <d v="2010-12-02T03:12:00"/>
        <d v="2010-12-20T18:41:00"/>
        <d v="2010-12-25T13:16:00"/>
        <d v="2011-01-02T20:20:00"/>
        <d v="2011-01-13T16:16:00"/>
        <d v="2011-01-18T20:23:00"/>
        <d v="2011-02-11T20:05:00"/>
        <d v="2011-02-14T03:40:00"/>
        <d v="2011-03-09T02:45:00"/>
        <d v="2011-03-11T05:46:00"/>
        <d v="2011-03-11T06:15:00"/>
        <d v="2011-03-11T06:25:00"/>
        <d v="2011-03-11T08:19:00"/>
        <d v="2011-03-11T11:36:00"/>
        <d v="2011-03-24T13:55:00"/>
        <d v="2011-04-07T13:11:00"/>
        <d v="2011-04-07T14:32:00"/>
        <d v="2011-04-11T08:16:00"/>
        <d v="2011-04-23T04:16:00"/>
        <d v="2011-05-10T08:55:00"/>
        <d v="2011-06-22T21:50:00"/>
        <d v="2011-07-06T19:03:00"/>
        <d v="2011-07-31T23:38:00"/>
        <d v="2011-08-20T16:55:00"/>
        <d v="2011-08-20T17:13:00"/>
        <d v="2011-08-20T18:19:00"/>
        <d v="2011-08-24T17:46:00"/>
        <d v="2011-09-03T22:55:00"/>
        <d v="2011-09-05T17:55:00"/>
        <d v="2011-09-16T19:26:00"/>
        <d v="2011-09-18T12:40:00"/>
        <d v="2011-10-14T03:35:00"/>
        <d v="2011-10-23T10:41:00"/>
        <d v="2011-10-28T18:54:00"/>
        <d v="2011-12-11T01:47:00"/>
        <d v="2011-12-14T05:04:00"/>
        <d v="2011-12-27T15:21:00"/>
        <d v="2012-01-10T18:36:00"/>
        <d v="2012-02-02T13:34:00"/>
        <d v="2012-02-06T03:49:00"/>
        <d v="2012-02-26T06:17:00"/>
        <d v="2012-03-20T18:02:00"/>
        <d v="2012-03-21T22:15:00"/>
        <d v="2012-03-25T22:37:00"/>
        <d v="2012-04-11T08:38:00"/>
        <d v="2012-04-11T10:43:00"/>
        <d v="2012-04-11T22:55:00"/>
        <d v="2012-04-12T07:15:00"/>
        <d v="2012-04-17T03:50:00"/>
        <d v="2012-04-17T07:13:00"/>
        <d v="2012-04-21T01:16:00"/>
        <d v="2012-04-28T10:08:00"/>
        <d v="2012-07-28T20:03:00"/>
        <d v="2012-08-14T02:59:00"/>
        <d v="2012-08-26T15:05:00"/>
        <d v="2012-08-27T04:37:00"/>
        <d v="2012-08-31T12:47:00"/>
        <d v="2012-09-05T14:42:00"/>
        <d v="2012-09-30T16:31:00"/>
        <d v="2012-10-12T00:31:00"/>
        <d v="2012-10-24T00:45:00"/>
        <d v="2012-10-28T03:04:00"/>
        <d v="2012-11-07T16:35:00"/>
        <d v="2012-11-11T01:12:00"/>
        <d v="2012-11-11T22:14:00"/>
        <d v="2012-12-07T08:18:00"/>
        <d v="2012-12-10T16:53:00"/>
        <d v="2012-12-21T22:28:00"/>
        <d v="2013-01-05T08:58:00"/>
        <d v="2013-01-30T20:15:00"/>
        <d v="2013-02-02T14:17:00"/>
        <d v="2013-02-06T01:12:00"/>
        <d v="2013-02-06T01:23:00"/>
        <d v="2013-02-06T01:54:00"/>
        <d v="2013-02-07T18:59:00"/>
        <d v="2013-02-08T11:12:00"/>
        <d v="2013-02-08T15:26:00"/>
        <d v="2013-02-09T14:16:00"/>
        <d v="2013-02-09T21:02:00"/>
        <d v="2013-02-14T13:13:00"/>
        <d v="2013-02-28T14:05:00"/>
        <d v="2013-03-01T13:20:00"/>
        <d v="2013-03-10T22:51:00"/>
        <d v="2013-04-06T04:42:00"/>
        <d v="2013-04-14T01:32:00"/>
        <d v="2013-04-16T10:44:00"/>
        <d v="2013-04-16T22:55:00"/>
        <d v="2013-04-19T03:05:00"/>
        <d v="2013-04-20T00:02:00"/>
        <d v="2013-04-23T23:14:00"/>
        <d v="2013-05-14T00:32:00"/>
        <d v="2013-05-23T17:19:00"/>
        <d v="2013-05-24T05:44:00"/>
        <d v="2013-05-24T14:56:00"/>
        <d v="2013-06-13T16:47:00"/>
        <d v="2013-06-15T17:34:00"/>
        <d v="2013-06-24T22:04:00"/>
        <d v="2013-07-07T18:35:00"/>
        <d v="2013-07-07T20:30:00"/>
        <d v="2013-07-15T14:03:00"/>
        <d v="2013-07-21T05:09:00"/>
        <d v="2013-08-13T15:43:00"/>
        <d v="2013-08-16T02:31:00"/>
        <d v="2013-08-30T16:25:00"/>
        <d v="2013-09-01T11:52:00"/>
        <d v="2013-09-04T00:18:00"/>
        <d v="2013-09-04T02:32:00"/>
        <d v="2013-09-24T11:29:00"/>
        <d v="2013-09-25T16:42:00"/>
        <d v="2013-09-28T07:34:00"/>
        <d v="2013-09-30T05:55:00"/>
        <d v="2013-10-01T03:38:00"/>
        <d v="2013-10-12T13:11:00"/>
        <d v="2013-10-15T00:12:00"/>
        <d v="2013-10-16T10:30:00"/>
        <d v="2013-10-19T17:54:00"/>
        <d v="2013-10-25T17:10:00"/>
        <d v="2013-10-31T23:03:00"/>
        <d v="2013-11-16T03:34:00"/>
        <d v="2013-11-17T09:04:00"/>
        <d v="2013-11-23T07:48:00"/>
        <d v="2014-01-01T16:03:00"/>
        <d v="2014-02-02T09:26:00"/>
        <d v="2014-02-07T08:40:00"/>
        <d v="2014-02-12T09:19:00"/>
        <d v="2014-02-18T09:27:00"/>
        <d v="2014-03-02T20:11:00"/>
        <d v="2014-03-10T05:18:00"/>
        <d v="2014-03-16T21:16:00"/>
        <d v="2014-04-01T23:46:00"/>
        <d v="2014-04-01T23:57:00"/>
        <d v="2014-04-03T01:58:00"/>
        <d v="2014-04-03T02:43:00"/>
        <d v="2014-04-11T07:07:00"/>
        <d v="2014-04-11T08:16:00"/>
        <d v="2014-04-11T20:29:00"/>
        <d v="2014-04-12T20:14:00"/>
        <d v="2014-04-13T12:36:00"/>
        <d v="2014-04-13T13:24:00"/>
        <d v="2014-04-18T14:27:00"/>
        <d v="2014-04-19T01:04:00"/>
        <d v="2014-04-19T13:28:00"/>
        <d v="2014-04-24T03:10:00"/>
        <d v="2014-05-01T06:36:00"/>
        <d v="2014-05-13T06:35:00"/>
        <d v="2014-05-24T09:25:00"/>
        <d v="2014-06-23T19:19:00"/>
        <d v="2014-06-23T19:21:00"/>
        <d v="2014-06-23T20:06:00"/>
        <d v="2014-06-23T20:53:00"/>
        <d v="2014-06-29T07:52:00"/>
        <d v="2014-06-29T17:15:00"/>
        <d v="2014-07-04T15:00:00"/>
        <d v="2014-07-07T11:23:00"/>
        <d v="2014-07-11T19:22:00"/>
        <d v="2014-07-21T14:54:00"/>
        <d v="2014-08-03T00:22:00"/>
        <d v="2014-08-24T23:21:00"/>
        <d v="2014-09-17T06:14:00"/>
        <d v="2014-10-14T03:51:00"/>
        <d v="2014-11-01T18:57:00"/>
        <d v="2014-11-07T03:33:00"/>
        <d v="2014-11-15T02:31:00"/>
        <d v="2014-11-16T22:33:00"/>
        <d v="2014-11-21T10:10:00"/>
        <d v="2014-11-26T14:33:00"/>
        <d v="2014-12-02T05:11:00"/>
        <d v="2014-12-07T01:22:00"/>
        <d v="2014-12-08T08:54:00"/>
        <d v="2015-01-07T05:07:00"/>
        <d v="2015-01-23T03:47:00"/>
        <d v="2015-02-11T18:57:00"/>
        <d v="2015-02-16T23:06:00"/>
        <d v="2015-02-27T13:45:00"/>
        <d v="2015-03-29T23:48:00"/>
        <d v="2015-03-30T08:48:00"/>
        <d v="2015-04-17T15:52:00"/>
        <d v="2015-04-25T06:11:00"/>
        <d v="2015-04-25T06:45:00"/>
        <d v="2015-04-26T07:09:00"/>
        <d v="2015-04-30T10:45:00"/>
        <d v="2015-05-01T08:06:00"/>
        <d v="2015-05-05T01:44:00"/>
        <d v="2015-05-07T07:10:00"/>
        <d v="2015-05-12T07:05:00"/>
        <d v="2015-05-12T21:12:00"/>
        <d v="2015-05-20T22:48:00"/>
        <d v="2015-05-22T21:45:00"/>
        <d v="2015-05-22T23:59:00"/>
        <d v="2015-05-29T07:00:00"/>
        <d v="2015-05-30T11:23:00"/>
        <d v="2015-06-23T12:18:00"/>
        <d v="2015-07-10T04:12:00"/>
        <d v="2015-07-16T15:16:00"/>
        <d v="2015-07-18T02:27:00"/>
        <d v="2015-07-27T04:49:00"/>
        <d v="2015-07-27T21:41:00"/>
        <d v="2015-08-10T04:12:00"/>
        <d v="2015-08-12T18:49:00"/>
        <d v="2015-09-13T08:14:00"/>
        <d v="2015-09-16T22:54:00"/>
        <d v="2015-09-16T23:18:00"/>
        <d v="2015-09-17T03:55:00"/>
        <d v="2015-09-17T04:10:00"/>
        <d v="2015-09-21T17:40:00"/>
        <d v="2015-09-24T15:53:00"/>
        <d v="2015-10-20T21:52:00"/>
        <d v="2015-10-26T09:09:00"/>
        <d v="2015-11-04T03:44:00"/>
        <d v="2015-11-07T07:31:00"/>
        <d v="2015-11-08T16:47:00"/>
        <d v="2015-11-11T01:54:00"/>
        <d v="2015-11-11T02:46:00"/>
        <d v="2015-11-13T20:51:00"/>
        <d v="2015-11-17T07:10:00"/>
        <d v="2015-11-18T18:31:00"/>
        <d v="2015-11-24T22:45:00"/>
        <d v="2015-11-24T22:50:00"/>
        <d v="2015-11-26T05:45:00"/>
        <d v="2015-12-07T07:50:00"/>
        <d v="2015-12-09T10:21:00"/>
        <d v="2015-12-17T19:49:00"/>
        <d v="2016-01-03T23:05:00"/>
        <d v="2016-01-11T16:38:00"/>
        <d v="2016-01-14T03:25:00"/>
        <d v="2016-01-21T18:06:00"/>
        <d v="2016-01-24T10:30:00"/>
        <d v="2016-01-30T03:25:00"/>
        <d v="2016-03-02T12:49:00"/>
        <d v="2016-04-03T08:23:00"/>
        <d v="2016-04-06T06:58:00"/>
        <d v="2016-04-07T03:32:00"/>
        <d v="2016-04-10T10:28:00"/>
        <d v="2016-04-13T13:55:00"/>
        <d v="2016-04-15T16:25:00"/>
        <d v="2016-04-16T23:58:00"/>
        <d v="2016-04-28T19:33:00"/>
        <d v="2016-05-18T07:57:00"/>
        <d v="2016-05-18T16:46:00"/>
        <d v="2016-05-28T05:38:00"/>
        <d v="2016-05-28T09:46:00"/>
        <d v="2016-06-01T22:56:00"/>
        <d v="2016-07-29T21:18:00"/>
        <d v="2016-08-12T01:26:00"/>
        <d v="2016-08-24T10:34:00"/>
        <d v="2016-08-31T03:11:00"/>
        <d v="2016-09-01T16:37:00"/>
        <d v="2016-09-24T21:28:00"/>
        <d v="2016-10-17T06:14:00"/>
        <d v="2016-10-19T00:26:00"/>
        <d v="2016-10-30T06:40:00"/>
        <d v="2016-11-13T11:02:00"/>
        <d v="2016-11-13T11:32:00"/>
        <d v="2016-11-14T00:34:00"/>
        <d v="2016-11-21T20:59:00"/>
        <d v="2016-11-24T18:43:00"/>
        <d v="2016-11-25T14:24:00"/>
        <d v="2016-12-06T22:03:00"/>
        <d v="2016-12-08T14:49:00"/>
        <d v="2016-12-08T17:38:00"/>
        <d v="2016-12-08T21:56:00"/>
        <d v="2016-12-09T19:10:00"/>
        <d v="2016-12-17T10:51:00"/>
        <d v="2016-12-21T00:17:00"/>
        <d v="2016-12-25T14:22:00"/>
        <d v="2017-01-03T21:52:00"/>
        <d v="2017-01-10T06:13:00"/>
        <d v="2017-01-19T23:04:00"/>
        <d v="2017-01-22T04:30:00"/>
        <d v="2017-02-10T14:03:00"/>
        <d v="2017-02-21T14:09:00"/>
        <d v="2017-02-24T17:28:00"/>
        <d v="2017-03-29T04:09:00"/>
        <d v="2017-04-03T17:40:00"/>
        <d v="2017-04-24T21:38:00"/>
        <d v="2017-04-28T20:23:00"/>
        <d v="2017-05-09T13:52:00"/>
        <d v="2017-05-10T23:23:00"/>
        <d v="2017-05-29T14:35:00"/>
        <d v="2017-06-02T22:24:00"/>
        <d v="2017-06-14T07:29:00"/>
        <d v="2017-06-22T12:31:00"/>
        <d v="2017-07-06T08:03:00"/>
        <d v="2017-07-11T07:00:00"/>
        <d v="2017-07-17T23:34:00"/>
        <d v="2017-07-20T22:31:00"/>
        <d v="2017-08-08T13:19:00"/>
        <d v="2017-09-08T04:49:00"/>
        <d v="2017-09-19T18:14:00"/>
        <d v="2017-10-08T22:34:00"/>
        <d v="2017-10-24T10:47:00"/>
        <d v="2017-10-31T00:42:00"/>
        <d v="2017-11-01T02:23:00"/>
        <d v="2017-11-04T09:00:00"/>
        <d v="2017-11-07T21:26:00"/>
        <d v="2017-11-12T18:18:00"/>
        <d v="2017-11-13T02:28:00"/>
        <d v="2017-11-19T15:09:00"/>
        <d v="2017-11-19T22:43:00"/>
        <d v="2017-12-13T18:03:00"/>
        <d v="2017-12-15T16:47:00"/>
        <d v="2018-01-10T02:51:00"/>
        <d v="2018-01-14T09:18:00"/>
        <d v="2018-01-23T09:31:00"/>
        <d v="2018-02-16T23:39:00"/>
        <d v="2018-02-25T17:44:00"/>
        <d v="2018-03-06T14:13:00"/>
        <d v="2018-03-08T17:39:00"/>
        <d v="2018-03-26T09:51:00"/>
        <d v="2018-03-29T21:25:00"/>
        <d v="2018-04-02T13:40:00"/>
        <d v="2018-05-04T22:32:00"/>
        <d v="2018-08-05T11:46:00"/>
        <d v="2018-08-15T21:56:00"/>
        <d v="2018-08-17T15:35:00"/>
        <d v="2018-08-19T00:19:00"/>
        <d v="2018-08-19T14:56:00"/>
        <d v="2018-08-21T21:31:00"/>
        <d v="2018-08-21T22:32:00"/>
        <d v="2018-08-24T09:04:00"/>
        <d v="2018-08-29T03:51:00"/>
        <d v="2018-09-05T18:07:00"/>
        <d v="2018-09-06T15:49:00"/>
        <d v="2018-09-09T19:31:00"/>
        <d v="2018-09-10T04:19:00"/>
        <d v="2018-09-16T21:11:00"/>
        <d v="2018-09-28T10:02:00"/>
        <d v="2018-09-30T10:52:00"/>
        <d v="2018-10-10T20:48:00"/>
        <d v="2018-10-10T23:16:00"/>
        <d v="2018-10-13T11:10:00"/>
        <d v="2018-10-16T01:03:00"/>
        <d v="2018-10-22T05:39:00"/>
        <d v="2018-10-22T06:16:00"/>
        <d v="2018-10-22T06:22:00"/>
        <d v="2018-10-25T22:54:00"/>
        <d v="2018-11-09T01:49:00"/>
        <d v="2018-11-18T20:25:00"/>
        <d v="2018-11-30T17:29:00"/>
        <d v="2018-12-05T04:18:00"/>
        <d v="2018-12-05T06:43:00"/>
        <d v="2018-12-11T02:26:00"/>
        <d v="2018-12-20T17:01:00"/>
        <d v="2018-12-29T03:39:00"/>
        <d v="2019-01-05T19:25:00"/>
        <d v="2019-01-06T17:27:00"/>
        <d v="2019-01-15T18:06:00"/>
        <d v="2019-01-20T01:32:00"/>
        <d v="2019-01-22T19:01:00"/>
        <d v="2019-02-01T16:14:00"/>
        <d v="2019-02-22T10:17:00"/>
        <d v="2019-03-01T08:50:00"/>
        <d v="2019-04-09T17:53:00"/>
        <d v="2019-04-12T11:40:00"/>
        <d v="2019-05-06T21:19:00"/>
        <d v="2019-05-14T12:58:00"/>
        <d v="2019-05-26T07:41:00"/>
        <d v="2019-05-30T09:03:00"/>
        <d v="2019-06-15T22:55:00"/>
        <d v="2019-06-24T02:53:00"/>
        <d v="2019-07-06T03:19:00"/>
        <d v="2019-07-07T15:08:00"/>
        <d v="2019-07-14T05:39:00"/>
        <d v="2019-07-14T09:10:00"/>
        <d v="2019-07-31T15:02:00"/>
        <d v="2019-08-01T18:28:00"/>
        <d v="2019-08-02T12:03:00"/>
        <d v="2019-08-27T23:55:00"/>
        <d v="2019-09-01T15:54:00"/>
        <d v="2019-09-25T23:46:00"/>
        <d v="2019-09-29T15:57:00"/>
        <d v="2019-10-29T01:04:00"/>
        <d v="2019-10-31T01:11:00"/>
        <d v="2019-11-04T22:43:00"/>
        <d v="2019-11-08T10:44:00"/>
        <d v="2019-11-14T16:17:00"/>
        <d v="2019-12-15T06:11:00"/>
        <d v="2020-01-24T17:55:00"/>
        <d v="2020-01-28T19:10:00"/>
        <d v="2020-02-13T10:33:00"/>
        <d v="2020-03-25T02:49:00"/>
        <d v="2020-03-31T23:52:00"/>
        <d v="2020-05-02T12:51:00"/>
        <d v="2020-05-06T13:53:00"/>
        <d v="2020-05-12T22:41:00"/>
        <d v="2020-05-15T11:03:00"/>
        <d v="2020-06-03T07:35:00"/>
        <d v="2020-06-13T15:51:00"/>
        <d v="2020-06-18T12:49:00"/>
        <d v="2020-06-23T15:29:00"/>
        <d v="2020-07-06T22:54:00"/>
        <d v="2020-07-17T02:50:00"/>
        <d v="2020-07-22T06:12:00"/>
        <d v="2020-08-18T00:03:00"/>
        <d v="2020-08-18T22:23:00"/>
        <d v="2020-08-18T22:29:00"/>
        <d v="2020-08-21T04:09:00"/>
        <d v="2020-08-30T21:20:00"/>
        <d v="2020-09-01T04:09:00"/>
        <d v="2020-09-01T21:09:00"/>
        <d v="2020-09-18T21:43:00"/>
        <d v="2020-10-19T20:54:00"/>
        <d v="2020-10-30T11:51:00"/>
        <d v="2020-12-27T21:39:00"/>
        <d v="2021-01-11T21:32:00"/>
        <d v="2021-01-21T12:23:00"/>
        <d v="2021-01-23T23:36:00"/>
        <d v="2021-02-10T13:19:00"/>
        <d v="2021-02-13T14:07:00"/>
        <d v="2021-03-04T13:27:00"/>
        <d v="2021-03-04T17:41:00"/>
        <d v="2021-03-04T19:28:00"/>
        <d v="2021-03-04T23:12:00"/>
        <d v="2021-03-16T18:38:00"/>
        <d v="2021-03-20T09:09:00"/>
        <d v="2021-04-24T00:23:00"/>
        <d v="2021-04-25T22:28:00"/>
        <d v="2021-05-01T01:27:00"/>
        <d v="2021-05-12T14:05:00"/>
        <d v="2021-05-14T06:33:00"/>
        <d v="2021-05-21T18:04:00"/>
        <d v="2021-05-21T22:13:00"/>
        <d v="2021-06-20T17:05:00"/>
        <d v="2021-07-21T21:15:00"/>
        <d v="2021-07-23T20:48:00"/>
        <d v="2021-07-29T06:15:00"/>
        <d v="2021-08-11T17:46:00"/>
        <d v="2021-08-12T18:32:00"/>
        <d v="2021-08-12T18:35:00"/>
        <d v="2021-08-14T11:57:00"/>
        <d v="2021-08-14T12:29:00"/>
        <d v="2021-08-16T11:10:00"/>
        <d v="2021-08-18T10:10:00"/>
        <d v="2021-08-22T00:45:00"/>
        <d v="2021-08-22T21:33:00"/>
        <d v="2021-09-08T01:47:00"/>
        <d v="2021-09-22T09:57:00"/>
        <d v="2021-10-02T06:29:00"/>
        <d v="2021-10-09T10:58:00"/>
        <d v="2021-10-11T09:10:00"/>
        <d v="2021-11-10T15:45:00"/>
        <d v="2021-11-28T10:52:00"/>
        <d v="2021-12-14T03:20:00"/>
        <d v="2021-12-29T18:25:00"/>
        <d v="2022-01-07T17:45:00"/>
        <d v="2022-01-11T01:07:00"/>
        <d v="2022-01-11T11:35:00"/>
        <d v="2022-01-11T12:39:00"/>
        <d v="2022-01-14T09:05:00"/>
        <d v="2022-01-29T02:46:00"/>
        <d v="2022-02-03T15:58:00"/>
        <d v="2022-02-16T20:21:00"/>
        <d v="2022-03-02T12:52:00"/>
        <d v="2022-03-13T21:09:00"/>
        <d v="2022-03-16T14:36:00"/>
        <d v="2022-03-22T17:41:00"/>
        <d v="2022-03-30T20:56:00"/>
        <d v="2022-03-31T05:44:00"/>
        <d v="2022-04-21T07:42:00"/>
        <d v="2022-05-10T23:06:00"/>
        <d v="2022-05-19T10:13:00"/>
        <d v="2022-05-26T12:02:00"/>
        <d v="2022-06-08T00:55:00"/>
        <d v="2022-07-27T00:43:00"/>
        <d v="2022-08-14T13:44:00"/>
        <d v="2022-09-05T04:52:00"/>
        <d v="2022-09-10T23:47:00"/>
        <d v="2022-09-14T11:04:00"/>
        <d v="2022-09-17T13:41:00"/>
        <d v="2022-09-18T06:44:00"/>
        <d v="2022-09-19T18:05:00"/>
        <d v="2022-09-22T06:16:00"/>
        <d v="2022-10-20T11:57:00"/>
        <d v="2022-11-09T09:38:00"/>
        <d v="2022-11-09T09:51:00"/>
        <d v="2022-11-09T10:14:00"/>
        <d v="2022-11-11T10:48:00"/>
        <d v="2022-11-12T07:09:00"/>
        <d v="2022-11-18T13:37:00"/>
        <d v="2022-11-22T02:03:00"/>
        <d v="2022-12-04T19:24:00"/>
        <d v="2023-01-08T12:32:00"/>
        <d v="2023-01-09T17:47:00"/>
        <d v="2023-01-18T06:06:00"/>
        <d v="2023-01-20T22:09:00"/>
        <d v="2023-02-06T01:17:00"/>
        <d v="2023-02-06T01:28:00"/>
        <d v="2023-02-06T10:24:00"/>
        <d v="2023-02-23T00:37:00"/>
        <d v="2023-03-01T05:36:00"/>
        <d v="2023-03-02T18:04:00"/>
        <d v="2023-03-04T06:41:00"/>
        <d v="2023-03-16T00:56:00"/>
        <d v="2023-03-18T17:12:00"/>
        <d v="2023-03-21T16:47:00"/>
        <d v="2023-03-22T16:00:00"/>
        <d v="2023-04-02T18:04:00"/>
        <d v="2023-04-03T03:06:00"/>
        <d v="2023-04-14T09:55:00"/>
        <d v="2023-04-18T04:31:00"/>
        <d v="2023-04-24T00:41:00"/>
        <d v="2023-04-24T20:00:00"/>
        <d v="2023-04-28T03:13:00"/>
        <d v="2023-05-10T16:02:00"/>
        <d v="2023-05-19T02:57:00"/>
        <d v="2023-05-20T01:51:00"/>
        <d v="2023-05-25T03:05:00"/>
        <d v="2023-06-15T18:06:00"/>
        <d v="2023-07-02T10:27:00"/>
        <d v="2023-07-10T20:28:00"/>
        <d v="2023-07-16T06:48:00"/>
        <d v="2023-07-17T03:05:00"/>
        <d v="2023-07-19T00:22:00"/>
        <d v="2023-08-16T12:47:00"/>
      </sharedItems>
    </cacheField>
    <cacheField name="Title_Pattern" uniqueList="1" numFmtId="0" sqlType="0" hierarchy="0" level="0" databaseField="1">
      <sharedItems count="1">
        <s v="Named-region pattern"/>
      </sharedItems>
    </cacheField>
    <cacheField name="magType_Normalized" uniqueList="1" numFmtId="0" sqlType="0" hierarchy="0" level="0" databaseField="1">
      <sharedItems count="9">
        <s v="mb"/>
        <s v="md"/>
        <s v="mi"/>
        <s v="ml"/>
        <s v="ms"/>
        <s v="mw"/>
        <s v="mwb"/>
        <s v="mwc"/>
        <s v="mww"/>
      </sharedItems>
    </cacheField>
    <cacheField name="Duplicate_Flag" uniqueList="1" numFmtId="0" sqlType="0" hierarchy="0" level="0" databaseField="1">
      <sharedItems count="2">
        <s v="Duplicate"/>
        <s v="Unique"/>
      </sharedItems>
    </cacheField>
    <cacheField name="Year" uniqueList="1" numFmtId="0" sqlType="0" hierarchy="0" level="0" databaseField="1">
      <sharedItems count="29" containsInteger="1" containsNumber="1" containsSemiMixedTypes="0" containsString="0" minValue="1995" maxValue="2023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agnitude_Band" uniqueList="1" numFmtId="0" sqlType="0" hierarchy="0" level="0" databaseField="1">
      <sharedItems count="4">
        <s v="6.5–6.9"/>
        <s v="7.0–7.4"/>
        <s v="7.5–7.9"/>
        <s v="8.0+"/>
      </sharedItems>
    </cacheField>
    <cacheField name="Alert_Audit" uniqueList="1" numFmtId="0" sqlType="0" hierarchy="0" level="0" databaseField="1">
      <sharedItems count="5">
        <s v="Blank"/>
        <s v="green"/>
        <s v="orange"/>
        <s v="red"/>
        <s v="yellow"/>
      </sharedItems>
    </cacheField>
  </cacheFields>
</pivotCacheDefinition>
</file>

<file path=xl/pivotCache/pivotCacheRecords1.xml><?xml version="1.0" encoding="utf-8"?>
<pivotCacheRecords xmlns="http://schemas.openxmlformats.org/spreadsheetml/2006/main" count="1000">
  <r>
    <x v="86"/>
    <x v="0"/>
    <x v="537"/>
    <x v="7"/>
    <x v="3"/>
    <x v="0"/>
    <x v="0"/>
    <x v="7"/>
    <x v="9"/>
    <x v="32"/>
    <x v="374"/>
    <x v="115"/>
    <x v="8"/>
    <x v="317"/>
    <x v="245"/>
    <x v="914"/>
    <x v="433"/>
    <x v="6"/>
    <x v="54"/>
    <x v="989"/>
    <x v="0"/>
    <x v="8"/>
    <x v="1"/>
    <x v="28"/>
    <x v="0"/>
    <x v="1"/>
  </r>
  <r>
    <x v="87"/>
    <x v="0"/>
    <x v="634"/>
    <x v="8"/>
    <x v="5"/>
    <x v="3"/>
    <x v="0"/>
    <x v="100"/>
    <x v="9"/>
    <x v="22"/>
    <x v="61"/>
    <x v="185"/>
    <x v="8"/>
    <x v="214"/>
    <x v="655"/>
    <x v="160"/>
    <x v="159"/>
    <x v="6"/>
    <x v="56"/>
    <x v="988"/>
    <x v="0"/>
    <x v="8"/>
    <x v="1"/>
    <x v="28"/>
    <x v="0"/>
    <x v="4"/>
  </r>
  <r>
    <x v="227"/>
    <x v="1"/>
    <x v="569"/>
    <x v="7"/>
    <x v="4"/>
    <x v="0"/>
    <x v="0"/>
    <x v="176"/>
    <x v="9"/>
    <x v="16"/>
    <x v="164"/>
    <x v="137"/>
    <x v="8"/>
    <x v="303"/>
    <x v="35"/>
    <x v="280"/>
    <x v="237"/>
    <x v="5"/>
    <x v="3"/>
    <x v="987"/>
    <x v="0"/>
    <x v="8"/>
    <x v="1"/>
    <x v="28"/>
    <x v="0"/>
    <x v="1"/>
  </r>
  <r>
    <x v="778"/>
    <x v="7"/>
    <x v="528"/>
    <x v="6"/>
    <x v="5"/>
    <x v="0"/>
    <x v="1"/>
    <x v="156"/>
    <x v="9"/>
    <x v="58"/>
    <x v="90"/>
    <x v="173"/>
    <x v="8"/>
    <x v="128"/>
    <x v="961"/>
    <x v="70"/>
    <x v="409"/>
    <x v="6"/>
    <x v="56"/>
    <x v="986"/>
    <x v="0"/>
    <x v="8"/>
    <x v="1"/>
    <x v="28"/>
    <x v="1"/>
    <x v="1"/>
  </r>
  <r>
    <x v="813"/>
    <x v="8"/>
    <x v="528"/>
    <x v="0"/>
    <x v="4"/>
    <x v="4"/>
    <x v="1"/>
    <x v="129"/>
    <x v="1"/>
    <x v="20"/>
    <x v="87"/>
    <x v="252"/>
    <x v="2"/>
    <x v="79"/>
    <x v="963"/>
    <x v="69"/>
    <x v="18"/>
    <x v="6"/>
    <x v="56"/>
    <x v="986"/>
    <x v="0"/>
    <x v="2"/>
    <x v="1"/>
    <x v="28"/>
    <x v="1"/>
    <x v="0"/>
  </r>
  <r>
    <x v="231"/>
    <x v="1"/>
    <x v="308"/>
    <x v="5"/>
    <x v="3"/>
    <x v="0"/>
    <x v="1"/>
    <x v="118"/>
    <x v="9"/>
    <x v="23"/>
    <x v="230"/>
    <x v="175"/>
    <x v="8"/>
    <x v="20"/>
    <x v="725"/>
    <x v="306"/>
    <x v="96"/>
    <x v="6"/>
    <x v="56"/>
    <x v="985"/>
    <x v="0"/>
    <x v="8"/>
    <x v="1"/>
    <x v="28"/>
    <x v="0"/>
    <x v="1"/>
  </r>
  <r>
    <x v="612"/>
    <x v="4"/>
    <x v="48"/>
    <x v="4"/>
    <x v="3"/>
    <x v="0"/>
    <x v="1"/>
    <x v="76"/>
    <x v="9"/>
    <x v="44"/>
    <x v="122"/>
    <x v="103"/>
    <x v="8"/>
    <x v="339"/>
    <x v="189"/>
    <x v="49"/>
    <x v="473"/>
    <x v="6"/>
    <x v="56"/>
    <x v="984"/>
    <x v="0"/>
    <x v="8"/>
    <x v="1"/>
    <x v="28"/>
    <x v="0"/>
    <x v="1"/>
  </r>
  <r>
    <x v="782"/>
    <x v="7"/>
    <x v="484"/>
    <x v="8"/>
    <x v="5"/>
    <x v="0"/>
    <x v="1"/>
    <x v="120"/>
    <x v="9"/>
    <x v="21"/>
    <x v="241"/>
    <x v="109"/>
    <x v="8"/>
    <x v="300"/>
    <x v="119"/>
    <x v="34"/>
    <x v="462"/>
    <x v="6"/>
    <x v="56"/>
    <x v="983"/>
    <x v="0"/>
    <x v="8"/>
    <x v="1"/>
    <x v="28"/>
    <x v="1"/>
    <x v="1"/>
  </r>
  <r>
    <x v="310"/>
    <x v="1"/>
    <x v="822"/>
    <x v="6"/>
    <x v="5"/>
    <x v="0"/>
    <x v="1"/>
    <x v="68"/>
    <x v="9"/>
    <x v="6"/>
    <x v="210"/>
    <x v="251"/>
    <x v="8"/>
    <x v="20"/>
    <x v="621"/>
    <x v="201"/>
    <x v="339"/>
    <x v="6"/>
    <x v="10"/>
    <x v="982"/>
    <x v="0"/>
    <x v="8"/>
    <x v="1"/>
    <x v="28"/>
    <x v="0"/>
    <x v="1"/>
  </r>
  <r>
    <x v="740"/>
    <x v="6"/>
    <x v="665"/>
    <x v="3"/>
    <x v="3"/>
    <x v="0"/>
    <x v="1"/>
    <x v="102"/>
    <x v="9"/>
    <x v="25"/>
    <x v="254"/>
    <x v="221"/>
    <x v="8"/>
    <x v="137"/>
    <x v="115"/>
    <x v="963"/>
    <x v="466"/>
    <x v="6"/>
    <x v="56"/>
    <x v="981"/>
    <x v="0"/>
    <x v="8"/>
    <x v="1"/>
    <x v="28"/>
    <x v="1"/>
    <x v="1"/>
  </r>
  <r>
    <x v="916"/>
    <x v="12"/>
    <x v="631"/>
    <x v="5"/>
    <x v="3"/>
    <x v="0"/>
    <x v="1"/>
    <x v="191"/>
    <x v="9"/>
    <x v="93"/>
    <x v="271"/>
    <x v="37"/>
    <x v="8"/>
    <x v="60"/>
    <x v="113"/>
    <x v="964"/>
    <x v="466"/>
    <x v="6"/>
    <x v="56"/>
    <x v="980"/>
    <x v="0"/>
    <x v="8"/>
    <x v="1"/>
    <x v="28"/>
    <x v="2"/>
    <x v="1"/>
  </r>
  <r>
    <x v="890"/>
    <x v="11"/>
    <x v="302"/>
    <x v="8"/>
    <x v="5"/>
    <x v="0"/>
    <x v="1"/>
    <x v="180"/>
    <x v="9"/>
    <x v="30"/>
    <x v="291"/>
    <x v="55"/>
    <x v="8"/>
    <x v="329"/>
    <x v="218"/>
    <x v="53"/>
    <x v="145"/>
    <x v="6"/>
    <x v="56"/>
    <x v="979"/>
    <x v="0"/>
    <x v="8"/>
    <x v="1"/>
    <x v="28"/>
    <x v="2"/>
    <x v="1"/>
  </r>
  <r>
    <x v="311"/>
    <x v="1"/>
    <x v="903"/>
    <x v="0"/>
    <x v="1"/>
    <x v="0"/>
    <x v="0"/>
    <x v="14"/>
    <x v="9"/>
    <x v="8"/>
    <x v="345"/>
    <x v="209"/>
    <x v="8"/>
    <x v="382"/>
    <x v="102"/>
    <x v="985"/>
    <x v="462"/>
    <x v="6"/>
    <x v="56"/>
    <x v="978"/>
    <x v="0"/>
    <x v="8"/>
    <x v="1"/>
    <x v="28"/>
    <x v="0"/>
    <x v="1"/>
  </r>
  <r>
    <x v="699"/>
    <x v="6"/>
    <x v="787"/>
    <x v="9"/>
    <x v="6"/>
    <x v="0"/>
    <x v="0"/>
    <x v="141"/>
    <x v="9"/>
    <x v="16"/>
    <x v="218"/>
    <x v="224"/>
    <x v="8"/>
    <x v="48"/>
    <x v="526"/>
    <x v="450"/>
    <x v="457"/>
    <x v="6"/>
    <x v="20"/>
    <x v="977"/>
    <x v="0"/>
    <x v="8"/>
    <x v="1"/>
    <x v="28"/>
    <x v="1"/>
    <x v="1"/>
  </r>
  <r>
    <x v="737"/>
    <x v="6"/>
    <x v="786"/>
    <x v="8"/>
    <x v="6"/>
    <x v="0"/>
    <x v="1"/>
    <x v="102"/>
    <x v="9"/>
    <x v="37"/>
    <x v="64"/>
    <x v="103"/>
    <x v="8"/>
    <x v="158"/>
    <x v="77"/>
    <x v="19"/>
    <x v="193"/>
    <x v="6"/>
    <x v="56"/>
    <x v="976"/>
    <x v="0"/>
    <x v="8"/>
    <x v="1"/>
    <x v="28"/>
    <x v="1"/>
    <x v="1"/>
  </r>
  <r>
    <x v="428"/>
    <x v="2"/>
    <x v="592"/>
    <x v="0"/>
    <x v="2"/>
    <x v="0"/>
    <x v="1"/>
    <x v="31"/>
    <x v="9"/>
    <x v="57"/>
    <x v="335"/>
    <x v="5"/>
    <x v="8"/>
    <x v="378"/>
    <x v="127"/>
    <x v="989"/>
    <x v="462"/>
    <x v="6"/>
    <x v="56"/>
    <x v="975"/>
    <x v="0"/>
    <x v="8"/>
    <x v="1"/>
    <x v="28"/>
    <x v="0"/>
    <x v="1"/>
  </r>
  <r>
    <x v="675"/>
    <x v="5"/>
    <x v="446"/>
    <x v="5"/>
    <x v="2"/>
    <x v="0"/>
    <x v="0"/>
    <x v="128"/>
    <x v="9"/>
    <x v="41"/>
    <x v="191"/>
    <x v="153"/>
    <x v="8"/>
    <x v="376"/>
    <x v="386"/>
    <x v="500"/>
    <x v="476"/>
    <x v="6"/>
    <x v="20"/>
    <x v="974"/>
    <x v="0"/>
    <x v="8"/>
    <x v="1"/>
    <x v="28"/>
    <x v="1"/>
    <x v="1"/>
  </r>
  <r>
    <x v="154"/>
    <x v="0"/>
    <x v="86"/>
    <x v="7"/>
    <x v="5"/>
    <x v="3"/>
    <x v="1"/>
    <x v="5"/>
    <x v="9"/>
    <x v="27"/>
    <x v="17"/>
    <x v="147"/>
    <x v="8"/>
    <x v="243"/>
    <x v="953"/>
    <x v="842"/>
    <x v="463"/>
    <x v="1"/>
    <x v="40"/>
    <x v="973"/>
    <x v="0"/>
    <x v="8"/>
    <x v="1"/>
    <x v="28"/>
    <x v="0"/>
    <x v="4"/>
  </r>
  <r>
    <x v="680"/>
    <x v="5"/>
    <x v="44"/>
    <x v="7"/>
    <x v="6"/>
    <x v="0"/>
    <x v="1"/>
    <x v="105"/>
    <x v="9"/>
    <x v="28"/>
    <x v="367"/>
    <x v="153"/>
    <x v="8"/>
    <x v="204"/>
    <x v="458"/>
    <x v="709"/>
    <x v="303"/>
    <x v="1"/>
    <x v="35"/>
    <x v="972"/>
    <x v="0"/>
    <x v="8"/>
    <x v="1"/>
    <x v="28"/>
    <x v="1"/>
    <x v="1"/>
  </r>
  <r>
    <x v="131"/>
    <x v="0"/>
    <x v="722"/>
    <x v="4"/>
    <x v="3"/>
    <x v="0"/>
    <x v="0"/>
    <x v="6"/>
    <x v="9"/>
    <x v="24"/>
    <x v="163"/>
    <x v="162"/>
    <x v="8"/>
    <x v="328"/>
    <x v="108"/>
    <x v="297"/>
    <x v="395"/>
    <x v="5"/>
    <x v="3"/>
    <x v="971"/>
    <x v="0"/>
    <x v="8"/>
    <x v="1"/>
    <x v="28"/>
    <x v="0"/>
    <x v="1"/>
  </r>
  <r>
    <x v="81"/>
    <x v="0"/>
    <x v="690"/>
    <x v="7"/>
    <x v="4"/>
    <x v="0"/>
    <x v="0"/>
    <x v="295"/>
    <x v="9"/>
    <x v="42"/>
    <x v="237"/>
    <x v="25"/>
    <x v="8"/>
    <x v="315"/>
    <x v="832"/>
    <x v="388"/>
    <x v="174"/>
    <x v="1"/>
    <x v="0"/>
    <x v="970"/>
    <x v="0"/>
    <x v="8"/>
    <x v="1"/>
    <x v="28"/>
    <x v="0"/>
    <x v="1"/>
  </r>
  <r>
    <x v="527"/>
    <x v="3"/>
    <x v="588"/>
    <x v="9"/>
    <x v="6"/>
    <x v="1"/>
    <x v="1"/>
    <x v="270"/>
    <x v="9"/>
    <x v="53"/>
    <x v="65"/>
    <x v="137"/>
    <x v="8"/>
    <x v="209"/>
    <x v="491"/>
    <x v="186"/>
    <x v="115"/>
    <x v="5"/>
    <x v="12"/>
    <x v="969"/>
    <x v="0"/>
    <x v="8"/>
    <x v="1"/>
    <x v="28"/>
    <x v="0"/>
    <x v="2"/>
  </r>
  <r>
    <x v="678"/>
    <x v="5"/>
    <x v="512"/>
    <x v="8"/>
    <x v="4"/>
    <x v="0"/>
    <x v="1"/>
    <x v="86"/>
    <x v="9"/>
    <x v="34"/>
    <x v="181"/>
    <x v="95"/>
    <x v="8"/>
    <x v="83"/>
    <x v="73"/>
    <x v="45"/>
    <x v="192"/>
    <x v="6"/>
    <x v="56"/>
    <x v="968"/>
    <x v="0"/>
    <x v="8"/>
    <x v="1"/>
    <x v="28"/>
    <x v="1"/>
    <x v="1"/>
  </r>
  <r>
    <x v="606"/>
    <x v="4"/>
    <x v="110"/>
    <x v="5"/>
    <x v="4"/>
    <x v="0"/>
    <x v="1"/>
    <x v="70"/>
    <x v="9"/>
    <x v="29"/>
    <x v="74"/>
    <x v="62"/>
    <x v="8"/>
    <x v="325"/>
    <x v="87"/>
    <x v="7"/>
    <x v="193"/>
    <x v="6"/>
    <x v="56"/>
    <x v="967"/>
    <x v="0"/>
    <x v="8"/>
    <x v="1"/>
    <x v="28"/>
    <x v="0"/>
    <x v="1"/>
  </r>
  <r>
    <x v="133"/>
    <x v="0"/>
    <x v="42"/>
    <x v="7"/>
    <x v="5"/>
    <x v="0"/>
    <x v="1"/>
    <x v="3"/>
    <x v="9"/>
    <x v="13"/>
    <x v="356"/>
    <x v="195"/>
    <x v="8"/>
    <x v="20"/>
    <x v="224"/>
    <x v="893"/>
    <x v="359"/>
    <x v="6"/>
    <x v="56"/>
    <x v="966"/>
    <x v="0"/>
    <x v="8"/>
    <x v="1"/>
    <x v="28"/>
    <x v="0"/>
    <x v="1"/>
  </r>
  <r>
    <x v="7"/>
    <x v="0"/>
    <x v="8"/>
    <x v="4"/>
    <x v="1"/>
    <x v="0"/>
    <x v="1"/>
    <x v="2"/>
    <x v="9"/>
    <x v="33"/>
    <x v="251"/>
    <x v="78"/>
    <x v="8"/>
    <x v="383"/>
    <x v="438"/>
    <x v="752"/>
    <x v="197"/>
    <x v="6"/>
    <x v="35"/>
    <x v="965"/>
    <x v="0"/>
    <x v="8"/>
    <x v="1"/>
    <x v="28"/>
    <x v="0"/>
    <x v="1"/>
  </r>
  <r>
    <x v="498"/>
    <x v="3"/>
    <x v="752"/>
    <x v="9"/>
    <x v="6"/>
    <x v="0"/>
    <x v="0"/>
    <x v="72"/>
    <x v="9"/>
    <x v="39"/>
    <x v="180"/>
    <x v="78"/>
    <x v="8"/>
    <x v="76"/>
    <x v="862"/>
    <x v="394"/>
    <x v="284"/>
    <x v="1"/>
    <x v="45"/>
    <x v="964"/>
    <x v="0"/>
    <x v="8"/>
    <x v="1"/>
    <x v="28"/>
    <x v="0"/>
    <x v="1"/>
  </r>
  <r>
    <x v="857"/>
    <x v="10"/>
    <x v="167"/>
    <x v="9"/>
    <x v="8"/>
    <x v="1"/>
    <x v="0"/>
    <x v="304"/>
    <x v="9"/>
    <x v="43"/>
    <x v="83"/>
    <x v="55"/>
    <x v="8"/>
    <x v="20"/>
    <x v="860"/>
    <x v="361"/>
    <x v="117"/>
    <x v="1"/>
    <x v="50"/>
    <x v="963"/>
    <x v="0"/>
    <x v="8"/>
    <x v="1"/>
    <x v="28"/>
    <x v="2"/>
    <x v="2"/>
  </r>
  <r>
    <x v="350"/>
    <x v="2"/>
    <x v="166"/>
    <x v="9"/>
    <x v="7"/>
    <x v="3"/>
    <x v="0"/>
    <x v="117"/>
    <x v="9"/>
    <x v="29"/>
    <x v="11"/>
    <x v="193"/>
    <x v="8"/>
    <x v="41"/>
    <x v="846"/>
    <x v="359"/>
    <x v="315"/>
    <x v="1"/>
    <x v="50"/>
    <x v="962"/>
    <x v="0"/>
    <x v="8"/>
    <x v="1"/>
    <x v="28"/>
    <x v="0"/>
    <x v="4"/>
  </r>
  <r>
    <x v="934"/>
    <x v="13"/>
    <x v="165"/>
    <x v="9"/>
    <x v="8"/>
    <x v="2"/>
    <x v="0"/>
    <x v="355"/>
    <x v="9"/>
    <x v="36"/>
    <x v="192"/>
    <x v="159"/>
    <x v="8"/>
    <x v="58"/>
    <x v="841"/>
    <x v="360"/>
    <x v="86"/>
    <x v="1"/>
    <x v="50"/>
    <x v="961"/>
    <x v="0"/>
    <x v="8"/>
    <x v="1"/>
    <x v="28"/>
    <x v="2"/>
    <x v="3"/>
  </r>
  <r>
    <x v="429"/>
    <x v="3"/>
    <x v="654"/>
    <x v="4"/>
    <x v="2"/>
    <x v="0"/>
    <x v="0"/>
    <x v="56"/>
    <x v="9"/>
    <x v="9"/>
    <x v="347"/>
    <x v="227"/>
    <x v="8"/>
    <x v="388"/>
    <x v="97"/>
    <x v="302"/>
    <x v="502"/>
    <x v="5"/>
    <x v="3"/>
    <x v="960"/>
    <x v="0"/>
    <x v="8"/>
    <x v="1"/>
    <x v="28"/>
    <x v="0"/>
    <x v="1"/>
  </r>
  <r>
    <x v="630"/>
    <x v="5"/>
    <x v="586"/>
    <x v="3"/>
    <x v="4"/>
    <x v="0"/>
    <x v="1"/>
    <x v="86"/>
    <x v="9"/>
    <x v="40"/>
    <x v="196"/>
    <x v="55"/>
    <x v="7"/>
    <x v="116"/>
    <x v="574"/>
    <x v="590"/>
    <x v="470"/>
    <x v="6"/>
    <x v="20"/>
    <x v="959"/>
    <x v="0"/>
    <x v="7"/>
    <x v="1"/>
    <x v="28"/>
    <x v="1"/>
    <x v="1"/>
  </r>
  <r>
    <x v="893"/>
    <x v="11"/>
    <x v="254"/>
    <x v="5"/>
    <x v="6"/>
    <x v="0"/>
    <x v="0"/>
    <x v="207"/>
    <x v="9"/>
    <x v="32"/>
    <x v="158"/>
    <x v="87"/>
    <x v="8"/>
    <x v="241"/>
    <x v="349"/>
    <x v="619"/>
    <x v="372"/>
    <x v="6"/>
    <x v="20"/>
    <x v="958"/>
    <x v="0"/>
    <x v="8"/>
    <x v="1"/>
    <x v="28"/>
    <x v="2"/>
    <x v="1"/>
  </r>
  <r>
    <x v="683"/>
    <x v="5"/>
    <x v="223"/>
    <x v="8"/>
    <x v="6"/>
    <x v="0"/>
    <x v="1"/>
    <x v="95"/>
    <x v="9"/>
    <x v="34"/>
    <x v="364"/>
    <x v="173"/>
    <x v="8"/>
    <x v="120"/>
    <x v="230"/>
    <x v="906"/>
    <x v="487"/>
    <x v="6"/>
    <x v="54"/>
    <x v="957"/>
    <x v="0"/>
    <x v="8"/>
    <x v="1"/>
    <x v="28"/>
    <x v="1"/>
    <x v="1"/>
  </r>
  <r>
    <x v="433"/>
    <x v="3"/>
    <x v="128"/>
    <x v="5"/>
    <x v="4"/>
    <x v="0"/>
    <x v="1"/>
    <x v="58"/>
    <x v="9"/>
    <x v="53"/>
    <x v="240"/>
    <x v="123"/>
    <x v="8"/>
    <x v="141"/>
    <x v="223"/>
    <x v="59"/>
    <x v="145"/>
    <x v="6"/>
    <x v="56"/>
    <x v="956"/>
    <x v="0"/>
    <x v="8"/>
    <x v="1"/>
    <x v="27"/>
    <x v="0"/>
    <x v="1"/>
  </r>
  <r>
    <x v="634"/>
    <x v="5"/>
    <x v="745"/>
    <x v="8"/>
    <x v="6"/>
    <x v="0"/>
    <x v="1"/>
    <x v="95"/>
    <x v="9"/>
    <x v="35"/>
    <x v="42"/>
    <x v="55"/>
    <x v="8"/>
    <x v="37"/>
    <x v="301"/>
    <x v="849"/>
    <x v="252"/>
    <x v="4"/>
    <x v="42"/>
    <x v="955"/>
    <x v="0"/>
    <x v="8"/>
    <x v="1"/>
    <x v="27"/>
    <x v="1"/>
    <x v="1"/>
  </r>
  <r>
    <x v="553"/>
    <x v="4"/>
    <x v="616"/>
    <x v="4"/>
    <x v="3"/>
    <x v="0"/>
    <x v="0"/>
    <x v="70"/>
    <x v="9"/>
    <x v="26"/>
    <x v="212"/>
    <x v="168"/>
    <x v="8"/>
    <x v="98"/>
    <x v="432"/>
    <x v="471"/>
    <x v="57"/>
    <x v="6"/>
    <x v="56"/>
    <x v="954"/>
    <x v="0"/>
    <x v="8"/>
    <x v="1"/>
    <x v="27"/>
    <x v="0"/>
    <x v="1"/>
  </r>
  <r>
    <x v="614"/>
    <x v="5"/>
    <x v="398"/>
    <x v="3"/>
    <x v="2"/>
    <x v="0"/>
    <x v="1"/>
    <x v="85"/>
    <x v="9"/>
    <x v="51"/>
    <x v="273"/>
    <x v="62"/>
    <x v="8"/>
    <x v="372"/>
    <x v="161"/>
    <x v="11"/>
    <x v="502"/>
    <x v="4"/>
    <x v="14"/>
    <x v="953"/>
    <x v="0"/>
    <x v="8"/>
    <x v="1"/>
    <x v="27"/>
    <x v="1"/>
    <x v="1"/>
  </r>
  <r>
    <x v="799"/>
    <x v="8"/>
    <x v="365"/>
    <x v="5"/>
    <x v="4"/>
    <x v="0"/>
    <x v="1"/>
    <x v="138"/>
    <x v="9"/>
    <x v="52"/>
    <x v="189"/>
    <x v="87"/>
    <x v="8"/>
    <x v="140"/>
    <x v="174"/>
    <x v="60"/>
    <x v="297"/>
    <x v="6"/>
    <x v="56"/>
    <x v="952"/>
    <x v="0"/>
    <x v="8"/>
    <x v="1"/>
    <x v="27"/>
    <x v="1"/>
    <x v="1"/>
  </r>
  <r>
    <x v="161"/>
    <x v="1"/>
    <x v="279"/>
    <x v="0"/>
    <x v="1"/>
    <x v="0"/>
    <x v="1"/>
    <x v="14"/>
    <x v="9"/>
    <x v="41"/>
    <x v="343"/>
    <x v="130"/>
    <x v="8"/>
    <x v="394"/>
    <x v="100"/>
    <x v="980"/>
    <x v="502"/>
    <x v="6"/>
    <x v="56"/>
    <x v="951"/>
    <x v="0"/>
    <x v="8"/>
    <x v="1"/>
    <x v="27"/>
    <x v="0"/>
    <x v="1"/>
  </r>
  <r>
    <x v="681"/>
    <x v="5"/>
    <x v="278"/>
    <x v="4"/>
    <x v="2"/>
    <x v="0"/>
    <x v="1"/>
    <x v="85"/>
    <x v="9"/>
    <x v="48"/>
    <x v="329"/>
    <x v="123"/>
    <x v="6"/>
    <x v="398"/>
    <x v="98"/>
    <x v="984"/>
    <x v="462"/>
    <x v="6"/>
    <x v="56"/>
    <x v="950"/>
    <x v="0"/>
    <x v="6"/>
    <x v="1"/>
    <x v="27"/>
    <x v="1"/>
    <x v="1"/>
  </r>
  <r>
    <x v="529"/>
    <x v="3"/>
    <x v="277"/>
    <x v="1"/>
    <x v="2"/>
    <x v="0"/>
    <x v="1"/>
    <x v="49"/>
    <x v="9"/>
    <x v="44"/>
    <x v="334"/>
    <x v="95"/>
    <x v="8"/>
    <x v="397"/>
    <x v="99"/>
    <x v="983"/>
    <x v="462"/>
    <x v="6"/>
    <x v="56"/>
    <x v="949"/>
    <x v="0"/>
    <x v="8"/>
    <x v="1"/>
    <x v="27"/>
    <x v="0"/>
    <x v="1"/>
  </r>
  <r>
    <x v="396"/>
    <x v="2"/>
    <x v="679"/>
    <x v="7"/>
    <x v="5"/>
    <x v="0"/>
    <x v="1"/>
    <x v="114"/>
    <x v="9"/>
    <x v="50"/>
    <x v="114"/>
    <x v="175"/>
    <x v="8"/>
    <x v="72"/>
    <x v="613"/>
    <x v="181"/>
    <x v="65"/>
    <x v="6"/>
    <x v="34"/>
    <x v="948"/>
    <x v="0"/>
    <x v="8"/>
    <x v="1"/>
    <x v="27"/>
    <x v="0"/>
    <x v="1"/>
  </r>
  <r>
    <x v="492"/>
    <x v="3"/>
    <x v="738"/>
    <x v="8"/>
    <x v="6"/>
    <x v="3"/>
    <x v="1"/>
    <x v="275"/>
    <x v="9"/>
    <x v="60"/>
    <x v="209"/>
    <x v="241"/>
    <x v="8"/>
    <x v="72"/>
    <x v="708"/>
    <x v="119"/>
    <x v="14"/>
    <x v="3"/>
    <x v="26"/>
    <x v="947"/>
    <x v="0"/>
    <x v="8"/>
    <x v="1"/>
    <x v="27"/>
    <x v="0"/>
    <x v="4"/>
  </r>
  <r>
    <x v="878"/>
    <x v="11"/>
    <x v="639"/>
    <x v="9"/>
    <x v="7"/>
    <x v="3"/>
    <x v="1"/>
    <x v="337"/>
    <x v="9"/>
    <x v="90"/>
    <x v="115"/>
    <x v="233"/>
    <x v="8"/>
    <x v="106"/>
    <x v="710"/>
    <x v="118"/>
    <x v="14"/>
    <x v="3"/>
    <x v="26"/>
    <x v="946"/>
    <x v="0"/>
    <x v="8"/>
    <x v="1"/>
    <x v="27"/>
    <x v="2"/>
    <x v="4"/>
  </r>
  <r>
    <x v="596"/>
    <x v="4"/>
    <x v="607"/>
    <x v="9"/>
    <x v="8"/>
    <x v="3"/>
    <x v="1"/>
    <x v="169"/>
    <x v="9"/>
    <x v="65"/>
    <x v="30"/>
    <x v="168"/>
    <x v="8"/>
    <x v="20"/>
    <x v="737"/>
    <x v="524"/>
    <x v="500"/>
    <x v="1"/>
    <x v="44"/>
    <x v="945"/>
    <x v="0"/>
    <x v="8"/>
    <x v="1"/>
    <x v="27"/>
    <x v="0"/>
    <x v="4"/>
  </r>
  <r>
    <x v="143"/>
    <x v="0"/>
    <x v="575"/>
    <x v="7"/>
    <x v="6"/>
    <x v="0"/>
    <x v="1"/>
    <x v="86"/>
    <x v="9"/>
    <x v="61"/>
    <x v="35"/>
    <x v="216"/>
    <x v="8"/>
    <x v="20"/>
    <x v="734"/>
    <x v="525"/>
    <x v="242"/>
    <x v="1"/>
    <x v="44"/>
    <x v="944"/>
    <x v="0"/>
    <x v="8"/>
    <x v="1"/>
    <x v="27"/>
    <x v="0"/>
    <x v="1"/>
  </r>
  <r>
    <x v="637"/>
    <x v="5"/>
    <x v="463"/>
    <x v="7"/>
    <x v="4"/>
    <x v="0"/>
    <x v="1"/>
    <x v="91"/>
    <x v="9"/>
    <x v="62"/>
    <x v="264"/>
    <x v="195"/>
    <x v="8"/>
    <x v="277"/>
    <x v="147"/>
    <x v="959"/>
    <x v="161"/>
    <x v="6"/>
    <x v="56"/>
    <x v="943"/>
    <x v="0"/>
    <x v="8"/>
    <x v="1"/>
    <x v="27"/>
    <x v="1"/>
    <x v="1"/>
  </r>
  <r>
    <x v="885"/>
    <x v="11"/>
    <x v="314"/>
    <x v="8"/>
    <x v="7"/>
    <x v="3"/>
    <x v="1"/>
    <x v="211"/>
    <x v="9"/>
    <x v="91"/>
    <x v="275"/>
    <x v="17"/>
    <x v="8"/>
    <x v="256"/>
    <x v="382"/>
    <x v="735"/>
    <x v="177"/>
    <x v="4"/>
    <x v="35"/>
    <x v="942"/>
    <x v="0"/>
    <x v="8"/>
    <x v="1"/>
    <x v="27"/>
    <x v="2"/>
    <x v="4"/>
  </r>
  <r>
    <x v="251"/>
    <x v="1"/>
    <x v="152"/>
    <x v="9"/>
    <x v="7"/>
    <x v="1"/>
    <x v="0"/>
    <x v="242"/>
    <x v="9"/>
    <x v="47"/>
    <x v="391"/>
    <x v="168"/>
    <x v="8"/>
    <x v="26"/>
    <x v="776"/>
    <x v="485"/>
    <x v="183"/>
    <x v="1"/>
    <x v="36"/>
    <x v="941"/>
    <x v="0"/>
    <x v="8"/>
    <x v="1"/>
    <x v="27"/>
    <x v="0"/>
    <x v="2"/>
  </r>
  <r>
    <x v="312"/>
    <x v="1"/>
    <x v="461"/>
    <x v="7"/>
    <x v="5"/>
    <x v="0"/>
    <x v="1"/>
    <x v="16"/>
    <x v="9"/>
    <x v="15"/>
    <x v="352"/>
    <x v="168"/>
    <x v="8"/>
    <x v="122"/>
    <x v="56"/>
    <x v="4"/>
    <x v="464"/>
    <x v="6"/>
    <x v="56"/>
    <x v="940"/>
    <x v="0"/>
    <x v="8"/>
    <x v="1"/>
    <x v="27"/>
    <x v="0"/>
    <x v="1"/>
  </r>
  <r>
    <x v="619"/>
    <x v="5"/>
    <x v="882"/>
    <x v="9"/>
    <x v="7"/>
    <x v="3"/>
    <x v="1"/>
    <x v="296"/>
    <x v="9"/>
    <x v="53"/>
    <x v="351"/>
    <x v="95"/>
    <x v="8"/>
    <x v="132"/>
    <x v="702"/>
    <x v="521"/>
    <x v="47"/>
    <x v="1"/>
    <x v="38"/>
    <x v="939"/>
    <x v="0"/>
    <x v="8"/>
    <x v="1"/>
    <x v="27"/>
    <x v="1"/>
    <x v="4"/>
  </r>
  <r>
    <x v="5"/>
    <x v="0"/>
    <x v="230"/>
    <x v="3"/>
    <x v="1"/>
    <x v="0"/>
    <x v="0"/>
    <x v="3"/>
    <x v="9"/>
    <x v="75"/>
    <x v="199"/>
    <x v="153"/>
    <x v="8"/>
    <x v="392"/>
    <x v="310"/>
    <x v="265"/>
    <x v="452"/>
    <x v="5"/>
    <x v="7"/>
    <x v="938"/>
    <x v="0"/>
    <x v="8"/>
    <x v="1"/>
    <x v="27"/>
    <x v="0"/>
    <x v="1"/>
  </r>
  <r>
    <x v="741"/>
    <x v="7"/>
    <x v="854"/>
    <x v="7"/>
    <x v="4"/>
    <x v="0"/>
    <x v="1"/>
    <x v="166"/>
    <x v="9"/>
    <x v="49"/>
    <x v="233"/>
    <x v="185"/>
    <x v="8"/>
    <x v="341"/>
    <x v="233"/>
    <x v="282"/>
    <x v="34"/>
    <x v="5"/>
    <x v="37"/>
    <x v="937"/>
    <x v="0"/>
    <x v="8"/>
    <x v="1"/>
    <x v="27"/>
    <x v="1"/>
    <x v="1"/>
  </r>
  <r>
    <x v="530"/>
    <x v="4"/>
    <x v="630"/>
    <x v="2"/>
    <x v="4"/>
    <x v="0"/>
    <x v="1"/>
    <x v="68"/>
    <x v="9"/>
    <x v="38"/>
    <x v="28"/>
    <x v="195"/>
    <x v="8"/>
    <x v="20"/>
    <x v="17"/>
    <x v="844"/>
    <x v="502"/>
    <x v="6"/>
    <x v="56"/>
    <x v="936"/>
    <x v="0"/>
    <x v="8"/>
    <x v="1"/>
    <x v="27"/>
    <x v="0"/>
    <x v="1"/>
  </r>
  <r>
    <x v="512"/>
    <x v="3"/>
    <x v="301"/>
    <x v="6"/>
    <x v="4"/>
    <x v="0"/>
    <x v="1"/>
    <x v="92"/>
    <x v="9"/>
    <x v="55"/>
    <x v="151"/>
    <x v="147"/>
    <x v="8"/>
    <x v="332"/>
    <x v="106"/>
    <x v="295"/>
    <x v="395"/>
    <x v="5"/>
    <x v="3"/>
    <x v="935"/>
    <x v="0"/>
    <x v="8"/>
    <x v="1"/>
    <x v="27"/>
    <x v="0"/>
    <x v="1"/>
  </r>
  <r>
    <x v="267"/>
    <x v="1"/>
    <x v="693"/>
    <x v="6"/>
    <x v="4"/>
    <x v="0"/>
    <x v="1"/>
    <x v="92"/>
    <x v="9"/>
    <x v="0"/>
    <x v="92"/>
    <x v="242"/>
    <x v="8"/>
    <x v="107"/>
    <x v="641"/>
    <x v="163"/>
    <x v="256"/>
    <x v="6"/>
    <x v="56"/>
    <x v="934"/>
    <x v="0"/>
    <x v="8"/>
    <x v="1"/>
    <x v="27"/>
    <x v="0"/>
    <x v="1"/>
  </r>
  <r>
    <x v="682"/>
    <x v="5"/>
    <x v="979"/>
    <x v="6"/>
    <x v="3"/>
    <x v="0"/>
    <x v="1"/>
    <x v="93"/>
    <x v="9"/>
    <x v="0"/>
    <x v="249"/>
    <x v="123"/>
    <x v="8"/>
    <x v="20"/>
    <x v="124"/>
    <x v="961"/>
    <x v="466"/>
    <x v="6"/>
    <x v="56"/>
    <x v="933"/>
    <x v="0"/>
    <x v="8"/>
    <x v="1"/>
    <x v="27"/>
    <x v="1"/>
    <x v="1"/>
  </r>
  <r>
    <x v="569"/>
    <x v="4"/>
    <x v="956"/>
    <x v="6"/>
    <x v="3"/>
    <x v="0"/>
    <x v="1"/>
    <x v="73"/>
    <x v="9"/>
    <x v="0"/>
    <x v="248"/>
    <x v="189"/>
    <x v="8"/>
    <x v="20"/>
    <x v="122"/>
    <x v="960"/>
    <x v="448"/>
    <x v="6"/>
    <x v="56"/>
    <x v="932"/>
    <x v="0"/>
    <x v="8"/>
    <x v="1"/>
    <x v="27"/>
    <x v="0"/>
    <x v="1"/>
  </r>
  <r>
    <x v="401"/>
    <x v="2"/>
    <x v="721"/>
    <x v="8"/>
    <x v="6"/>
    <x v="0"/>
    <x v="1"/>
    <x v="122"/>
    <x v="9"/>
    <x v="0"/>
    <x v="21"/>
    <x v="159"/>
    <x v="8"/>
    <x v="94"/>
    <x v="738"/>
    <x v="528"/>
    <x v="150"/>
    <x v="1"/>
    <x v="44"/>
    <x v="931"/>
    <x v="0"/>
    <x v="8"/>
    <x v="1"/>
    <x v="27"/>
    <x v="0"/>
    <x v="1"/>
  </r>
  <r>
    <x v="808"/>
    <x v="8"/>
    <x v="511"/>
    <x v="9"/>
    <x v="7"/>
    <x v="2"/>
    <x v="1"/>
    <x v="350"/>
    <x v="9"/>
    <x v="0"/>
    <x v="262"/>
    <x v="143"/>
    <x v="8"/>
    <x v="152"/>
    <x v="854"/>
    <x v="677"/>
    <x v="291"/>
    <x v="6"/>
    <x v="56"/>
    <x v="930"/>
    <x v="0"/>
    <x v="8"/>
    <x v="1"/>
    <x v="27"/>
    <x v="1"/>
    <x v="3"/>
  </r>
  <r>
    <x v="348"/>
    <x v="2"/>
    <x v="408"/>
    <x v="9"/>
    <x v="5"/>
    <x v="0"/>
    <x v="0"/>
    <x v="46"/>
    <x v="9"/>
    <x v="0"/>
    <x v="211"/>
    <x v="192"/>
    <x v="8"/>
    <x v="111"/>
    <x v="529"/>
    <x v="451"/>
    <x v="345"/>
    <x v="1"/>
    <x v="20"/>
    <x v="929"/>
    <x v="0"/>
    <x v="8"/>
    <x v="1"/>
    <x v="27"/>
    <x v="0"/>
    <x v="1"/>
  </r>
  <r>
    <x v="305"/>
    <x v="1"/>
    <x v="41"/>
    <x v="2"/>
    <x v="6"/>
    <x v="0"/>
    <x v="1"/>
    <x v="14"/>
    <x v="9"/>
    <x v="0"/>
    <x v="81"/>
    <x v="197"/>
    <x v="8"/>
    <x v="94"/>
    <x v="75"/>
    <x v="25"/>
    <x v="193"/>
    <x v="6"/>
    <x v="56"/>
    <x v="928"/>
    <x v="0"/>
    <x v="8"/>
    <x v="1"/>
    <x v="27"/>
    <x v="0"/>
    <x v="1"/>
  </r>
  <r>
    <x v="529"/>
    <x v="3"/>
    <x v="507"/>
    <x v="2"/>
    <x v="2"/>
    <x v="0"/>
    <x v="1"/>
    <x v="50"/>
    <x v="9"/>
    <x v="0"/>
    <x v="358"/>
    <x v="17"/>
    <x v="8"/>
    <x v="361"/>
    <x v="105"/>
    <x v="0"/>
    <x v="462"/>
    <x v="6"/>
    <x v="56"/>
    <x v="927"/>
    <x v="0"/>
    <x v="8"/>
    <x v="1"/>
    <x v="27"/>
    <x v="0"/>
    <x v="1"/>
  </r>
  <r>
    <x v="94"/>
    <x v="0"/>
    <x v="74"/>
    <x v="8"/>
    <x v="5"/>
    <x v="0"/>
    <x v="0"/>
    <x v="30"/>
    <x v="9"/>
    <x v="0"/>
    <x v="268"/>
    <x v="95"/>
    <x v="8"/>
    <x v="248"/>
    <x v="453"/>
    <x v="203"/>
    <x v="50"/>
    <x v="5"/>
    <x v="37"/>
    <x v="926"/>
    <x v="0"/>
    <x v="8"/>
    <x v="1"/>
    <x v="27"/>
    <x v="0"/>
    <x v="1"/>
  </r>
  <r>
    <x v="151"/>
    <x v="0"/>
    <x v="923"/>
    <x v="7"/>
    <x v="3"/>
    <x v="0"/>
    <x v="1"/>
    <x v="1"/>
    <x v="9"/>
    <x v="0"/>
    <x v="111"/>
    <x v="222"/>
    <x v="8"/>
    <x v="9"/>
    <x v="84"/>
    <x v="38"/>
    <x v="192"/>
    <x v="6"/>
    <x v="56"/>
    <x v="925"/>
    <x v="0"/>
    <x v="8"/>
    <x v="1"/>
    <x v="27"/>
    <x v="0"/>
    <x v="1"/>
  </r>
  <r>
    <x v="289"/>
    <x v="1"/>
    <x v="437"/>
    <x v="8"/>
    <x v="5"/>
    <x v="0"/>
    <x v="0"/>
    <x v="108"/>
    <x v="9"/>
    <x v="0"/>
    <x v="226"/>
    <x v="95"/>
    <x v="8"/>
    <x v="130"/>
    <x v="352"/>
    <x v="491"/>
    <x v="221"/>
    <x v="6"/>
    <x v="20"/>
    <x v="924"/>
    <x v="0"/>
    <x v="8"/>
    <x v="1"/>
    <x v="27"/>
    <x v="0"/>
    <x v="1"/>
  </r>
  <r>
    <x v="116"/>
    <x v="0"/>
    <x v="327"/>
    <x v="0"/>
    <x v="2"/>
    <x v="4"/>
    <x v="1"/>
    <x v="0"/>
    <x v="1"/>
    <x v="24"/>
    <x v="162"/>
    <x v="245"/>
    <x v="2"/>
    <x v="140"/>
    <x v="949"/>
    <x v="66"/>
    <x v="306"/>
    <x v="6"/>
    <x v="56"/>
    <x v="923"/>
    <x v="0"/>
    <x v="2"/>
    <x v="0"/>
    <x v="27"/>
    <x v="0"/>
    <x v="0"/>
  </r>
  <r>
    <x v="116"/>
    <x v="0"/>
    <x v="327"/>
    <x v="0"/>
    <x v="2"/>
    <x v="4"/>
    <x v="1"/>
    <x v="0"/>
    <x v="8"/>
    <x v="3"/>
    <x v="0"/>
    <x v="254"/>
    <x v="2"/>
    <x v="140"/>
    <x v="949"/>
    <x v="66"/>
    <x v="306"/>
    <x v="6"/>
    <x v="56"/>
    <x v="923"/>
    <x v="0"/>
    <x v="2"/>
    <x v="0"/>
    <x v="27"/>
    <x v="0"/>
    <x v="0"/>
  </r>
  <r>
    <x v="266"/>
    <x v="1"/>
    <x v="327"/>
    <x v="8"/>
    <x v="4"/>
    <x v="0"/>
    <x v="1"/>
    <x v="18"/>
    <x v="9"/>
    <x v="0"/>
    <x v="41"/>
    <x v="208"/>
    <x v="8"/>
    <x v="65"/>
    <x v="950"/>
    <x v="65"/>
    <x v="306"/>
    <x v="6"/>
    <x v="56"/>
    <x v="923"/>
    <x v="0"/>
    <x v="8"/>
    <x v="1"/>
    <x v="27"/>
    <x v="0"/>
    <x v="1"/>
  </r>
  <r>
    <x v="414"/>
    <x v="2"/>
    <x v="326"/>
    <x v="0"/>
    <x v="3"/>
    <x v="4"/>
    <x v="1"/>
    <x v="31"/>
    <x v="1"/>
    <x v="6"/>
    <x v="95"/>
    <x v="250"/>
    <x v="2"/>
    <x v="130"/>
    <x v="948"/>
    <x v="68"/>
    <x v="306"/>
    <x v="6"/>
    <x v="56"/>
    <x v="922"/>
    <x v="0"/>
    <x v="2"/>
    <x v="0"/>
    <x v="27"/>
    <x v="0"/>
    <x v="0"/>
  </r>
  <r>
    <x v="414"/>
    <x v="2"/>
    <x v="326"/>
    <x v="0"/>
    <x v="3"/>
    <x v="4"/>
    <x v="1"/>
    <x v="31"/>
    <x v="8"/>
    <x v="2"/>
    <x v="0"/>
    <x v="253"/>
    <x v="2"/>
    <x v="130"/>
    <x v="948"/>
    <x v="68"/>
    <x v="306"/>
    <x v="6"/>
    <x v="56"/>
    <x v="922"/>
    <x v="0"/>
    <x v="2"/>
    <x v="0"/>
    <x v="27"/>
    <x v="0"/>
    <x v="0"/>
  </r>
  <r>
    <x v="430"/>
    <x v="3"/>
    <x v="326"/>
    <x v="7"/>
    <x v="5"/>
    <x v="0"/>
    <x v="1"/>
    <x v="65"/>
    <x v="9"/>
    <x v="0"/>
    <x v="94"/>
    <x v="227"/>
    <x v="8"/>
    <x v="72"/>
    <x v="952"/>
    <x v="67"/>
    <x v="306"/>
    <x v="6"/>
    <x v="56"/>
    <x v="922"/>
    <x v="0"/>
    <x v="8"/>
    <x v="1"/>
    <x v="27"/>
    <x v="0"/>
    <x v="1"/>
  </r>
  <r>
    <x v="256"/>
    <x v="1"/>
    <x v="325"/>
    <x v="6"/>
    <x v="5"/>
    <x v="0"/>
    <x v="0"/>
    <x v="214"/>
    <x v="9"/>
    <x v="0"/>
    <x v="119"/>
    <x v="87"/>
    <x v="8"/>
    <x v="79"/>
    <x v="809"/>
    <x v="355"/>
    <x v="354"/>
    <x v="1"/>
    <x v="56"/>
    <x v="921"/>
    <x v="0"/>
    <x v="8"/>
    <x v="1"/>
    <x v="27"/>
    <x v="0"/>
    <x v="1"/>
  </r>
  <r>
    <x v="309"/>
    <x v="1"/>
    <x v="191"/>
    <x v="9"/>
    <x v="7"/>
    <x v="1"/>
    <x v="0"/>
    <x v="229"/>
    <x v="9"/>
    <x v="0"/>
    <x v="247"/>
    <x v="25"/>
    <x v="8"/>
    <x v="32"/>
    <x v="857"/>
    <x v="477"/>
    <x v="313"/>
    <x v="1"/>
    <x v="36"/>
    <x v="920"/>
    <x v="0"/>
    <x v="8"/>
    <x v="1"/>
    <x v="27"/>
    <x v="0"/>
    <x v="2"/>
  </r>
  <r>
    <x v="788"/>
    <x v="8"/>
    <x v="950"/>
    <x v="8"/>
    <x v="6"/>
    <x v="0"/>
    <x v="0"/>
    <x v="190"/>
    <x v="9"/>
    <x v="0"/>
    <x v="294"/>
    <x v="71"/>
    <x v="8"/>
    <x v="297"/>
    <x v="334"/>
    <x v="599"/>
    <x v="239"/>
    <x v="6"/>
    <x v="20"/>
    <x v="919"/>
    <x v="0"/>
    <x v="8"/>
    <x v="1"/>
    <x v="26"/>
    <x v="1"/>
    <x v="1"/>
  </r>
  <r>
    <x v="814"/>
    <x v="8"/>
    <x v="474"/>
    <x v="9"/>
    <x v="4"/>
    <x v="0"/>
    <x v="1"/>
    <x v="152"/>
    <x v="9"/>
    <x v="0"/>
    <x v="102"/>
    <x v="159"/>
    <x v="8"/>
    <x v="40"/>
    <x v="333"/>
    <x v="533"/>
    <x v="127"/>
    <x v="1"/>
    <x v="20"/>
    <x v="918"/>
    <x v="0"/>
    <x v="8"/>
    <x v="1"/>
    <x v="26"/>
    <x v="1"/>
    <x v="1"/>
  </r>
  <r>
    <x v="858"/>
    <x v="10"/>
    <x v="922"/>
    <x v="8"/>
    <x v="7"/>
    <x v="3"/>
    <x v="1"/>
    <x v="254"/>
    <x v="9"/>
    <x v="0"/>
    <x v="342"/>
    <x v="185"/>
    <x v="8"/>
    <x v="268"/>
    <x v="452"/>
    <x v="204"/>
    <x v="50"/>
    <x v="5"/>
    <x v="37"/>
    <x v="917"/>
    <x v="0"/>
    <x v="8"/>
    <x v="1"/>
    <x v="26"/>
    <x v="2"/>
    <x v="4"/>
  </r>
  <r>
    <x v="203"/>
    <x v="1"/>
    <x v="319"/>
    <x v="7"/>
    <x v="3"/>
    <x v="0"/>
    <x v="1"/>
    <x v="29"/>
    <x v="9"/>
    <x v="0"/>
    <x v="279"/>
    <x v="37"/>
    <x v="8"/>
    <x v="26"/>
    <x v="740"/>
    <x v="577"/>
    <x v="147"/>
    <x v="6"/>
    <x v="56"/>
    <x v="916"/>
    <x v="0"/>
    <x v="8"/>
    <x v="1"/>
    <x v="26"/>
    <x v="0"/>
    <x v="1"/>
  </r>
  <r>
    <x v="532"/>
    <x v="4"/>
    <x v="358"/>
    <x v="8"/>
    <x v="5"/>
    <x v="0"/>
    <x v="1"/>
    <x v="223"/>
    <x v="0"/>
    <x v="0"/>
    <x v="0"/>
    <x v="0"/>
    <x v="8"/>
    <x v="180"/>
    <x v="978"/>
    <x v="77"/>
    <x v="91"/>
    <x v="3"/>
    <x v="53"/>
    <x v="915"/>
    <x v="0"/>
    <x v="8"/>
    <x v="1"/>
    <x v="26"/>
    <x v="0"/>
    <x v="1"/>
  </r>
  <r>
    <x v="613"/>
    <x v="4"/>
    <x v="271"/>
    <x v="4"/>
    <x v="2"/>
    <x v="0"/>
    <x v="1"/>
    <x v="75"/>
    <x v="9"/>
    <x v="0"/>
    <x v="337"/>
    <x v="153"/>
    <x v="8"/>
    <x v="361"/>
    <x v="148"/>
    <x v="974"/>
    <x v="488"/>
    <x v="6"/>
    <x v="56"/>
    <x v="914"/>
    <x v="0"/>
    <x v="8"/>
    <x v="1"/>
    <x v="26"/>
    <x v="0"/>
    <x v="1"/>
  </r>
  <r>
    <x v="820"/>
    <x v="8"/>
    <x v="56"/>
    <x v="4"/>
    <x v="3"/>
    <x v="0"/>
    <x v="1"/>
    <x v="133"/>
    <x v="9"/>
    <x v="0"/>
    <x v="326"/>
    <x v="159"/>
    <x v="8"/>
    <x v="358"/>
    <x v="149"/>
    <x v="975"/>
    <x v="488"/>
    <x v="6"/>
    <x v="56"/>
    <x v="913"/>
    <x v="0"/>
    <x v="8"/>
    <x v="1"/>
    <x v="26"/>
    <x v="1"/>
    <x v="1"/>
  </r>
  <r>
    <x v="124"/>
    <x v="0"/>
    <x v="737"/>
    <x v="7"/>
    <x v="4"/>
    <x v="0"/>
    <x v="1"/>
    <x v="27"/>
    <x v="9"/>
    <x v="0"/>
    <x v="99"/>
    <x v="246"/>
    <x v="8"/>
    <x v="79"/>
    <x v="650"/>
    <x v="162"/>
    <x v="171"/>
    <x v="6"/>
    <x v="56"/>
    <x v="912"/>
    <x v="0"/>
    <x v="8"/>
    <x v="1"/>
    <x v="26"/>
    <x v="0"/>
    <x v="1"/>
  </r>
  <r>
    <x v="677"/>
    <x v="5"/>
    <x v="236"/>
    <x v="8"/>
    <x v="7"/>
    <x v="2"/>
    <x v="1"/>
    <x v="351"/>
    <x v="9"/>
    <x v="0"/>
    <x v="3"/>
    <x v="192"/>
    <x v="8"/>
    <x v="72"/>
    <x v="697"/>
    <x v="128"/>
    <x v="10"/>
    <x v="3"/>
    <x v="26"/>
    <x v="911"/>
    <x v="0"/>
    <x v="8"/>
    <x v="1"/>
    <x v="26"/>
    <x v="1"/>
    <x v="3"/>
  </r>
  <r>
    <x v="739"/>
    <x v="6"/>
    <x v="736"/>
    <x v="1"/>
    <x v="3"/>
    <x v="0"/>
    <x v="1"/>
    <x v="101"/>
    <x v="9"/>
    <x v="0"/>
    <x v="393"/>
    <x v="159"/>
    <x v="8"/>
    <x v="4"/>
    <x v="3"/>
    <x v="326"/>
    <x v="436"/>
    <x v="6"/>
    <x v="2"/>
    <x v="910"/>
    <x v="0"/>
    <x v="8"/>
    <x v="1"/>
    <x v="26"/>
    <x v="1"/>
    <x v="1"/>
  </r>
  <r>
    <x v="313"/>
    <x v="1"/>
    <x v="735"/>
    <x v="1"/>
    <x v="2"/>
    <x v="0"/>
    <x v="1"/>
    <x v="14"/>
    <x v="9"/>
    <x v="0"/>
    <x v="392"/>
    <x v="71"/>
    <x v="8"/>
    <x v="7"/>
    <x v="7"/>
    <x v="327"/>
    <x v="436"/>
    <x v="6"/>
    <x v="2"/>
    <x v="909"/>
    <x v="0"/>
    <x v="8"/>
    <x v="1"/>
    <x v="26"/>
    <x v="0"/>
    <x v="1"/>
  </r>
  <r>
    <x v="546"/>
    <x v="4"/>
    <x v="604"/>
    <x v="8"/>
    <x v="6"/>
    <x v="0"/>
    <x v="1"/>
    <x v="76"/>
    <x v="9"/>
    <x v="0"/>
    <x v="47"/>
    <x v="216"/>
    <x v="8"/>
    <x v="233"/>
    <x v="232"/>
    <x v="909"/>
    <x v="359"/>
    <x v="4"/>
    <x v="54"/>
    <x v="908"/>
    <x v="0"/>
    <x v="8"/>
    <x v="1"/>
    <x v="26"/>
    <x v="0"/>
    <x v="1"/>
  </r>
  <r>
    <x v="610"/>
    <x v="4"/>
    <x v="536"/>
    <x v="6"/>
    <x v="3"/>
    <x v="0"/>
    <x v="1"/>
    <x v="69"/>
    <x v="9"/>
    <x v="0"/>
    <x v="390"/>
    <x v="204"/>
    <x v="8"/>
    <x v="55"/>
    <x v="11"/>
    <x v="328"/>
    <x v="436"/>
    <x v="6"/>
    <x v="56"/>
    <x v="907"/>
    <x v="0"/>
    <x v="8"/>
    <x v="1"/>
    <x v="26"/>
    <x v="0"/>
    <x v="1"/>
  </r>
  <r>
    <x v="780"/>
    <x v="7"/>
    <x v="460"/>
    <x v="9"/>
    <x v="7"/>
    <x v="2"/>
    <x v="1"/>
    <x v="349"/>
    <x v="9"/>
    <x v="0"/>
    <x v="121"/>
    <x v="103"/>
    <x v="8"/>
    <x v="20"/>
    <x v="709"/>
    <x v="225"/>
    <x v="307"/>
    <x v="3"/>
    <x v="17"/>
    <x v="906"/>
    <x v="0"/>
    <x v="8"/>
    <x v="1"/>
    <x v="26"/>
    <x v="1"/>
    <x v="3"/>
  </r>
  <r>
    <x v="540"/>
    <x v="4"/>
    <x v="459"/>
    <x v="5"/>
    <x v="3"/>
    <x v="0"/>
    <x v="1"/>
    <x v="73"/>
    <x v="0"/>
    <x v="0"/>
    <x v="0"/>
    <x v="0"/>
    <x v="8"/>
    <x v="131"/>
    <x v="971"/>
    <x v="75"/>
    <x v="348"/>
    <x v="6"/>
    <x v="56"/>
    <x v="905"/>
    <x v="0"/>
    <x v="8"/>
    <x v="1"/>
    <x v="26"/>
    <x v="0"/>
    <x v="1"/>
  </r>
  <r>
    <x v="537"/>
    <x v="4"/>
    <x v="459"/>
    <x v="5"/>
    <x v="3"/>
    <x v="0"/>
    <x v="1"/>
    <x v="73"/>
    <x v="9"/>
    <x v="0"/>
    <x v="120"/>
    <x v="173"/>
    <x v="8"/>
    <x v="78"/>
    <x v="972"/>
    <x v="76"/>
    <x v="348"/>
    <x v="6"/>
    <x v="56"/>
    <x v="905"/>
    <x v="0"/>
    <x v="8"/>
    <x v="1"/>
    <x v="26"/>
    <x v="0"/>
    <x v="1"/>
  </r>
  <r>
    <x v="966"/>
    <x v="17"/>
    <x v="389"/>
    <x v="0"/>
    <x v="6"/>
    <x v="0"/>
    <x v="0"/>
    <x v="228"/>
    <x v="9"/>
    <x v="0"/>
    <x v="378"/>
    <x v="237"/>
    <x v="8"/>
    <x v="87"/>
    <x v="10"/>
    <x v="322"/>
    <x v="436"/>
    <x v="6"/>
    <x v="56"/>
    <x v="904"/>
    <x v="0"/>
    <x v="8"/>
    <x v="1"/>
    <x v="26"/>
    <x v="3"/>
    <x v="1"/>
  </r>
  <r>
    <x v="867"/>
    <x v="10"/>
    <x v="388"/>
    <x v="9"/>
    <x v="5"/>
    <x v="0"/>
    <x v="1"/>
    <x v="158"/>
    <x v="9"/>
    <x v="0"/>
    <x v="375"/>
    <x v="180"/>
    <x v="8"/>
    <x v="171"/>
    <x v="12"/>
    <x v="324"/>
    <x v="436"/>
    <x v="6"/>
    <x v="56"/>
    <x v="903"/>
    <x v="0"/>
    <x v="8"/>
    <x v="1"/>
    <x v="26"/>
    <x v="2"/>
    <x v="1"/>
  </r>
  <r>
    <x v="723"/>
    <x v="6"/>
    <x v="354"/>
    <x v="9"/>
    <x v="6"/>
    <x v="0"/>
    <x v="1"/>
    <x v="147"/>
    <x v="9"/>
    <x v="0"/>
    <x v="132"/>
    <x v="115"/>
    <x v="8"/>
    <x v="186"/>
    <x v="601"/>
    <x v="582"/>
    <x v="355"/>
    <x v="6"/>
    <x v="56"/>
    <x v="902"/>
    <x v="0"/>
    <x v="8"/>
    <x v="1"/>
    <x v="26"/>
    <x v="1"/>
    <x v="1"/>
  </r>
  <r>
    <x v="969"/>
    <x v="19"/>
    <x v="936"/>
    <x v="8"/>
    <x v="5"/>
    <x v="0"/>
    <x v="1"/>
    <x v="283"/>
    <x v="9"/>
    <x v="0"/>
    <x v="86"/>
    <x v="231"/>
    <x v="8"/>
    <x v="169"/>
    <x v="974"/>
    <x v="73"/>
    <x v="348"/>
    <x v="6"/>
    <x v="56"/>
    <x v="901"/>
    <x v="0"/>
    <x v="8"/>
    <x v="1"/>
    <x v="26"/>
    <x v="3"/>
    <x v="1"/>
  </r>
  <r>
    <x v="971"/>
    <x v="19"/>
    <x v="936"/>
    <x v="8"/>
    <x v="6"/>
    <x v="3"/>
    <x v="1"/>
    <x v="287"/>
    <x v="0"/>
    <x v="0"/>
    <x v="0"/>
    <x v="0"/>
    <x v="8"/>
    <x v="136"/>
    <x v="973"/>
    <x v="74"/>
    <x v="348"/>
    <x v="6"/>
    <x v="56"/>
    <x v="901"/>
    <x v="0"/>
    <x v="8"/>
    <x v="1"/>
    <x v="26"/>
    <x v="3"/>
    <x v="4"/>
  </r>
  <r>
    <x v="343"/>
    <x v="2"/>
    <x v="768"/>
    <x v="8"/>
    <x v="4"/>
    <x v="0"/>
    <x v="1"/>
    <x v="196"/>
    <x v="9"/>
    <x v="0"/>
    <x v="388"/>
    <x v="17"/>
    <x v="8"/>
    <x v="248"/>
    <x v="665"/>
    <x v="519"/>
    <x v="151"/>
    <x v="1"/>
    <x v="38"/>
    <x v="900"/>
    <x v="0"/>
    <x v="8"/>
    <x v="1"/>
    <x v="26"/>
    <x v="0"/>
    <x v="1"/>
  </r>
  <r>
    <x v="404"/>
    <x v="2"/>
    <x v="702"/>
    <x v="6"/>
    <x v="5"/>
    <x v="0"/>
    <x v="1"/>
    <x v="135"/>
    <x v="9"/>
    <x v="0"/>
    <x v="139"/>
    <x v="227"/>
    <x v="8"/>
    <x v="20"/>
    <x v="612"/>
    <x v="176"/>
    <x v="76"/>
    <x v="6"/>
    <x v="56"/>
    <x v="899"/>
    <x v="0"/>
    <x v="8"/>
    <x v="1"/>
    <x v="26"/>
    <x v="0"/>
    <x v="1"/>
  </r>
  <r>
    <x v="152"/>
    <x v="0"/>
    <x v="667"/>
    <x v="0"/>
    <x v="3"/>
    <x v="0"/>
    <x v="1"/>
    <x v="0"/>
    <x v="9"/>
    <x v="0"/>
    <x v="386"/>
    <x v="109"/>
    <x v="8"/>
    <x v="98"/>
    <x v="72"/>
    <x v="23"/>
    <x v="193"/>
    <x v="6"/>
    <x v="56"/>
    <x v="898"/>
    <x v="0"/>
    <x v="8"/>
    <x v="1"/>
    <x v="26"/>
    <x v="0"/>
    <x v="1"/>
  </r>
  <r>
    <x v="59"/>
    <x v="0"/>
    <x v="698"/>
    <x v="5"/>
    <x v="6"/>
    <x v="0"/>
    <x v="1"/>
    <x v="2"/>
    <x v="9"/>
    <x v="0"/>
    <x v="328"/>
    <x v="193"/>
    <x v="8"/>
    <x v="20"/>
    <x v="205"/>
    <x v="31"/>
    <x v="19"/>
    <x v="6"/>
    <x v="56"/>
    <x v="897"/>
    <x v="0"/>
    <x v="8"/>
    <x v="1"/>
    <x v="26"/>
    <x v="0"/>
    <x v="1"/>
  </r>
  <r>
    <x v="819"/>
    <x v="8"/>
    <x v="697"/>
    <x v="9"/>
    <x v="8"/>
    <x v="1"/>
    <x v="0"/>
    <x v="239"/>
    <x v="9"/>
    <x v="0"/>
    <x v="333"/>
    <x v="3"/>
    <x v="8"/>
    <x v="20"/>
    <x v="805"/>
    <x v="448"/>
    <x v="438"/>
    <x v="1"/>
    <x v="36"/>
    <x v="896"/>
    <x v="0"/>
    <x v="8"/>
    <x v="1"/>
    <x v="26"/>
    <x v="1"/>
    <x v="2"/>
  </r>
  <r>
    <x v="367"/>
    <x v="2"/>
    <x v="451"/>
    <x v="8"/>
    <x v="3"/>
    <x v="0"/>
    <x v="0"/>
    <x v="37"/>
    <x v="9"/>
    <x v="0"/>
    <x v="149"/>
    <x v="175"/>
    <x v="8"/>
    <x v="22"/>
    <x v="540"/>
    <x v="439"/>
    <x v="429"/>
    <x v="6"/>
    <x v="56"/>
    <x v="895"/>
    <x v="0"/>
    <x v="8"/>
    <x v="1"/>
    <x v="26"/>
    <x v="0"/>
    <x v="1"/>
  </r>
  <r>
    <x v="423"/>
    <x v="2"/>
    <x v="382"/>
    <x v="9"/>
    <x v="2"/>
    <x v="0"/>
    <x v="0"/>
    <x v="34"/>
    <x v="9"/>
    <x v="0"/>
    <x v="395"/>
    <x v="195"/>
    <x v="8"/>
    <x v="20"/>
    <x v="197"/>
    <x v="380"/>
    <x v="263"/>
    <x v="6"/>
    <x v="56"/>
    <x v="894"/>
    <x v="0"/>
    <x v="8"/>
    <x v="1"/>
    <x v="26"/>
    <x v="0"/>
    <x v="1"/>
  </r>
  <r>
    <x v="530"/>
    <x v="4"/>
    <x v="17"/>
    <x v="7"/>
    <x v="5"/>
    <x v="0"/>
    <x v="1"/>
    <x v="189"/>
    <x v="9"/>
    <x v="0"/>
    <x v="243"/>
    <x v="172"/>
    <x v="8"/>
    <x v="157"/>
    <x v="866"/>
    <x v="681"/>
    <x v="502"/>
    <x v="1"/>
    <x v="23"/>
    <x v="893"/>
    <x v="0"/>
    <x v="8"/>
    <x v="1"/>
    <x v="26"/>
    <x v="0"/>
    <x v="1"/>
  </r>
  <r>
    <x v="47"/>
    <x v="0"/>
    <x v="821"/>
    <x v="4"/>
    <x v="3"/>
    <x v="0"/>
    <x v="0"/>
    <x v="1"/>
    <x v="9"/>
    <x v="0"/>
    <x v="361"/>
    <x v="78"/>
    <x v="8"/>
    <x v="342"/>
    <x v="138"/>
    <x v="35"/>
    <x v="141"/>
    <x v="6"/>
    <x v="56"/>
    <x v="892"/>
    <x v="0"/>
    <x v="8"/>
    <x v="1"/>
    <x v="26"/>
    <x v="0"/>
    <x v="1"/>
  </r>
  <r>
    <x v="50"/>
    <x v="0"/>
    <x v="785"/>
    <x v="6"/>
    <x v="3"/>
    <x v="0"/>
    <x v="0"/>
    <x v="2"/>
    <x v="9"/>
    <x v="0"/>
    <x v="394"/>
    <x v="71"/>
    <x v="8"/>
    <x v="346"/>
    <x v="177"/>
    <x v="44"/>
    <x v="340"/>
    <x v="6"/>
    <x v="56"/>
    <x v="891"/>
    <x v="0"/>
    <x v="8"/>
    <x v="1"/>
    <x v="26"/>
    <x v="0"/>
    <x v="1"/>
  </r>
  <r>
    <x v="651"/>
    <x v="5"/>
    <x v="661"/>
    <x v="7"/>
    <x v="6"/>
    <x v="3"/>
    <x v="1"/>
    <x v="245"/>
    <x v="9"/>
    <x v="0"/>
    <x v="223"/>
    <x v="172"/>
    <x v="8"/>
    <x v="157"/>
    <x v="872"/>
    <x v="680"/>
    <x v="164"/>
    <x v="1"/>
    <x v="23"/>
    <x v="890"/>
    <x v="0"/>
    <x v="8"/>
    <x v="1"/>
    <x v="26"/>
    <x v="1"/>
    <x v="4"/>
  </r>
  <r>
    <x v="201"/>
    <x v="1"/>
    <x v="510"/>
    <x v="5"/>
    <x v="4"/>
    <x v="0"/>
    <x v="1"/>
    <x v="16"/>
    <x v="9"/>
    <x v="0"/>
    <x v="277"/>
    <x v="62"/>
    <x v="8"/>
    <x v="33"/>
    <x v="965"/>
    <x v="871"/>
    <x v="482"/>
    <x v="6"/>
    <x v="56"/>
    <x v="889"/>
    <x v="0"/>
    <x v="8"/>
    <x v="1"/>
    <x v="26"/>
    <x v="0"/>
    <x v="1"/>
  </r>
  <r>
    <x v="151"/>
    <x v="0"/>
    <x v="109"/>
    <x v="0"/>
    <x v="3"/>
    <x v="0"/>
    <x v="0"/>
    <x v="0"/>
    <x v="9"/>
    <x v="0"/>
    <x v="398"/>
    <x v="115"/>
    <x v="6"/>
    <x v="94"/>
    <x v="90"/>
    <x v="39"/>
    <x v="192"/>
    <x v="6"/>
    <x v="56"/>
    <x v="888"/>
    <x v="0"/>
    <x v="6"/>
    <x v="1"/>
    <x v="26"/>
    <x v="0"/>
    <x v="1"/>
  </r>
  <r>
    <x v="964"/>
    <x v="17"/>
    <x v="108"/>
    <x v="9"/>
    <x v="7"/>
    <x v="0"/>
    <x v="1"/>
    <x v="236"/>
    <x v="9"/>
    <x v="0"/>
    <x v="68"/>
    <x v="87"/>
    <x v="8"/>
    <x v="119"/>
    <x v="81"/>
    <x v="33"/>
    <x v="193"/>
    <x v="6"/>
    <x v="56"/>
    <x v="887"/>
    <x v="0"/>
    <x v="8"/>
    <x v="1"/>
    <x v="26"/>
    <x v="3"/>
    <x v="1"/>
  </r>
  <r>
    <x v="839"/>
    <x v="9"/>
    <x v="107"/>
    <x v="3"/>
    <x v="6"/>
    <x v="0"/>
    <x v="1"/>
    <x v="145"/>
    <x v="9"/>
    <x v="0"/>
    <x v="36"/>
    <x v="147"/>
    <x v="8"/>
    <x v="157"/>
    <x v="82"/>
    <x v="21"/>
    <x v="193"/>
    <x v="6"/>
    <x v="56"/>
    <x v="886"/>
    <x v="0"/>
    <x v="8"/>
    <x v="1"/>
    <x v="26"/>
    <x v="1"/>
    <x v="1"/>
  </r>
  <r>
    <x v="794"/>
    <x v="8"/>
    <x v="106"/>
    <x v="7"/>
    <x v="5"/>
    <x v="0"/>
    <x v="1"/>
    <x v="194"/>
    <x v="9"/>
    <x v="0"/>
    <x v="93"/>
    <x v="109"/>
    <x v="8"/>
    <x v="20"/>
    <x v="40"/>
    <x v="990"/>
    <x v="132"/>
    <x v="6"/>
    <x v="56"/>
    <x v="885"/>
    <x v="0"/>
    <x v="8"/>
    <x v="1"/>
    <x v="26"/>
    <x v="1"/>
    <x v="1"/>
  </r>
  <r>
    <x v="727"/>
    <x v="6"/>
    <x v="407"/>
    <x v="9"/>
    <x v="7"/>
    <x v="1"/>
    <x v="1"/>
    <x v="326"/>
    <x v="9"/>
    <x v="0"/>
    <x v="269"/>
    <x v="11"/>
    <x v="8"/>
    <x v="162"/>
    <x v="853"/>
    <x v="684"/>
    <x v="291"/>
    <x v="6"/>
    <x v="56"/>
    <x v="884"/>
    <x v="0"/>
    <x v="8"/>
    <x v="1"/>
    <x v="26"/>
    <x v="1"/>
    <x v="2"/>
  </r>
  <r>
    <x v="916"/>
    <x v="12"/>
    <x v="291"/>
    <x v="9"/>
    <x v="3"/>
    <x v="0"/>
    <x v="1"/>
    <x v="188"/>
    <x v="9"/>
    <x v="0"/>
    <x v="385"/>
    <x v="37"/>
    <x v="8"/>
    <x v="20"/>
    <x v="111"/>
    <x v="966"/>
    <x v="466"/>
    <x v="6"/>
    <x v="56"/>
    <x v="883"/>
    <x v="0"/>
    <x v="8"/>
    <x v="1"/>
    <x v="26"/>
    <x v="2"/>
    <x v="1"/>
  </r>
  <r>
    <x v="611"/>
    <x v="4"/>
    <x v="751"/>
    <x v="9"/>
    <x v="4"/>
    <x v="0"/>
    <x v="1"/>
    <x v="74"/>
    <x v="9"/>
    <x v="0"/>
    <x v="157"/>
    <x v="47"/>
    <x v="8"/>
    <x v="44"/>
    <x v="0"/>
    <x v="310"/>
    <x v="437"/>
    <x v="6"/>
    <x v="2"/>
    <x v="882"/>
    <x v="0"/>
    <x v="8"/>
    <x v="1"/>
    <x v="26"/>
    <x v="0"/>
    <x v="1"/>
  </r>
  <r>
    <x v="638"/>
    <x v="5"/>
    <x v="686"/>
    <x v="7"/>
    <x v="4"/>
    <x v="0"/>
    <x v="1"/>
    <x v="118"/>
    <x v="9"/>
    <x v="0"/>
    <x v="255"/>
    <x v="37"/>
    <x v="8"/>
    <x v="222"/>
    <x v="589"/>
    <x v="598"/>
    <x v="355"/>
    <x v="6"/>
    <x v="56"/>
    <x v="881"/>
    <x v="0"/>
    <x v="8"/>
    <x v="1"/>
    <x v="26"/>
    <x v="1"/>
    <x v="1"/>
  </r>
  <r>
    <x v="371"/>
    <x v="2"/>
    <x v="324"/>
    <x v="8"/>
    <x v="7"/>
    <x v="0"/>
    <x v="0"/>
    <x v="101"/>
    <x v="9"/>
    <x v="0"/>
    <x v="204"/>
    <x v="95"/>
    <x v="8"/>
    <x v="20"/>
    <x v="934"/>
    <x v="469"/>
    <x v="479"/>
    <x v="1"/>
    <x v="27"/>
    <x v="880"/>
    <x v="0"/>
    <x v="8"/>
    <x v="1"/>
    <x v="26"/>
    <x v="0"/>
    <x v="1"/>
  </r>
  <r>
    <x v="341"/>
    <x v="2"/>
    <x v="890"/>
    <x v="5"/>
    <x v="4"/>
    <x v="0"/>
    <x v="1"/>
    <x v="101"/>
    <x v="9"/>
    <x v="0"/>
    <x v="135"/>
    <x v="71"/>
    <x v="8"/>
    <x v="20"/>
    <x v="32"/>
    <x v="216"/>
    <x v="103"/>
    <x v="6"/>
    <x v="56"/>
    <x v="879"/>
    <x v="0"/>
    <x v="8"/>
    <x v="1"/>
    <x v="25"/>
    <x v="0"/>
    <x v="1"/>
  </r>
  <r>
    <x v="626"/>
    <x v="5"/>
    <x v="974"/>
    <x v="8"/>
    <x v="6"/>
    <x v="1"/>
    <x v="0"/>
    <x v="315"/>
    <x v="9"/>
    <x v="0"/>
    <x v="153"/>
    <x v="62"/>
    <x v="8"/>
    <x v="79"/>
    <x v="859"/>
    <x v="348"/>
    <x v="300"/>
    <x v="2"/>
    <x v="15"/>
    <x v="878"/>
    <x v="0"/>
    <x v="8"/>
    <x v="1"/>
    <x v="25"/>
    <x v="1"/>
    <x v="2"/>
  </r>
  <r>
    <x v="891"/>
    <x v="11"/>
    <x v="645"/>
    <x v="9"/>
    <x v="6"/>
    <x v="3"/>
    <x v="1"/>
    <x v="272"/>
    <x v="9"/>
    <x v="0"/>
    <x v="13"/>
    <x v="173"/>
    <x v="8"/>
    <x v="112"/>
    <x v="964"/>
    <x v="71"/>
    <x v="409"/>
    <x v="3"/>
    <x v="53"/>
    <x v="877"/>
    <x v="0"/>
    <x v="8"/>
    <x v="1"/>
    <x v="25"/>
    <x v="2"/>
    <x v="4"/>
  </r>
  <r>
    <x v="601"/>
    <x v="4"/>
    <x v="606"/>
    <x v="0"/>
    <x v="2"/>
    <x v="0"/>
    <x v="1"/>
    <x v="67"/>
    <x v="9"/>
    <x v="0"/>
    <x v="396"/>
    <x v="47"/>
    <x v="8"/>
    <x v="20"/>
    <x v="551"/>
    <x v="318"/>
    <x v="85"/>
    <x v="6"/>
    <x v="56"/>
    <x v="876"/>
    <x v="0"/>
    <x v="8"/>
    <x v="1"/>
    <x v="25"/>
    <x v="0"/>
    <x v="1"/>
  </r>
  <r>
    <x v="140"/>
    <x v="0"/>
    <x v="26"/>
    <x v="6"/>
    <x v="5"/>
    <x v="0"/>
    <x v="0"/>
    <x v="18"/>
    <x v="9"/>
    <x v="0"/>
    <x v="29"/>
    <x v="208"/>
    <x v="8"/>
    <x v="49"/>
    <x v="93"/>
    <x v="258"/>
    <x v="484"/>
    <x v="6"/>
    <x v="56"/>
    <x v="875"/>
    <x v="0"/>
    <x v="8"/>
    <x v="1"/>
    <x v="25"/>
    <x v="0"/>
    <x v="1"/>
  </r>
  <r>
    <x v="513"/>
    <x v="3"/>
    <x v="25"/>
    <x v="6"/>
    <x v="6"/>
    <x v="0"/>
    <x v="1"/>
    <x v="131"/>
    <x v="9"/>
    <x v="0"/>
    <x v="22"/>
    <x v="233"/>
    <x v="8"/>
    <x v="79"/>
    <x v="92"/>
    <x v="264"/>
    <x v="484"/>
    <x v="6"/>
    <x v="9"/>
    <x v="874"/>
    <x v="0"/>
    <x v="8"/>
    <x v="1"/>
    <x v="25"/>
    <x v="0"/>
    <x v="1"/>
  </r>
  <r>
    <x v="146"/>
    <x v="0"/>
    <x v="966"/>
    <x v="4"/>
    <x v="4"/>
    <x v="0"/>
    <x v="0"/>
    <x v="1"/>
    <x v="9"/>
    <x v="0"/>
    <x v="400"/>
    <x v="153"/>
    <x v="8"/>
    <x v="20"/>
    <x v="550"/>
    <x v="315"/>
    <x v="85"/>
    <x v="6"/>
    <x v="56"/>
    <x v="873"/>
    <x v="0"/>
    <x v="8"/>
    <x v="1"/>
    <x v="25"/>
    <x v="0"/>
    <x v="1"/>
  </r>
  <r>
    <x v="557"/>
    <x v="4"/>
    <x v="706"/>
    <x v="4"/>
    <x v="2"/>
    <x v="0"/>
    <x v="0"/>
    <x v="82"/>
    <x v="9"/>
    <x v="0"/>
    <x v="214"/>
    <x v="78"/>
    <x v="8"/>
    <x v="393"/>
    <x v="361"/>
    <x v="547"/>
    <x v="186"/>
    <x v="6"/>
    <x v="20"/>
    <x v="872"/>
    <x v="0"/>
    <x v="8"/>
    <x v="1"/>
    <x v="25"/>
    <x v="0"/>
    <x v="1"/>
  </r>
  <r>
    <x v="535"/>
    <x v="4"/>
    <x v="603"/>
    <x v="4"/>
    <x v="3"/>
    <x v="0"/>
    <x v="0"/>
    <x v="70"/>
    <x v="9"/>
    <x v="0"/>
    <x v="176"/>
    <x v="115"/>
    <x v="8"/>
    <x v="103"/>
    <x v="459"/>
    <x v="476"/>
    <x v="57"/>
    <x v="6"/>
    <x v="20"/>
    <x v="871"/>
    <x v="0"/>
    <x v="8"/>
    <x v="1"/>
    <x v="25"/>
    <x v="0"/>
    <x v="1"/>
  </r>
  <r>
    <x v="447"/>
    <x v="3"/>
    <x v="602"/>
    <x v="5"/>
    <x v="3"/>
    <x v="0"/>
    <x v="0"/>
    <x v="54"/>
    <x v="9"/>
    <x v="0"/>
    <x v="185"/>
    <x v="168"/>
    <x v="8"/>
    <x v="82"/>
    <x v="456"/>
    <x v="475"/>
    <x v="57"/>
    <x v="6"/>
    <x v="20"/>
    <x v="870"/>
    <x v="0"/>
    <x v="8"/>
    <x v="1"/>
    <x v="25"/>
    <x v="0"/>
    <x v="1"/>
  </r>
  <r>
    <x v="183"/>
    <x v="1"/>
    <x v="601"/>
    <x v="9"/>
    <x v="7"/>
    <x v="3"/>
    <x v="1"/>
    <x v="107"/>
    <x v="9"/>
    <x v="0"/>
    <x v="346"/>
    <x v="30"/>
    <x v="8"/>
    <x v="20"/>
    <x v="647"/>
    <x v="551"/>
    <x v="405"/>
    <x v="6"/>
    <x v="38"/>
    <x v="869"/>
    <x v="0"/>
    <x v="8"/>
    <x v="1"/>
    <x v="25"/>
    <x v="0"/>
    <x v="4"/>
  </r>
  <r>
    <x v="932"/>
    <x v="13"/>
    <x v="733"/>
    <x v="9"/>
    <x v="6"/>
    <x v="0"/>
    <x v="1"/>
    <x v="257"/>
    <x v="9"/>
    <x v="0"/>
    <x v="52"/>
    <x v="226"/>
    <x v="8"/>
    <x v="111"/>
    <x v="969"/>
    <x v="72"/>
    <x v="348"/>
    <x v="6"/>
    <x v="56"/>
    <x v="868"/>
    <x v="0"/>
    <x v="8"/>
    <x v="1"/>
    <x v="25"/>
    <x v="2"/>
    <x v="1"/>
  </r>
  <r>
    <x v="621"/>
    <x v="5"/>
    <x v="568"/>
    <x v="6"/>
    <x v="6"/>
    <x v="0"/>
    <x v="1"/>
    <x v="129"/>
    <x v="9"/>
    <x v="0"/>
    <x v="171"/>
    <x v="62"/>
    <x v="8"/>
    <x v="218"/>
    <x v="329"/>
    <x v="742"/>
    <x v="356"/>
    <x v="6"/>
    <x v="35"/>
    <x v="867"/>
    <x v="0"/>
    <x v="8"/>
    <x v="1"/>
    <x v="25"/>
    <x v="1"/>
    <x v="1"/>
  </r>
  <r>
    <x v="298"/>
    <x v="1"/>
    <x v="178"/>
    <x v="4"/>
    <x v="1"/>
    <x v="0"/>
    <x v="0"/>
    <x v="27"/>
    <x v="9"/>
    <x v="0"/>
    <x v="148"/>
    <x v="30"/>
    <x v="8"/>
    <x v="360"/>
    <x v="405"/>
    <x v="499"/>
    <x v="52"/>
    <x v="6"/>
    <x v="20"/>
    <x v="866"/>
    <x v="0"/>
    <x v="8"/>
    <x v="1"/>
    <x v="25"/>
    <x v="0"/>
    <x v="1"/>
  </r>
  <r>
    <x v="838"/>
    <x v="9"/>
    <x v="765"/>
    <x v="8"/>
    <x v="7"/>
    <x v="1"/>
    <x v="1"/>
    <x v="312"/>
    <x v="9"/>
    <x v="0"/>
    <x v="8"/>
    <x v="147"/>
    <x v="8"/>
    <x v="72"/>
    <x v="687"/>
    <x v="137"/>
    <x v="413"/>
    <x v="3"/>
    <x v="26"/>
    <x v="865"/>
    <x v="0"/>
    <x v="8"/>
    <x v="1"/>
    <x v="25"/>
    <x v="1"/>
    <x v="2"/>
  </r>
  <r>
    <x v="840"/>
    <x v="9"/>
    <x v="597"/>
    <x v="7"/>
    <x v="6"/>
    <x v="0"/>
    <x v="1"/>
    <x v="163"/>
    <x v="9"/>
    <x v="0"/>
    <x v="312"/>
    <x v="103"/>
    <x v="8"/>
    <x v="20"/>
    <x v="53"/>
    <x v="22"/>
    <x v="464"/>
    <x v="6"/>
    <x v="56"/>
    <x v="864"/>
    <x v="0"/>
    <x v="8"/>
    <x v="1"/>
    <x v="25"/>
    <x v="1"/>
    <x v="1"/>
  </r>
  <r>
    <x v="185"/>
    <x v="1"/>
    <x v="422"/>
    <x v="5"/>
    <x v="3"/>
    <x v="0"/>
    <x v="1"/>
    <x v="69"/>
    <x v="9"/>
    <x v="0"/>
    <x v="200"/>
    <x v="62"/>
    <x v="8"/>
    <x v="296"/>
    <x v="772"/>
    <x v="605"/>
    <x v="294"/>
    <x v="6"/>
    <x v="56"/>
    <x v="863"/>
    <x v="0"/>
    <x v="8"/>
    <x v="1"/>
    <x v="25"/>
    <x v="0"/>
    <x v="1"/>
  </r>
  <r>
    <x v="484"/>
    <x v="3"/>
    <x v="90"/>
    <x v="6"/>
    <x v="5"/>
    <x v="0"/>
    <x v="1"/>
    <x v="140"/>
    <x v="9"/>
    <x v="0"/>
    <x v="117"/>
    <x v="87"/>
    <x v="8"/>
    <x v="251"/>
    <x v="110"/>
    <x v="292"/>
    <x v="404"/>
    <x v="5"/>
    <x v="9"/>
    <x v="862"/>
    <x v="0"/>
    <x v="8"/>
    <x v="1"/>
    <x v="25"/>
    <x v="0"/>
    <x v="1"/>
  </r>
  <r>
    <x v="153"/>
    <x v="0"/>
    <x v="478"/>
    <x v="7"/>
    <x v="7"/>
    <x v="0"/>
    <x v="0"/>
    <x v="293"/>
    <x v="6"/>
    <x v="4"/>
    <x v="27"/>
    <x v="220"/>
    <x v="3"/>
    <x v="0"/>
    <x v="864"/>
    <x v="103"/>
    <x v="280"/>
    <x v="3"/>
    <x v="53"/>
    <x v="861"/>
    <x v="0"/>
    <x v="3"/>
    <x v="1"/>
    <x v="25"/>
    <x v="0"/>
    <x v="1"/>
  </r>
  <r>
    <x v="202"/>
    <x v="1"/>
    <x v="381"/>
    <x v="4"/>
    <x v="5"/>
    <x v="0"/>
    <x v="1"/>
    <x v="15"/>
    <x v="9"/>
    <x v="0"/>
    <x v="285"/>
    <x v="17"/>
    <x v="8"/>
    <x v="245"/>
    <x v="263"/>
    <x v="901"/>
    <x v="226"/>
    <x v="6"/>
    <x v="56"/>
    <x v="860"/>
    <x v="0"/>
    <x v="8"/>
    <x v="1"/>
    <x v="25"/>
    <x v="0"/>
    <x v="1"/>
  </r>
  <r>
    <x v="525"/>
    <x v="3"/>
    <x v="173"/>
    <x v="4"/>
    <x v="5"/>
    <x v="0"/>
    <x v="0"/>
    <x v="73"/>
    <x v="9"/>
    <x v="0"/>
    <x v="193"/>
    <x v="47"/>
    <x v="8"/>
    <x v="236"/>
    <x v="358"/>
    <x v="616"/>
    <x v="45"/>
    <x v="6"/>
    <x v="20"/>
    <x v="859"/>
    <x v="0"/>
    <x v="8"/>
    <x v="1"/>
    <x v="25"/>
    <x v="0"/>
    <x v="1"/>
  </r>
  <r>
    <x v="137"/>
    <x v="0"/>
    <x v="45"/>
    <x v="7"/>
    <x v="5"/>
    <x v="0"/>
    <x v="0"/>
    <x v="22"/>
    <x v="9"/>
    <x v="0"/>
    <x v="133"/>
    <x v="71"/>
    <x v="8"/>
    <x v="20"/>
    <x v="802"/>
    <x v="347"/>
    <x v="296"/>
    <x v="6"/>
    <x v="56"/>
    <x v="858"/>
    <x v="0"/>
    <x v="8"/>
    <x v="1"/>
    <x v="25"/>
    <x v="0"/>
    <x v="1"/>
  </r>
  <r>
    <x v="159"/>
    <x v="0"/>
    <x v="978"/>
    <x v="8"/>
    <x v="7"/>
    <x v="0"/>
    <x v="0"/>
    <x v="303"/>
    <x v="9"/>
    <x v="0"/>
    <x v="88"/>
    <x v="153"/>
    <x v="8"/>
    <x v="27"/>
    <x v="912"/>
    <x v="107"/>
    <x v="439"/>
    <x v="3"/>
    <x v="53"/>
    <x v="857"/>
    <x v="0"/>
    <x v="8"/>
    <x v="1"/>
    <x v="25"/>
    <x v="0"/>
    <x v="1"/>
  </r>
  <r>
    <x v="851"/>
    <x v="10"/>
    <x v="818"/>
    <x v="6"/>
    <x v="4"/>
    <x v="0"/>
    <x v="1"/>
    <x v="167"/>
    <x v="9"/>
    <x v="0"/>
    <x v="315"/>
    <x v="17"/>
    <x v="8"/>
    <x v="191"/>
    <x v="921"/>
    <x v="837"/>
    <x v="423"/>
    <x v="6"/>
    <x v="56"/>
    <x v="856"/>
    <x v="0"/>
    <x v="8"/>
    <x v="1"/>
    <x v="25"/>
    <x v="2"/>
    <x v="1"/>
  </r>
  <r>
    <x v="672"/>
    <x v="5"/>
    <x v="406"/>
    <x v="5"/>
    <x v="5"/>
    <x v="3"/>
    <x v="1"/>
    <x v="96"/>
    <x v="9"/>
    <x v="0"/>
    <x v="327"/>
    <x v="115"/>
    <x v="8"/>
    <x v="281"/>
    <x v="915"/>
    <x v="750"/>
    <x v="212"/>
    <x v="1"/>
    <x v="39"/>
    <x v="855"/>
    <x v="0"/>
    <x v="8"/>
    <x v="1"/>
    <x v="25"/>
    <x v="1"/>
    <x v="4"/>
  </r>
  <r>
    <x v="896"/>
    <x v="12"/>
    <x v="894"/>
    <x v="9"/>
    <x v="5"/>
    <x v="3"/>
    <x v="1"/>
    <x v="338"/>
    <x v="9"/>
    <x v="0"/>
    <x v="170"/>
    <x v="123"/>
    <x v="8"/>
    <x v="43"/>
    <x v="722"/>
    <x v="190"/>
    <x v="240"/>
    <x v="6"/>
    <x v="56"/>
    <x v="854"/>
    <x v="0"/>
    <x v="8"/>
    <x v="1"/>
    <x v="25"/>
    <x v="2"/>
    <x v="4"/>
  </r>
  <r>
    <x v="335"/>
    <x v="2"/>
    <x v="777"/>
    <x v="8"/>
    <x v="8"/>
    <x v="1"/>
    <x v="0"/>
    <x v="285"/>
    <x v="9"/>
    <x v="0"/>
    <x v="85"/>
    <x v="208"/>
    <x v="8"/>
    <x v="20"/>
    <x v="870"/>
    <x v="362"/>
    <x v="112"/>
    <x v="1"/>
    <x v="49"/>
    <x v="853"/>
    <x v="0"/>
    <x v="8"/>
    <x v="1"/>
    <x v="25"/>
    <x v="0"/>
    <x v="2"/>
  </r>
  <r>
    <x v="500"/>
    <x v="3"/>
    <x v="502"/>
    <x v="9"/>
    <x v="6"/>
    <x v="3"/>
    <x v="1"/>
    <x v="132"/>
    <x v="9"/>
    <x v="0"/>
    <x v="45"/>
    <x v="183"/>
    <x v="8"/>
    <x v="59"/>
    <x v="604"/>
    <x v="561"/>
    <x v="250"/>
    <x v="6"/>
    <x v="38"/>
    <x v="852"/>
    <x v="0"/>
    <x v="8"/>
    <x v="1"/>
    <x v="24"/>
    <x v="0"/>
    <x v="4"/>
  </r>
  <r>
    <x v="692"/>
    <x v="6"/>
    <x v="471"/>
    <x v="6"/>
    <x v="5"/>
    <x v="0"/>
    <x v="1"/>
    <x v="116"/>
    <x v="9"/>
    <x v="0"/>
    <x v="131"/>
    <x v="11"/>
    <x v="8"/>
    <x v="130"/>
    <x v="558"/>
    <x v="575"/>
    <x v="63"/>
    <x v="6"/>
    <x v="20"/>
    <x v="851"/>
    <x v="0"/>
    <x v="8"/>
    <x v="1"/>
    <x v="24"/>
    <x v="1"/>
    <x v="1"/>
  </r>
  <r>
    <x v="36"/>
    <x v="0"/>
    <x v="248"/>
    <x v="0"/>
    <x v="1"/>
    <x v="0"/>
    <x v="0"/>
    <x v="0"/>
    <x v="9"/>
    <x v="0"/>
    <x v="336"/>
    <x v="115"/>
    <x v="8"/>
    <x v="370"/>
    <x v="135"/>
    <x v="1"/>
    <x v="295"/>
    <x v="6"/>
    <x v="56"/>
    <x v="850"/>
    <x v="0"/>
    <x v="8"/>
    <x v="1"/>
    <x v="24"/>
    <x v="0"/>
    <x v="1"/>
  </r>
  <r>
    <x v="189"/>
    <x v="1"/>
    <x v="127"/>
    <x v="4"/>
    <x v="3"/>
    <x v="0"/>
    <x v="1"/>
    <x v="17"/>
    <x v="9"/>
    <x v="0"/>
    <x v="344"/>
    <x v="204"/>
    <x v="8"/>
    <x v="20"/>
    <x v="180"/>
    <x v="47"/>
    <x v="297"/>
    <x v="6"/>
    <x v="56"/>
    <x v="849"/>
    <x v="0"/>
    <x v="8"/>
    <x v="1"/>
    <x v="24"/>
    <x v="0"/>
    <x v="1"/>
  </r>
  <r>
    <x v="62"/>
    <x v="0"/>
    <x v="989"/>
    <x v="9"/>
    <x v="6"/>
    <x v="0"/>
    <x v="1"/>
    <x v="68"/>
    <x v="9"/>
    <x v="0"/>
    <x v="34"/>
    <x v="71"/>
    <x v="8"/>
    <x v="20"/>
    <x v="608"/>
    <x v="562"/>
    <x v="200"/>
    <x v="6"/>
    <x v="38"/>
    <x v="848"/>
    <x v="0"/>
    <x v="8"/>
    <x v="1"/>
    <x v="24"/>
    <x v="0"/>
    <x v="1"/>
  </r>
  <r>
    <x v="163"/>
    <x v="1"/>
    <x v="945"/>
    <x v="9"/>
    <x v="6"/>
    <x v="3"/>
    <x v="1"/>
    <x v="104"/>
    <x v="9"/>
    <x v="0"/>
    <x v="56"/>
    <x v="109"/>
    <x v="8"/>
    <x v="44"/>
    <x v="605"/>
    <x v="557"/>
    <x v="98"/>
    <x v="6"/>
    <x v="38"/>
    <x v="847"/>
    <x v="0"/>
    <x v="8"/>
    <x v="1"/>
    <x v="24"/>
    <x v="0"/>
    <x v="4"/>
  </r>
  <r>
    <x v="403"/>
    <x v="2"/>
    <x v="943"/>
    <x v="7"/>
    <x v="5"/>
    <x v="0"/>
    <x v="1"/>
    <x v="146"/>
    <x v="9"/>
    <x v="0"/>
    <x v="130"/>
    <x v="244"/>
    <x v="8"/>
    <x v="22"/>
    <x v="46"/>
    <x v="231"/>
    <x v="99"/>
    <x v="6"/>
    <x v="56"/>
    <x v="846"/>
    <x v="0"/>
    <x v="8"/>
    <x v="1"/>
    <x v="24"/>
    <x v="0"/>
    <x v="1"/>
  </r>
  <r>
    <x v="18"/>
    <x v="0"/>
    <x v="828"/>
    <x v="7"/>
    <x v="6"/>
    <x v="3"/>
    <x v="1"/>
    <x v="6"/>
    <x v="9"/>
    <x v="0"/>
    <x v="306"/>
    <x v="37"/>
    <x v="8"/>
    <x v="29"/>
    <x v="485"/>
    <x v="606"/>
    <x v="178"/>
    <x v="6"/>
    <x v="20"/>
    <x v="845"/>
    <x v="0"/>
    <x v="8"/>
    <x v="1"/>
    <x v="24"/>
    <x v="0"/>
    <x v="4"/>
  </r>
  <r>
    <x v="241"/>
    <x v="1"/>
    <x v="24"/>
    <x v="2"/>
    <x v="2"/>
    <x v="4"/>
    <x v="1"/>
    <x v="15"/>
    <x v="9"/>
    <x v="0"/>
    <x v="316"/>
    <x v="71"/>
    <x v="8"/>
    <x v="375"/>
    <x v="156"/>
    <x v="9"/>
    <x v="295"/>
    <x v="6"/>
    <x v="14"/>
    <x v="844"/>
    <x v="0"/>
    <x v="8"/>
    <x v="1"/>
    <x v="24"/>
    <x v="0"/>
    <x v="0"/>
  </r>
  <r>
    <x v="187"/>
    <x v="1"/>
    <x v="884"/>
    <x v="0"/>
    <x v="3"/>
    <x v="0"/>
    <x v="1"/>
    <x v="14"/>
    <x v="9"/>
    <x v="0"/>
    <x v="399"/>
    <x v="71"/>
    <x v="8"/>
    <x v="49"/>
    <x v="6"/>
    <x v="319"/>
    <x v="71"/>
    <x v="6"/>
    <x v="52"/>
    <x v="843"/>
    <x v="0"/>
    <x v="8"/>
    <x v="1"/>
    <x v="24"/>
    <x v="0"/>
    <x v="1"/>
  </r>
  <r>
    <x v="544"/>
    <x v="4"/>
    <x v="50"/>
    <x v="4"/>
    <x v="5"/>
    <x v="0"/>
    <x v="0"/>
    <x v="165"/>
    <x v="9"/>
    <x v="0"/>
    <x v="258"/>
    <x v="103"/>
    <x v="8"/>
    <x v="175"/>
    <x v="343"/>
    <x v="490"/>
    <x v="221"/>
    <x v="6"/>
    <x v="56"/>
    <x v="842"/>
    <x v="0"/>
    <x v="8"/>
    <x v="1"/>
    <x v="24"/>
    <x v="0"/>
    <x v="1"/>
  </r>
  <r>
    <x v="518"/>
    <x v="3"/>
    <x v="20"/>
    <x v="6"/>
    <x v="5"/>
    <x v="0"/>
    <x v="1"/>
    <x v="202"/>
    <x v="9"/>
    <x v="0"/>
    <x v="79"/>
    <x v="172"/>
    <x v="8"/>
    <x v="98"/>
    <x v="52"/>
    <x v="237"/>
    <x v="396"/>
    <x v="6"/>
    <x v="56"/>
    <x v="841"/>
    <x v="0"/>
    <x v="8"/>
    <x v="1"/>
    <x v="24"/>
    <x v="0"/>
    <x v="1"/>
  </r>
  <r>
    <x v="272"/>
    <x v="1"/>
    <x v="982"/>
    <x v="0"/>
    <x v="3"/>
    <x v="0"/>
    <x v="1"/>
    <x v="14"/>
    <x v="9"/>
    <x v="0"/>
    <x v="363"/>
    <x v="147"/>
    <x v="8"/>
    <x v="310"/>
    <x v="208"/>
    <x v="933"/>
    <x v="224"/>
    <x v="6"/>
    <x v="54"/>
    <x v="840"/>
    <x v="0"/>
    <x v="8"/>
    <x v="1"/>
    <x v="24"/>
    <x v="0"/>
    <x v="1"/>
  </r>
  <r>
    <x v="775"/>
    <x v="7"/>
    <x v="455"/>
    <x v="7"/>
    <x v="6"/>
    <x v="0"/>
    <x v="1"/>
    <x v="124"/>
    <x v="9"/>
    <x v="0"/>
    <x v="150"/>
    <x v="180"/>
    <x v="8"/>
    <x v="64"/>
    <x v="532"/>
    <x v="603"/>
    <x v="223"/>
    <x v="6"/>
    <x v="20"/>
    <x v="839"/>
    <x v="0"/>
    <x v="8"/>
    <x v="1"/>
    <x v="24"/>
    <x v="1"/>
    <x v="1"/>
  </r>
  <r>
    <x v="211"/>
    <x v="1"/>
    <x v="454"/>
    <x v="5"/>
    <x v="4"/>
    <x v="0"/>
    <x v="0"/>
    <x v="111"/>
    <x v="9"/>
    <x v="0"/>
    <x v="265"/>
    <x v="159"/>
    <x v="8"/>
    <x v="20"/>
    <x v="186"/>
    <x v="513"/>
    <x v="72"/>
    <x v="6"/>
    <x v="56"/>
    <x v="838"/>
    <x v="0"/>
    <x v="8"/>
    <x v="1"/>
    <x v="24"/>
    <x v="0"/>
    <x v="1"/>
  </r>
  <r>
    <x v="539"/>
    <x v="4"/>
    <x v="208"/>
    <x v="7"/>
    <x v="4"/>
    <x v="0"/>
    <x v="0"/>
    <x v="81"/>
    <x v="9"/>
    <x v="0"/>
    <x v="126"/>
    <x v="87"/>
    <x v="8"/>
    <x v="136"/>
    <x v="545"/>
    <x v="569"/>
    <x v="208"/>
    <x v="6"/>
    <x v="20"/>
    <x v="837"/>
    <x v="0"/>
    <x v="8"/>
    <x v="1"/>
    <x v="24"/>
    <x v="0"/>
    <x v="1"/>
  </r>
  <r>
    <x v="700"/>
    <x v="6"/>
    <x v="177"/>
    <x v="9"/>
    <x v="8"/>
    <x v="3"/>
    <x v="0"/>
    <x v="330"/>
    <x v="2"/>
    <x v="19"/>
    <x v="1"/>
    <x v="192"/>
    <x v="5"/>
    <x v="9"/>
    <x v="816"/>
    <x v="104"/>
    <x v="421"/>
    <x v="3"/>
    <x v="53"/>
    <x v="836"/>
    <x v="0"/>
    <x v="5"/>
    <x v="1"/>
    <x v="24"/>
    <x v="1"/>
    <x v="4"/>
  </r>
  <r>
    <x v="803"/>
    <x v="8"/>
    <x v="792"/>
    <x v="4"/>
    <x v="5"/>
    <x v="0"/>
    <x v="1"/>
    <x v="205"/>
    <x v="9"/>
    <x v="0"/>
    <x v="244"/>
    <x v="47"/>
    <x v="8"/>
    <x v="330"/>
    <x v="375"/>
    <x v="613"/>
    <x v="418"/>
    <x v="6"/>
    <x v="20"/>
    <x v="835"/>
    <x v="0"/>
    <x v="8"/>
    <x v="1"/>
    <x v="24"/>
    <x v="1"/>
    <x v="1"/>
  </r>
  <r>
    <x v="786"/>
    <x v="8"/>
    <x v="483"/>
    <x v="8"/>
    <x v="5"/>
    <x v="0"/>
    <x v="1"/>
    <x v="135"/>
    <x v="9"/>
    <x v="0"/>
    <x v="141"/>
    <x v="11"/>
    <x v="8"/>
    <x v="168"/>
    <x v="69"/>
    <x v="16"/>
    <x v="215"/>
    <x v="6"/>
    <x v="56"/>
    <x v="834"/>
    <x v="0"/>
    <x v="8"/>
    <x v="1"/>
    <x v="24"/>
    <x v="1"/>
    <x v="1"/>
  </r>
  <r>
    <x v="238"/>
    <x v="1"/>
    <x v="962"/>
    <x v="7"/>
    <x v="5"/>
    <x v="3"/>
    <x v="1"/>
    <x v="168"/>
    <x v="9"/>
    <x v="0"/>
    <x v="125"/>
    <x v="95"/>
    <x v="8"/>
    <x v="192"/>
    <x v="659"/>
    <x v="153"/>
    <x v="217"/>
    <x v="6"/>
    <x v="56"/>
    <x v="833"/>
    <x v="0"/>
    <x v="8"/>
    <x v="1"/>
    <x v="24"/>
    <x v="0"/>
    <x v="4"/>
  </r>
  <r>
    <x v="959"/>
    <x v="15"/>
    <x v="853"/>
    <x v="9"/>
    <x v="7"/>
    <x v="1"/>
    <x v="1"/>
    <x v="340"/>
    <x v="9"/>
    <x v="0"/>
    <x v="276"/>
    <x v="55"/>
    <x v="8"/>
    <x v="262"/>
    <x v="397"/>
    <x v="214"/>
    <x v="293"/>
    <x v="5"/>
    <x v="37"/>
    <x v="832"/>
    <x v="0"/>
    <x v="8"/>
    <x v="1"/>
    <x v="24"/>
    <x v="3"/>
    <x v="2"/>
  </r>
  <r>
    <x v="881"/>
    <x v="11"/>
    <x v="450"/>
    <x v="7"/>
    <x v="6"/>
    <x v="0"/>
    <x v="1"/>
    <x v="192"/>
    <x v="9"/>
    <x v="0"/>
    <x v="38"/>
    <x v="47"/>
    <x v="8"/>
    <x v="20"/>
    <x v="465"/>
    <x v="786"/>
    <x v="290"/>
    <x v="6"/>
    <x v="35"/>
    <x v="831"/>
    <x v="0"/>
    <x v="8"/>
    <x v="1"/>
    <x v="24"/>
    <x v="2"/>
    <x v="1"/>
  </r>
  <r>
    <x v="715"/>
    <x v="6"/>
    <x v="172"/>
    <x v="7"/>
    <x v="5"/>
    <x v="3"/>
    <x v="1"/>
    <x v="133"/>
    <x v="9"/>
    <x v="0"/>
    <x v="236"/>
    <x v="47"/>
    <x v="8"/>
    <x v="284"/>
    <x v="350"/>
    <x v="734"/>
    <x v="74"/>
    <x v="6"/>
    <x v="35"/>
    <x v="830"/>
    <x v="0"/>
    <x v="8"/>
    <x v="1"/>
    <x v="24"/>
    <x v="1"/>
    <x v="4"/>
  </r>
  <r>
    <x v="522"/>
    <x v="3"/>
    <x v="376"/>
    <x v="5"/>
    <x v="5"/>
    <x v="0"/>
    <x v="1"/>
    <x v="55"/>
    <x v="9"/>
    <x v="0"/>
    <x v="77"/>
    <x v="137"/>
    <x v="8"/>
    <x v="47"/>
    <x v="512"/>
    <x v="536"/>
    <x v="244"/>
    <x v="6"/>
    <x v="20"/>
    <x v="829"/>
    <x v="0"/>
    <x v="8"/>
    <x v="1"/>
    <x v="24"/>
    <x v="0"/>
    <x v="1"/>
  </r>
  <r>
    <x v="130"/>
    <x v="0"/>
    <x v="260"/>
    <x v="0"/>
    <x v="4"/>
    <x v="0"/>
    <x v="1"/>
    <x v="0"/>
    <x v="9"/>
    <x v="0"/>
    <x v="382"/>
    <x v="62"/>
    <x v="8"/>
    <x v="141"/>
    <x v="8"/>
    <x v="323"/>
    <x v="71"/>
    <x v="6"/>
    <x v="56"/>
    <x v="828"/>
    <x v="0"/>
    <x v="8"/>
    <x v="1"/>
    <x v="24"/>
    <x v="0"/>
    <x v="1"/>
  </r>
  <r>
    <x v="639"/>
    <x v="5"/>
    <x v="7"/>
    <x v="7"/>
    <x v="3"/>
    <x v="0"/>
    <x v="1"/>
    <x v="159"/>
    <x v="9"/>
    <x v="0"/>
    <x v="235"/>
    <x v="189"/>
    <x v="8"/>
    <x v="343"/>
    <x v="235"/>
    <x v="287"/>
    <x v="34"/>
    <x v="5"/>
    <x v="37"/>
    <x v="827"/>
    <x v="0"/>
    <x v="8"/>
    <x v="1"/>
    <x v="24"/>
    <x v="1"/>
    <x v="1"/>
  </r>
  <r>
    <x v="842"/>
    <x v="10"/>
    <x v="720"/>
    <x v="7"/>
    <x v="6"/>
    <x v="3"/>
    <x v="1"/>
    <x v="265"/>
    <x v="9"/>
    <x v="0"/>
    <x v="205"/>
    <x v="37"/>
    <x v="8"/>
    <x v="283"/>
    <x v="505"/>
    <x v="202"/>
    <x v="336"/>
    <x v="5"/>
    <x v="12"/>
    <x v="826"/>
    <x v="0"/>
    <x v="8"/>
    <x v="1"/>
    <x v="24"/>
    <x v="2"/>
    <x v="4"/>
  </r>
  <r>
    <x v="389"/>
    <x v="2"/>
    <x v="5"/>
    <x v="6"/>
    <x v="5"/>
    <x v="3"/>
    <x v="1"/>
    <x v="181"/>
    <x v="9"/>
    <x v="0"/>
    <x v="21"/>
    <x v="192"/>
    <x v="8"/>
    <x v="210"/>
    <x v="679"/>
    <x v="144"/>
    <x v="369"/>
    <x v="6"/>
    <x v="26"/>
    <x v="825"/>
    <x v="0"/>
    <x v="8"/>
    <x v="1"/>
    <x v="24"/>
    <x v="0"/>
    <x v="4"/>
  </r>
  <r>
    <x v="425"/>
    <x v="2"/>
    <x v="718"/>
    <x v="0"/>
    <x v="2"/>
    <x v="0"/>
    <x v="0"/>
    <x v="31"/>
    <x v="9"/>
    <x v="0"/>
    <x v="381"/>
    <x v="55"/>
    <x v="8"/>
    <x v="32"/>
    <x v="26"/>
    <x v="363"/>
    <x v="364"/>
    <x v="6"/>
    <x v="56"/>
    <x v="824"/>
    <x v="0"/>
    <x v="8"/>
    <x v="1"/>
    <x v="24"/>
    <x v="0"/>
    <x v="1"/>
  </r>
  <r>
    <x v="314"/>
    <x v="2"/>
    <x v="653"/>
    <x v="8"/>
    <x v="7"/>
    <x v="1"/>
    <x v="1"/>
    <x v="325"/>
    <x v="9"/>
    <x v="0"/>
    <x v="9"/>
    <x v="95"/>
    <x v="8"/>
    <x v="205"/>
    <x v="76"/>
    <x v="259"/>
    <x v="102"/>
    <x v="5"/>
    <x v="9"/>
    <x v="823"/>
    <x v="0"/>
    <x v="8"/>
    <x v="1"/>
    <x v="24"/>
    <x v="0"/>
    <x v="2"/>
  </r>
  <r>
    <x v="296"/>
    <x v="1"/>
    <x v="475"/>
    <x v="5"/>
    <x v="3"/>
    <x v="0"/>
    <x v="1"/>
    <x v="15"/>
    <x v="9"/>
    <x v="0"/>
    <x v="383"/>
    <x v="62"/>
    <x v="8"/>
    <x v="136"/>
    <x v="254"/>
    <x v="905"/>
    <x v="433"/>
    <x v="6"/>
    <x v="54"/>
    <x v="822"/>
    <x v="0"/>
    <x v="8"/>
    <x v="1"/>
    <x v="24"/>
    <x v="0"/>
    <x v="1"/>
  </r>
  <r>
    <x v="306"/>
    <x v="1"/>
    <x v="158"/>
    <x v="2"/>
    <x v="3"/>
    <x v="0"/>
    <x v="1"/>
    <x v="16"/>
    <x v="9"/>
    <x v="0"/>
    <x v="159"/>
    <x v="162"/>
    <x v="8"/>
    <x v="159"/>
    <x v="568"/>
    <x v="583"/>
    <x v="279"/>
    <x v="6"/>
    <x v="20"/>
    <x v="821"/>
    <x v="0"/>
    <x v="8"/>
    <x v="1"/>
    <x v="24"/>
    <x v="0"/>
    <x v="1"/>
  </r>
  <r>
    <x v="516"/>
    <x v="3"/>
    <x v="131"/>
    <x v="3"/>
    <x v="2"/>
    <x v="0"/>
    <x v="0"/>
    <x v="53"/>
    <x v="9"/>
    <x v="0"/>
    <x v="123"/>
    <x v="47"/>
    <x v="8"/>
    <x v="367"/>
    <x v="327"/>
    <x v="252"/>
    <x v="451"/>
    <x v="5"/>
    <x v="7"/>
    <x v="820"/>
    <x v="0"/>
    <x v="8"/>
    <x v="1"/>
    <x v="24"/>
    <x v="0"/>
    <x v="1"/>
  </r>
  <r>
    <x v="674"/>
    <x v="5"/>
    <x v="949"/>
    <x v="5"/>
    <x v="4"/>
    <x v="0"/>
    <x v="1"/>
    <x v="119"/>
    <x v="9"/>
    <x v="0"/>
    <x v="178"/>
    <x v="87"/>
    <x v="8"/>
    <x v="197"/>
    <x v="597"/>
    <x v="588"/>
    <x v="355"/>
    <x v="6"/>
    <x v="56"/>
    <x v="819"/>
    <x v="0"/>
    <x v="8"/>
    <x v="1"/>
    <x v="23"/>
    <x v="1"/>
    <x v="1"/>
  </r>
  <r>
    <x v="795"/>
    <x v="8"/>
    <x v="682"/>
    <x v="3"/>
    <x v="6"/>
    <x v="0"/>
    <x v="1"/>
    <x v="130"/>
    <x v="9"/>
    <x v="0"/>
    <x v="317"/>
    <x v="103"/>
    <x v="8"/>
    <x v="53"/>
    <x v="968"/>
    <x v="876"/>
    <x v="482"/>
    <x v="6"/>
    <x v="56"/>
    <x v="818"/>
    <x v="0"/>
    <x v="8"/>
    <x v="1"/>
    <x v="23"/>
    <x v="1"/>
    <x v="1"/>
  </r>
  <r>
    <x v="739"/>
    <x v="6"/>
    <x v="368"/>
    <x v="0"/>
    <x v="4"/>
    <x v="0"/>
    <x v="1"/>
    <x v="101"/>
    <x v="9"/>
    <x v="0"/>
    <x v="373"/>
    <x v="78"/>
    <x v="8"/>
    <x v="273"/>
    <x v="9"/>
    <x v="320"/>
    <x v="436"/>
    <x v="6"/>
    <x v="43"/>
    <x v="817"/>
    <x v="0"/>
    <x v="8"/>
    <x v="1"/>
    <x v="23"/>
    <x v="1"/>
    <x v="1"/>
  </r>
  <r>
    <x v="207"/>
    <x v="1"/>
    <x v="157"/>
    <x v="0"/>
    <x v="3"/>
    <x v="0"/>
    <x v="1"/>
    <x v="14"/>
    <x v="9"/>
    <x v="0"/>
    <x v="246"/>
    <x v="153"/>
    <x v="8"/>
    <x v="20"/>
    <x v="130"/>
    <x v="955"/>
    <x v="448"/>
    <x v="6"/>
    <x v="56"/>
    <x v="816"/>
    <x v="0"/>
    <x v="8"/>
    <x v="1"/>
    <x v="23"/>
    <x v="0"/>
    <x v="1"/>
  </r>
  <r>
    <x v="848"/>
    <x v="10"/>
    <x v="156"/>
    <x v="3"/>
    <x v="5"/>
    <x v="0"/>
    <x v="1"/>
    <x v="161"/>
    <x v="9"/>
    <x v="0"/>
    <x v="224"/>
    <x v="62"/>
    <x v="8"/>
    <x v="20"/>
    <x v="134"/>
    <x v="952"/>
    <x v="448"/>
    <x v="6"/>
    <x v="56"/>
    <x v="815"/>
    <x v="0"/>
    <x v="8"/>
    <x v="1"/>
    <x v="23"/>
    <x v="2"/>
    <x v="1"/>
  </r>
  <r>
    <x v="685"/>
    <x v="6"/>
    <x v="976"/>
    <x v="8"/>
    <x v="7"/>
    <x v="1"/>
    <x v="1"/>
    <x v="336"/>
    <x v="0"/>
    <x v="0"/>
    <x v="0"/>
    <x v="0"/>
    <x v="5"/>
    <x v="170"/>
    <x v="989"/>
    <x v="86"/>
    <x v="353"/>
    <x v="3"/>
    <x v="53"/>
    <x v="814"/>
    <x v="0"/>
    <x v="5"/>
    <x v="1"/>
    <x v="23"/>
    <x v="1"/>
    <x v="2"/>
  </r>
  <r>
    <x v="458"/>
    <x v="3"/>
    <x v="615"/>
    <x v="0"/>
    <x v="2"/>
    <x v="0"/>
    <x v="1"/>
    <x v="49"/>
    <x v="9"/>
    <x v="0"/>
    <x v="260"/>
    <x v="183"/>
    <x v="8"/>
    <x v="362"/>
    <x v="188"/>
    <x v="5"/>
    <x v="232"/>
    <x v="6"/>
    <x v="14"/>
    <x v="813"/>
    <x v="0"/>
    <x v="8"/>
    <x v="1"/>
    <x v="23"/>
    <x v="0"/>
    <x v="1"/>
  </r>
  <r>
    <x v="328"/>
    <x v="2"/>
    <x v="276"/>
    <x v="3"/>
    <x v="3"/>
    <x v="0"/>
    <x v="1"/>
    <x v="33"/>
    <x v="9"/>
    <x v="0"/>
    <x v="384"/>
    <x v="71"/>
    <x v="8"/>
    <x v="20"/>
    <x v="995"/>
    <x v="331"/>
    <x v="325"/>
    <x v="6"/>
    <x v="56"/>
    <x v="812"/>
    <x v="0"/>
    <x v="8"/>
    <x v="1"/>
    <x v="23"/>
    <x v="0"/>
    <x v="1"/>
  </r>
  <r>
    <x v="475"/>
    <x v="3"/>
    <x v="832"/>
    <x v="8"/>
    <x v="6"/>
    <x v="3"/>
    <x v="0"/>
    <x v="206"/>
    <x v="9"/>
    <x v="0"/>
    <x v="215"/>
    <x v="37"/>
    <x v="8"/>
    <x v="37"/>
    <x v="847"/>
    <x v="335"/>
    <x v="236"/>
    <x v="2"/>
    <x v="56"/>
    <x v="811"/>
    <x v="0"/>
    <x v="8"/>
    <x v="1"/>
    <x v="23"/>
    <x v="0"/>
    <x v="4"/>
  </r>
  <r>
    <x v="54"/>
    <x v="0"/>
    <x v="741"/>
    <x v="2"/>
    <x v="3"/>
    <x v="0"/>
    <x v="0"/>
    <x v="5"/>
    <x v="9"/>
    <x v="0"/>
    <x v="173"/>
    <x v="232"/>
    <x v="8"/>
    <x v="20"/>
    <x v="925"/>
    <x v="92"/>
    <x v="358"/>
    <x v="6"/>
    <x v="56"/>
    <x v="810"/>
    <x v="0"/>
    <x v="8"/>
    <x v="1"/>
    <x v="23"/>
    <x v="0"/>
    <x v="1"/>
  </r>
  <r>
    <x v="461"/>
    <x v="3"/>
    <x v="740"/>
    <x v="4"/>
    <x v="3"/>
    <x v="0"/>
    <x v="1"/>
    <x v="101"/>
    <x v="9"/>
    <x v="0"/>
    <x v="151"/>
    <x v="173"/>
    <x v="8"/>
    <x v="20"/>
    <x v="926"/>
    <x v="94"/>
    <x v="358"/>
    <x v="6"/>
    <x v="56"/>
    <x v="809"/>
    <x v="0"/>
    <x v="8"/>
    <x v="1"/>
    <x v="23"/>
    <x v="0"/>
    <x v="1"/>
  </r>
  <r>
    <x v="49"/>
    <x v="0"/>
    <x v="739"/>
    <x v="3"/>
    <x v="3"/>
    <x v="0"/>
    <x v="1"/>
    <x v="13"/>
    <x v="9"/>
    <x v="0"/>
    <x v="161"/>
    <x v="230"/>
    <x v="8"/>
    <x v="20"/>
    <x v="922"/>
    <x v="93"/>
    <x v="358"/>
    <x v="6"/>
    <x v="56"/>
    <x v="808"/>
    <x v="0"/>
    <x v="8"/>
    <x v="1"/>
    <x v="23"/>
    <x v="0"/>
    <x v="1"/>
  </r>
  <r>
    <x v="38"/>
    <x v="0"/>
    <x v="545"/>
    <x v="0"/>
    <x v="3"/>
    <x v="0"/>
    <x v="1"/>
    <x v="0"/>
    <x v="9"/>
    <x v="0"/>
    <x v="206"/>
    <x v="95"/>
    <x v="8"/>
    <x v="56"/>
    <x v="136"/>
    <x v="953"/>
    <x v="448"/>
    <x v="6"/>
    <x v="56"/>
    <x v="807"/>
    <x v="0"/>
    <x v="8"/>
    <x v="1"/>
    <x v="23"/>
    <x v="0"/>
    <x v="1"/>
  </r>
  <r>
    <x v="368"/>
    <x v="2"/>
    <x v="428"/>
    <x v="0"/>
    <x v="2"/>
    <x v="0"/>
    <x v="1"/>
    <x v="31"/>
    <x v="9"/>
    <x v="0"/>
    <x v="249"/>
    <x v="55"/>
    <x v="8"/>
    <x v="355"/>
    <x v="955"/>
    <x v="800"/>
    <x v="327"/>
    <x v="6"/>
    <x v="56"/>
    <x v="806"/>
    <x v="0"/>
    <x v="8"/>
    <x v="1"/>
    <x v="23"/>
    <x v="0"/>
    <x v="1"/>
  </r>
  <r>
    <x v="34"/>
    <x v="0"/>
    <x v="318"/>
    <x v="0"/>
    <x v="3"/>
    <x v="0"/>
    <x v="1"/>
    <x v="0"/>
    <x v="9"/>
    <x v="0"/>
    <x v="307"/>
    <x v="30"/>
    <x v="8"/>
    <x v="72"/>
    <x v="924"/>
    <x v="829"/>
    <x v="423"/>
    <x v="6"/>
    <x v="56"/>
    <x v="805"/>
    <x v="0"/>
    <x v="8"/>
    <x v="1"/>
    <x v="23"/>
    <x v="0"/>
    <x v="1"/>
  </r>
  <r>
    <x v="624"/>
    <x v="5"/>
    <x v="317"/>
    <x v="6"/>
    <x v="5"/>
    <x v="0"/>
    <x v="1"/>
    <x v="88"/>
    <x v="9"/>
    <x v="0"/>
    <x v="179"/>
    <x v="62"/>
    <x v="8"/>
    <x v="144"/>
    <x v="403"/>
    <x v="768"/>
    <x v="197"/>
    <x v="6"/>
    <x v="35"/>
    <x v="804"/>
    <x v="0"/>
    <x v="8"/>
    <x v="1"/>
    <x v="23"/>
    <x v="1"/>
    <x v="1"/>
  </r>
  <r>
    <x v="369"/>
    <x v="2"/>
    <x v="971"/>
    <x v="2"/>
    <x v="2"/>
    <x v="0"/>
    <x v="1"/>
    <x v="31"/>
    <x v="9"/>
    <x v="0"/>
    <x v="298"/>
    <x v="103"/>
    <x v="8"/>
    <x v="363"/>
    <x v="183"/>
    <x v="17"/>
    <x v="232"/>
    <x v="6"/>
    <x v="14"/>
    <x v="803"/>
    <x v="0"/>
    <x v="8"/>
    <x v="1"/>
    <x v="23"/>
    <x v="0"/>
    <x v="1"/>
  </r>
  <r>
    <x v="862"/>
    <x v="10"/>
    <x v="917"/>
    <x v="8"/>
    <x v="7"/>
    <x v="2"/>
    <x v="0"/>
    <x v="344"/>
    <x v="9"/>
    <x v="0"/>
    <x v="169"/>
    <x v="25"/>
    <x v="8"/>
    <x v="72"/>
    <x v="538"/>
    <x v="510"/>
    <x v="337"/>
    <x v="6"/>
    <x v="20"/>
    <x v="802"/>
    <x v="0"/>
    <x v="8"/>
    <x v="1"/>
    <x v="23"/>
    <x v="2"/>
    <x v="3"/>
  </r>
  <r>
    <x v="156"/>
    <x v="0"/>
    <x v="541"/>
    <x v="4"/>
    <x v="0"/>
    <x v="0"/>
    <x v="0"/>
    <x v="1"/>
    <x v="9"/>
    <x v="0"/>
    <x v="348"/>
    <x v="62"/>
    <x v="8"/>
    <x v="369"/>
    <x v="101"/>
    <x v="979"/>
    <x v="462"/>
    <x v="6"/>
    <x v="56"/>
    <x v="801"/>
    <x v="0"/>
    <x v="8"/>
    <x v="1"/>
    <x v="23"/>
    <x v="0"/>
    <x v="1"/>
  </r>
  <r>
    <x v="605"/>
    <x v="4"/>
    <x v="313"/>
    <x v="3"/>
    <x v="3"/>
    <x v="0"/>
    <x v="0"/>
    <x v="70"/>
    <x v="9"/>
    <x v="0"/>
    <x v="252"/>
    <x v="62"/>
    <x v="8"/>
    <x v="254"/>
    <x v="58"/>
    <x v="3"/>
    <x v="192"/>
    <x v="6"/>
    <x v="56"/>
    <x v="800"/>
    <x v="0"/>
    <x v="8"/>
    <x v="1"/>
    <x v="23"/>
    <x v="0"/>
    <x v="1"/>
  </r>
  <r>
    <x v="112"/>
    <x v="0"/>
    <x v="267"/>
    <x v="3"/>
    <x v="5"/>
    <x v="0"/>
    <x v="1"/>
    <x v="1"/>
    <x v="9"/>
    <x v="0"/>
    <x v="167"/>
    <x v="115"/>
    <x v="8"/>
    <x v="212"/>
    <x v="298"/>
    <x v="862"/>
    <x v="199"/>
    <x v="6"/>
    <x v="42"/>
    <x v="799"/>
    <x v="0"/>
    <x v="8"/>
    <x v="1"/>
    <x v="23"/>
    <x v="0"/>
    <x v="1"/>
  </r>
  <r>
    <x v="944"/>
    <x v="14"/>
    <x v="180"/>
    <x v="7"/>
    <x v="3"/>
    <x v="0"/>
    <x v="1"/>
    <x v="215"/>
    <x v="9"/>
    <x v="0"/>
    <x v="145"/>
    <x v="17"/>
    <x v="8"/>
    <x v="400"/>
    <x v="181"/>
    <x v="988"/>
    <x v="232"/>
    <x v="6"/>
    <x v="14"/>
    <x v="798"/>
    <x v="0"/>
    <x v="8"/>
    <x v="1"/>
    <x v="23"/>
    <x v="2"/>
    <x v="1"/>
  </r>
  <r>
    <x v="230"/>
    <x v="1"/>
    <x v="151"/>
    <x v="8"/>
    <x v="8"/>
    <x v="1"/>
    <x v="1"/>
    <x v="250"/>
    <x v="9"/>
    <x v="0"/>
    <x v="113"/>
    <x v="159"/>
    <x v="8"/>
    <x v="136"/>
    <x v="905"/>
    <x v="683"/>
    <x v="94"/>
    <x v="1"/>
    <x v="23"/>
    <x v="797"/>
    <x v="0"/>
    <x v="8"/>
    <x v="1"/>
    <x v="23"/>
    <x v="0"/>
    <x v="2"/>
  </r>
  <r>
    <x v="703"/>
    <x v="6"/>
    <x v="938"/>
    <x v="2"/>
    <x v="4"/>
    <x v="0"/>
    <x v="1"/>
    <x v="101"/>
    <x v="9"/>
    <x v="0"/>
    <x v="238"/>
    <x v="103"/>
    <x v="8"/>
    <x v="81"/>
    <x v="131"/>
    <x v="958"/>
    <x v="448"/>
    <x v="6"/>
    <x v="56"/>
    <x v="796"/>
    <x v="0"/>
    <x v="8"/>
    <x v="1"/>
    <x v="23"/>
    <x v="1"/>
    <x v="1"/>
  </r>
  <r>
    <x v="689"/>
    <x v="6"/>
    <x v="798"/>
    <x v="0"/>
    <x v="2"/>
    <x v="0"/>
    <x v="0"/>
    <x v="101"/>
    <x v="9"/>
    <x v="0"/>
    <x v="299"/>
    <x v="17"/>
    <x v="8"/>
    <x v="396"/>
    <x v="274"/>
    <x v="272"/>
    <x v="155"/>
    <x v="5"/>
    <x v="37"/>
    <x v="795"/>
    <x v="0"/>
    <x v="8"/>
    <x v="1"/>
    <x v="23"/>
    <x v="1"/>
    <x v="1"/>
  </r>
  <r>
    <x v="119"/>
    <x v="0"/>
    <x v="705"/>
    <x v="6"/>
    <x v="6"/>
    <x v="0"/>
    <x v="1"/>
    <x v="2"/>
    <x v="9"/>
    <x v="0"/>
    <x v="338"/>
    <x v="5"/>
    <x v="8"/>
    <x v="16"/>
    <x v="212"/>
    <x v="937"/>
    <x v="224"/>
    <x v="6"/>
    <x v="54"/>
    <x v="794"/>
    <x v="0"/>
    <x v="8"/>
    <x v="1"/>
    <x v="23"/>
    <x v="0"/>
    <x v="1"/>
  </r>
  <r>
    <x v="805"/>
    <x v="8"/>
    <x v="704"/>
    <x v="8"/>
    <x v="5"/>
    <x v="3"/>
    <x v="1"/>
    <x v="323"/>
    <x v="9"/>
    <x v="0"/>
    <x v="186"/>
    <x v="37"/>
    <x v="8"/>
    <x v="285"/>
    <x v="634"/>
    <x v="304"/>
    <x v="84"/>
    <x v="6"/>
    <x v="55"/>
    <x v="793"/>
    <x v="0"/>
    <x v="8"/>
    <x v="1"/>
    <x v="23"/>
    <x v="1"/>
    <x v="4"/>
  </r>
  <r>
    <x v="551"/>
    <x v="4"/>
    <x v="637"/>
    <x v="7"/>
    <x v="6"/>
    <x v="0"/>
    <x v="0"/>
    <x v="279"/>
    <x v="9"/>
    <x v="0"/>
    <x v="229"/>
    <x v="153"/>
    <x v="8"/>
    <x v="79"/>
    <x v="318"/>
    <x v="503"/>
    <x v="220"/>
    <x v="6"/>
    <x v="20"/>
    <x v="792"/>
    <x v="0"/>
    <x v="8"/>
    <x v="1"/>
    <x v="23"/>
    <x v="0"/>
    <x v="1"/>
  </r>
  <r>
    <x v="968"/>
    <x v="19"/>
    <x v="636"/>
    <x v="5"/>
    <x v="3"/>
    <x v="0"/>
    <x v="1"/>
    <x v="244"/>
    <x v="9"/>
    <x v="0"/>
    <x v="290"/>
    <x v="25"/>
    <x v="8"/>
    <x v="384"/>
    <x v="187"/>
    <x v="15"/>
    <x v="232"/>
    <x v="6"/>
    <x v="14"/>
    <x v="791"/>
    <x v="0"/>
    <x v="8"/>
    <x v="1"/>
    <x v="23"/>
    <x v="3"/>
    <x v="1"/>
  </r>
  <r>
    <x v="22"/>
    <x v="0"/>
    <x v="571"/>
    <x v="5"/>
    <x v="2"/>
    <x v="0"/>
    <x v="0"/>
    <x v="78"/>
    <x v="9"/>
    <x v="0"/>
    <x v="250"/>
    <x v="103"/>
    <x v="8"/>
    <x v="359"/>
    <x v="340"/>
    <x v="509"/>
    <x v="219"/>
    <x v="6"/>
    <x v="20"/>
    <x v="790"/>
    <x v="0"/>
    <x v="8"/>
    <x v="1"/>
    <x v="23"/>
    <x v="0"/>
    <x v="1"/>
  </r>
  <r>
    <x v="9"/>
    <x v="0"/>
    <x v="490"/>
    <x v="6"/>
    <x v="5"/>
    <x v="0"/>
    <x v="1"/>
    <x v="5"/>
    <x v="9"/>
    <x v="0"/>
    <x v="46"/>
    <x v="95"/>
    <x v="8"/>
    <x v="133"/>
    <x v="935"/>
    <x v="18"/>
    <x v="12"/>
    <x v="3"/>
    <x v="53"/>
    <x v="789"/>
    <x v="0"/>
    <x v="8"/>
    <x v="1"/>
    <x v="23"/>
    <x v="0"/>
    <x v="1"/>
  </r>
  <r>
    <x v="573"/>
    <x v="4"/>
    <x v="145"/>
    <x v="9"/>
    <x v="7"/>
    <x v="1"/>
    <x v="0"/>
    <x v="332"/>
    <x v="9"/>
    <x v="0"/>
    <x v="216"/>
    <x v="37"/>
    <x v="8"/>
    <x v="134"/>
    <x v="321"/>
    <x v="502"/>
    <x v="220"/>
    <x v="6"/>
    <x v="20"/>
    <x v="788"/>
    <x v="0"/>
    <x v="8"/>
    <x v="1"/>
    <x v="23"/>
    <x v="0"/>
    <x v="2"/>
  </r>
  <r>
    <x v="547"/>
    <x v="4"/>
    <x v="113"/>
    <x v="7"/>
    <x v="7"/>
    <x v="3"/>
    <x v="1"/>
    <x v="301"/>
    <x v="4"/>
    <x v="10"/>
    <x v="4"/>
    <x v="255"/>
    <x v="5"/>
    <x v="3"/>
    <x v="721"/>
    <x v="80"/>
    <x v="230"/>
    <x v="6"/>
    <x v="53"/>
    <x v="787"/>
    <x v="0"/>
    <x v="5"/>
    <x v="1"/>
    <x v="23"/>
    <x v="0"/>
    <x v="4"/>
  </r>
  <r>
    <x v="480"/>
    <x v="3"/>
    <x v="43"/>
    <x v="5"/>
    <x v="2"/>
    <x v="0"/>
    <x v="0"/>
    <x v="68"/>
    <x v="9"/>
    <x v="0"/>
    <x v="353"/>
    <x v="47"/>
    <x v="8"/>
    <x v="366"/>
    <x v="151"/>
    <x v="303"/>
    <x v="69"/>
    <x v="5"/>
    <x v="5"/>
    <x v="786"/>
    <x v="0"/>
    <x v="8"/>
    <x v="1"/>
    <x v="23"/>
    <x v="0"/>
    <x v="1"/>
  </r>
  <r>
    <x v="542"/>
    <x v="4"/>
    <x v="926"/>
    <x v="9"/>
    <x v="5"/>
    <x v="0"/>
    <x v="1"/>
    <x v="76"/>
    <x v="9"/>
    <x v="0"/>
    <x v="149"/>
    <x v="62"/>
    <x v="8"/>
    <x v="136"/>
    <x v="409"/>
    <x v="772"/>
    <x v="197"/>
    <x v="6"/>
    <x v="35"/>
    <x v="785"/>
    <x v="0"/>
    <x v="8"/>
    <x v="1"/>
    <x v="23"/>
    <x v="0"/>
    <x v="1"/>
  </r>
  <r>
    <x v="339"/>
    <x v="2"/>
    <x v="848"/>
    <x v="5"/>
    <x v="5"/>
    <x v="0"/>
    <x v="1"/>
    <x v="35"/>
    <x v="9"/>
    <x v="0"/>
    <x v="152"/>
    <x v="37"/>
    <x v="8"/>
    <x v="147"/>
    <x v="410"/>
    <x v="770"/>
    <x v="197"/>
    <x v="6"/>
    <x v="35"/>
    <x v="784"/>
    <x v="0"/>
    <x v="8"/>
    <x v="1"/>
    <x v="23"/>
    <x v="0"/>
    <x v="1"/>
  </r>
  <r>
    <x v="431"/>
    <x v="3"/>
    <x v="229"/>
    <x v="6"/>
    <x v="5"/>
    <x v="0"/>
    <x v="1"/>
    <x v="57"/>
    <x v="9"/>
    <x v="0"/>
    <x v="104"/>
    <x v="47"/>
    <x v="8"/>
    <x v="89"/>
    <x v="455"/>
    <x v="795"/>
    <x v="204"/>
    <x v="6"/>
    <x v="35"/>
    <x v="783"/>
    <x v="0"/>
    <x v="8"/>
    <x v="1"/>
    <x v="23"/>
    <x v="0"/>
    <x v="1"/>
  </r>
  <r>
    <x v="398"/>
    <x v="2"/>
    <x v="168"/>
    <x v="8"/>
    <x v="6"/>
    <x v="0"/>
    <x v="1"/>
    <x v="36"/>
    <x v="9"/>
    <x v="0"/>
    <x v="354"/>
    <x v="71"/>
    <x v="8"/>
    <x v="75"/>
    <x v="377"/>
    <x v="698"/>
    <x v="453"/>
    <x v="6"/>
    <x v="35"/>
    <x v="782"/>
    <x v="0"/>
    <x v="8"/>
    <x v="1"/>
    <x v="23"/>
    <x v="0"/>
    <x v="1"/>
  </r>
  <r>
    <x v="854"/>
    <x v="10"/>
    <x v="813"/>
    <x v="9"/>
    <x v="7"/>
    <x v="3"/>
    <x v="1"/>
    <x v="199"/>
    <x v="9"/>
    <x v="0"/>
    <x v="355"/>
    <x v="55"/>
    <x v="8"/>
    <x v="100"/>
    <x v="384"/>
    <x v="701"/>
    <x v="453"/>
    <x v="6"/>
    <x v="35"/>
    <x v="781"/>
    <x v="0"/>
    <x v="8"/>
    <x v="1"/>
    <x v="23"/>
    <x v="2"/>
    <x v="4"/>
  </r>
  <r>
    <x v="759"/>
    <x v="7"/>
    <x v="506"/>
    <x v="7"/>
    <x v="6"/>
    <x v="3"/>
    <x v="1"/>
    <x v="298"/>
    <x v="9"/>
    <x v="0"/>
    <x v="7"/>
    <x v="240"/>
    <x v="8"/>
    <x v="82"/>
    <x v="692"/>
    <x v="134"/>
    <x v="350"/>
    <x v="3"/>
    <x v="26"/>
    <x v="780"/>
    <x v="0"/>
    <x v="8"/>
    <x v="1"/>
    <x v="23"/>
    <x v="1"/>
    <x v="4"/>
  </r>
  <r>
    <x v="942"/>
    <x v="14"/>
    <x v="750"/>
    <x v="9"/>
    <x v="3"/>
    <x v="0"/>
    <x v="1"/>
    <x v="339"/>
    <x v="9"/>
    <x v="0"/>
    <x v="239"/>
    <x v="147"/>
    <x v="8"/>
    <x v="38"/>
    <x v="977"/>
    <x v="87"/>
    <x v="92"/>
    <x v="6"/>
    <x v="56"/>
    <x v="779"/>
    <x v="0"/>
    <x v="8"/>
    <x v="1"/>
    <x v="23"/>
    <x v="2"/>
    <x v="1"/>
  </r>
  <r>
    <x v="718"/>
    <x v="6"/>
    <x v="436"/>
    <x v="9"/>
    <x v="6"/>
    <x v="0"/>
    <x v="1"/>
    <x v="250"/>
    <x v="9"/>
    <x v="0"/>
    <x v="320"/>
    <x v="103"/>
    <x v="8"/>
    <x v="144"/>
    <x v="217"/>
    <x v="217"/>
    <x v="29"/>
    <x v="6"/>
    <x v="37"/>
    <x v="778"/>
    <x v="0"/>
    <x v="8"/>
    <x v="1"/>
    <x v="23"/>
    <x v="1"/>
    <x v="1"/>
  </r>
  <r>
    <x v="849"/>
    <x v="10"/>
    <x v="289"/>
    <x v="8"/>
    <x v="4"/>
    <x v="0"/>
    <x v="1"/>
    <x v="327"/>
    <x v="9"/>
    <x v="0"/>
    <x v="330"/>
    <x v="17"/>
    <x v="8"/>
    <x v="65"/>
    <x v="701"/>
    <x v="175"/>
    <x v="49"/>
    <x v="6"/>
    <x v="56"/>
    <x v="777"/>
    <x v="0"/>
    <x v="8"/>
    <x v="1"/>
    <x v="23"/>
    <x v="2"/>
    <x v="1"/>
  </r>
  <r>
    <x v="20"/>
    <x v="0"/>
    <x v="501"/>
    <x v="8"/>
    <x v="6"/>
    <x v="0"/>
    <x v="0"/>
    <x v="224"/>
    <x v="9"/>
    <x v="0"/>
    <x v="222"/>
    <x v="137"/>
    <x v="8"/>
    <x v="229"/>
    <x v="337"/>
    <x v="498"/>
    <x v="189"/>
    <x v="6"/>
    <x v="20"/>
    <x v="776"/>
    <x v="0"/>
    <x v="8"/>
    <x v="1"/>
    <x v="22"/>
    <x v="0"/>
    <x v="1"/>
  </r>
  <r>
    <x v="145"/>
    <x v="0"/>
    <x v="434"/>
    <x v="1"/>
    <x v="4"/>
    <x v="0"/>
    <x v="1"/>
    <x v="1"/>
    <x v="9"/>
    <x v="0"/>
    <x v="401"/>
    <x v="103"/>
    <x v="8"/>
    <x v="56"/>
    <x v="16"/>
    <x v="332"/>
    <x v="68"/>
    <x v="6"/>
    <x v="56"/>
    <x v="775"/>
    <x v="0"/>
    <x v="8"/>
    <x v="1"/>
    <x v="22"/>
    <x v="0"/>
    <x v="1"/>
  </r>
  <r>
    <x v="670"/>
    <x v="5"/>
    <x v="650"/>
    <x v="4"/>
    <x v="5"/>
    <x v="0"/>
    <x v="1"/>
    <x v="97"/>
    <x v="9"/>
    <x v="0"/>
    <x v="51"/>
    <x v="30"/>
    <x v="8"/>
    <x v="20"/>
    <x v="145"/>
    <x v="945"/>
    <x v="448"/>
    <x v="6"/>
    <x v="56"/>
    <x v="774"/>
    <x v="0"/>
    <x v="8"/>
    <x v="1"/>
    <x v="22"/>
    <x v="1"/>
    <x v="1"/>
  </r>
  <r>
    <x v="280"/>
    <x v="1"/>
    <x v="649"/>
    <x v="4"/>
    <x v="4"/>
    <x v="0"/>
    <x v="1"/>
    <x v="20"/>
    <x v="9"/>
    <x v="0"/>
    <x v="44"/>
    <x v="87"/>
    <x v="8"/>
    <x v="32"/>
    <x v="142"/>
    <x v="944"/>
    <x v="448"/>
    <x v="6"/>
    <x v="56"/>
    <x v="773"/>
    <x v="0"/>
    <x v="8"/>
    <x v="1"/>
    <x v="22"/>
    <x v="0"/>
    <x v="1"/>
  </r>
  <r>
    <x v="42"/>
    <x v="0"/>
    <x v="433"/>
    <x v="8"/>
    <x v="7"/>
    <x v="3"/>
    <x v="1"/>
    <x v="268"/>
    <x v="9"/>
    <x v="0"/>
    <x v="12"/>
    <x v="175"/>
    <x v="8"/>
    <x v="68"/>
    <x v="625"/>
    <x v="173"/>
    <x v="346"/>
    <x v="6"/>
    <x v="11"/>
    <x v="772"/>
    <x v="0"/>
    <x v="8"/>
    <x v="1"/>
    <x v="22"/>
    <x v="0"/>
    <x v="4"/>
  </r>
  <r>
    <x v="801"/>
    <x v="8"/>
    <x v="397"/>
    <x v="8"/>
    <x v="8"/>
    <x v="2"/>
    <x v="0"/>
    <x v="352"/>
    <x v="9"/>
    <x v="0"/>
    <x v="20"/>
    <x v="162"/>
    <x v="8"/>
    <x v="65"/>
    <x v="807"/>
    <x v="365"/>
    <x v="0"/>
    <x v="1"/>
    <x v="21"/>
    <x v="771"/>
    <x v="0"/>
    <x v="8"/>
    <x v="1"/>
    <x v="22"/>
    <x v="1"/>
    <x v="3"/>
  </r>
  <r>
    <x v="115"/>
    <x v="0"/>
    <x v="217"/>
    <x v="6"/>
    <x v="4"/>
    <x v="0"/>
    <x v="1"/>
    <x v="9"/>
    <x v="9"/>
    <x v="0"/>
    <x v="325"/>
    <x v="5"/>
    <x v="8"/>
    <x v="250"/>
    <x v="460"/>
    <x v="710"/>
    <x v="23"/>
    <x v="6"/>
    <x v="35"/>
    <x v="770"/>
    <x v="0"/>
    <x v="8"/>
    <x v="1"/>
    <x v="22"/>
    <x v="0"/>
    <x v="1"/>
  </r>
  <r>
    <x v="519"/>
    <x v="3"/>
    <x v="126"/>
    <x v="5"/>
    <x v="4"/>
    <x v="0"/>
    <x v="1"/>
    <x v="64"/>
    <x v="9"/>
    <x v="0"/>
    <x v="341"/>
    <x v="87"/>
    <x v="8"/>
    <x v="20"/>
    <x v="225"/>
    <x v="57"/>
    <x v="145"/>
    <x v="6"/>
    <x v="56"/>
    <x v="769"/>
    <x v="0"/>
    <x v="8"/>
    <x v="1"/>
    <x v="22"/>
    <x v="0"/>
    <x v="1"/>
  </r>
  <r>
    <x v="166"/>
    <x v="1"/>
    <x v="32"/>
    <x v="3"/>
    <x v="4"/>
    <x v="0"/>
    <x v="1"/>
    <x v="18"/>
    <x v="9"/>
    <x v="0"/>
    <x v="75"/>
    <x v="143"/>
    <x v="8"/>
    <x v="82"/>
    <x v="140"/>
    <x v="947"/>
    <x v="448"/>
    <x v="6"/>
    <x v="56"/>
    <x v="768"/>
    <x v="0"/>
    <x v="8"/>
    <x v="1"/>
    <x v="22"/>
    <x v="0"/>
    <x v="1"/>
  </r>
  <r>
    <x v="337"/>
    <x v="2"/>
    <x v="988"/>
    <x v="3"/>
    <x v="3"/>
    <x v="0"/>
    <x v="1"/>
    <x v="31"/>
    <x v="9"/>
    <x v="0"/>
    <x v="105"/>
    <x v="218"/>
    <x v="8"/>
    <x v="94"/>
    <x v="137"/>
    <x v="949"/>
    <x v="448"/>
    <x v="6"/>
    <x v="56"/>
    <x v="767"/>
    <x v="0"/>
    <x v="8"/>
    <x v="1"/>
    <x v="22"/>
    <x v="0"/>
    <x v="1"/>
  </r>
  <r>
    <x v="352"/>
    <x v="2"/>
    <x v="805"/>
    <x v="3"/>
    <x v="2"/>
    <x v="0"/>
    <x v="0"/>
    <x v="34"/>
    <x v="9"/>
    <x v="0"/>
    <x v="164"/>
    <x v="47"/>
    <x v="8"/>
    <x v="365"/>
    <x v="345"/>
    <x v="542"/>
    <x v="262"/>
    <x v="6"/>
    <x v="20"/>
    <x v="766"/>
    <x v="0"/>
    <x v="8"/>
    <x v="1"/>
    <x v="22"/>
    <x v="0"/>
    <x v="1"/>
  </r>
  <r>
    <x v="57"/>
    <x v="0"/>
    <x v="242"/>
    <x v="3"/>
    <x v="4"/>
    <x v="0"/>
    <x v="1"/>
    <x v="1"/>
    <x v="9"/>
    <x v="0"/>
    <x v="116"/>
    <x v="11"/>
    <x v="8"/>
    <x v="258"/>
    <x v="947"/>
    <x v="977"/>
    <x v="32"/>
    <x v="3"/>
    <x v="56"/>
    <x v="765"/>
    <x v="0"/>
    <x v="8"/>
    <x v="1"/>
    <x v="22"/>
    <x v="0"/>
    <x v="1"/>
  </r>
  <r>
    <x v="684"/>
    <x v="6"/>
    <x v="638"/>
    <x v="9"/>
    <x v="7"/>
    <x v="4"/>
    <x v="0"/>
    <x v="331"/>
    <x v="9"/>
    <x v="0"/>
    <x v="98"/>
    <x v="103"/>
    <x v="8"/>
    <x v="174"/>
    <x v="714"/>
    <x v="130"/>
    <x v="260"/>
    <x v="3"/>
    <x v="26"/>
    <x v="764"/>
    <x v="0"/>
    <x v="8"/>
    <x v="1"/>
    <x v="22"/>
    <x v="1"/>
    <x v="0"/>
  </r>
  <r>
    <x v="972"/>
    <x v="19"/>
    <x v="235"/>
    <x v="9"/>
    <x v="6"/>
    <x v="2"/>
    <x v="1"/>
    <x v="355"/>
    <x v="9"/>
    <x v="0"/>
    <x v="96"/>
    <x v="95"/>
    <x v="8"/>
    <x v="172"/>
    <x v="683"/>
    <x v="140"/>
    <x v="90"/>
    <x v="6"/>
    <x v="56"/>
    <x v="763"/>
    <x v="0"/>
    <x v="8"/>
    <x v="1"/>
    <x v="22"/>
    <x v="3"/>
    <x v="3"/>
  </r>
  <r>
    <x v="37"/>
    <x v="0"/>
    <x v="232"/>
    <x v="5"/>
    <x v="6"/>
    <x v="3"/>
    <x v="0"/>
    <x v="45"/>
    <x v="9"/>
    <x v="0"/>
    <x v="397"/>
    <x v="95"/>
    <x v="8"/>
    <x v="16"/>
    <x v="795"/>
    <x v="489"/>
    <x v="265"/>
    <x v="1"/>
    <x v="36"/>
    <x v="762"/>
    <x v="0"/>
    <x v="8"/>
    <x v="1"/>
    <x v="22"/>
    <x v="0"/>
    <x v="4"/>
  </r>
  <r>
    <x v="172"/>
    <x v="1"/>
    <x v="668"/>
    <x v="7"/>
    <x v="6"/>
    <x v="3"/>
    <x v="0"/>
    <x v="249"/>
    <x v="9"/>
    <x v="0"/>
    <x v="91"/>
    <x v="47"/>
    <x v="8"/>
    <x v="7"/>
    <x v="835"/>
    <x v="349"/>
    <x v="207"/>
    <x v="1"/>
    <x v="49"/>
    <x v="761"/>
    <x v="0"/>
    <x v="8"/>
    <x v="1"/>
    <x v="22"/>
    <x v="0"/>
    <x v="4"/>
  </r>
  <r>
    <x v="913"/>
    <x v="12"/>
    <x v="567"/>
    <x v="8"/>
    <x v="6"/>
    <x v="0"/>
    <x v="1"/>
    <x v="188"/>
    <x v="9"/>
    <x v="0"/>
    <x v="287"/>
    <x v="25"/>
    <x v="8"/>
    <x v="20"/>
    <x v="962"/>
    <x v="946"/>
    <x v="205"/>
    <x v="6"/>
    <x v="56"/>
    <x v="760"/>
    <x v="0"/>
    <x v="8"/>
    <x v="1"/>
    <x v="22"/>
    <x v="2"/>
    <x v="1"/>
  </r>
  <r>
    <x v="304"/>
    <x v="1"/>
    <x v="353"/>
    <x v="5"/>
    <x v="3"/>
    <x v="0"/>
    <x v="1"/>
    <x v="42"/>
    <x v="9"/>
    <x v="0"/>
    <x v="300"/>
    <x v="175"/>
    <x v="8"/>
    <x v="20"/>
    <x v="18"/>
    <x v="874"/>
    <x v="33"/>
    <x v="6"/>
    <x v="56"/>
    <x v="759"/>
    <x v="0"/>
    <x v="8"/>
    <x v="1"/>
    <x v="22"/>
    <x v="0"/>
    <x v="1"/>
  </r>
  <r>
    <x v="46"/>
    <x v="0"/>
    <x v="176"/>
    <x v="9"/>
    <x v="7"/>
    <x v="3"/>
    <x v="1"/>
    <x v="75"/>
    <x v="9"/>
    <x v="0"/>
    <x v="318"/>
    <x v="147"/>
    <x v="8"/>
    <x v="16"/>
    <x v="638"/>
    <x v="553"/>
    <x v="234"/>
    <x v="6"/>
    <x v="38"/>
    <x v="758"/>
    <x v="0"/>
    <x v="8"/>
    <x v="1"/>
    <x v="22"/>
    <x v="0"/>
    <x v="4"/>
  </r>
  <r>
    <x v="470"/>
    <x v="3"/>
    <x v="731"/>
    <x v="6"/>
    <x v="5"/>
    <x v="3"/>
    <x v="1"/>
    <x v="241"/>
    <x v="9"/>
    <x v="0"/>
    <x v="107"/>
    <x v="180"/>
    <x v="8"/>
    <x v="142"/>
    <x v="666"/>
    <x v="150"/>
    <x v="370"/>
    <x v="6"/>
    <x v="56"/>
    <x v="757"/>
    <x v="0"/>
    <x v="8"/>
    <x v="1"/>
    <x v="22"/>
    <x v="0"/>
    <x v="4"/>
  </r>
  <r>
    <x v="550"/>
    <x v="4"/>
    <x v="452"/>
    <x v="8"/>
    <x v="5"/>
    <x v="3"/>
    <x v="1"/>
    <x v="277"/>
    <x v="9"/>
    <x v="0"/>
    <x v="14"/>
    <x v="172"/>
    <x v="8"/>
    <x v="233"/>
    <x v="681"/>
    <x v="147"/>
    <x v="403"/>
    <x v="6"/>
    <x v="16"/>
    <x v="756"/>
    <x v="0"/>
    <x v="8"/>
    <x v="1"/>
    <x v="22"/>
    <x v="0"/>
    <x v="4"/>
  </r>
  <r>
    <x v="460"/>
    <x v="3"/>
    <x v="46"/>
    <x v="0"/>
    <x v="3"/>
    <x v="0"/>
    <x v="1"/>
    <x v="49"/>
    <x v="9"/>
    <x v="0"/>
    <x v="219"/>
    <x v="17"/>
    <x v="8"/>
    <x v="2"/>
    <x v="960"/>
    <x v="965"/>
    <x v="32"/>
    <x v="6"/>
    <x v="56"/>
    <x v="755"/>
    <x v="0"/>
    <x v="8"/>
    <x v="1"/>
    <x v="22"/>
    <x v="0"/>
    <x v="1"/>
  </r>
  <r>
    <x v="243"/>
    <x v="1"/>
    <x v="930"/>
    <x v="7"/>
    <x v="6"/>
    <x v="0"/>
    <x v="0"/>
    <x v="22"/>
    <x v="9"/>
    <x v="0"/>
    <x v="220"/>
    <x v="62"/>
    <x v="8"/>
    <x v="26"/>
    <x v="520"/>
    <x v="514"/>
    <x v="361"/>
    <x v="6"/>
    <x v="20"/>
    <x v="754"/>
    <x v="0"/>
    <x v="8"/>
    <x v="1"/>
    <x v="22"/>
    <x v="0"/>
    <x v="1"/>
  </r>
  <r>
    <x v="158"/>
    <x v="0"/>
    <x v="300"/>
    <x v="0"/>
    <x v="3"/>
    <x v="0"/>
    <x v="1"/>
    <x v="0"/>
    <x v="9"/>
    <x v="0"/>
    <x v="368"/>
    <x v="55"/>
    <x v="8"/>
    <x v="44"/>
    <x v="13"/>
    <x v="321"/>
    <x v="436"/>
    <x v="6"/>
    <x v="56"/>
    <x v="753"/>
    <x v="0"/>
    <x v="8"/>
    <x v="1"/>
    <x v="22"/>
    <x v="0"/>
    <x v="1"/>
  </r>
  <r>
    <x v="493"/>
    <x v="3"/>
    <x v="262"/>
    <x v="6"/>
    <x v="4"/>
    <x v="0"/>
    <x v="1"/>
    <x v="51"/>
    <x v="9"/>
    <x v="0"/>
    <x v="379"/>
    <x v="71"/>
    <x v="8"/>
    <x v="301"/>
    <x v="238"/>
    <x v="925"/>
    <x v="359"/>
    <x v="6"/>
    <x v="54"/>
    <x v="752"/>
    <x v="0"/>
    <x v="8"/>
    <x v="1"/>
    <x v="22"/>
    <x v="0"/>
    <x v="1"/>
  </r>
  <r>
    <x v="570"/>
    <x v="4"/>
    <x v="902"/>
    <x v="9"/>
    <x v="5"/>
    <x v="0"/>
    <x v="1"/>
    <x v="127"/>
    <x v="9"/>
    <x v="0"/>
    <x v="166"/>
    <x v="30"/>
    <x v="8"/>
    <x v="103"/>
    <x v="595"/>
    <x v="558"/>
    <x v="75"/>
    <x v="6"/>
    <x v="38"/>
    <x v="751"/>
    <x v="0"/>
    <x v="8"/>
    <x v="1"/>
    <x v="22"/>
    <x v="0"/>
    <x v="1"/>
  </r>
  <r>
    <x v="577"/>
    <x v="4"/>
    <x v="784"/>
    <x v="9"/>
    <x v="6"/>
    <x v="3"/>
    <x v="1"/>
    <x v="329"/>
    <x v="9"/>
    <x v="0"/>
    <x v="26"/>
    <x v="183"/>
    <x v="8"/>
    <x v="111"/>
    <x v="54"/>
    <x v="240"/>
    <x v="485"/>
    <x v="6"/>
    <x v="56"/>
    <x v="750"/>
    <x v="0"/>
    <x v="8"/>
    <x v="1"/>
    <x v="22"/>
    <x v="0"/>
    <x v="4"/>
  </r>
  <r>
    <x v="28"/>
    <x v="0"/>
    <x v="85"/>
    <x v="7"/>
    <x v="7"/>
    <x v="0"/>
    <x v="0"/>
    <x v="291"/>
    <x v="9"/>
    <x v="0"/>
    <x v="221"/>
    <x v="37"/>
    <x v="8"/>
    <x v="120"/>
    <x v="123"/>
    <x v="345"/>
    <x v="278"/>
    <x v="0"/>
    <x v="6"/>
    <x v="749"/>
    <x v="0"/>
    <x v="8"/>
    <x v="1"/>
    <x v="22"/>
    <x v="0"/>
    <x v="1"/>
  </r>
  <r>
    <x v="291"/>
    <x v="1"/>
    <x v="925"/>
    <x v="6"/>
    <x v="6"/>
    <x v="3"/>
    <x v="1"/>
    <x v="15"/>
    <x v="9"/>
    <x v="0"/>
    <x v="331"/>
    <x v="30"/>
    <x v="8"/>
    <x v="56"/>
    <x v="981"/>
    <x v="870"/>
    <x v="482"/>
    <x v="1"/>
    <x v="39"/>
    <x v="748"/>
    <x v="0"/>
    <x v="8"/>
    <x v="1"/>
    <x v="22"/>
    <x v="0"/>
    <x v="4"/>
  </r>
  <r>
    <x v="609"/>
    <x v="4"/>
    <x v="780"/>
    <x v="2"/>
    <x v="2"/>
    <x v="0"/>
    <x v="1"/>
    <x v="68"/>
    <x v="9"/>
    <x v="0"/>
    <x v="362"/>
    <x v="71"/>
    <x v="8"/>
    <x v="352"/>
    <x v="112"/>
    <x v="6"/>
    <x v="462"/>
    <x v="6"/>
    <x v="56"/>
    <x v="747"/>
    <x v="0"/>
    <x v="8"/>
    <x v="1"/>
    <x v="22"/>
    <x v="0"/>
    <x v="1"/>
  </r>
  <r>
    <x v="82"/>
    <x v="0"/>
    <x v="688"/>
    <x v="3"/>
    <x v="2"/>
    <x v="0"/>
    <x v="0"/>
    <x v="3"/>
    <x v="9"/>
    <x v="0"/>
    <x v="319"/>
    <x v="30"/>
    <x v="8"/>
    <x v="379"/>
    <x v="175"/>
    <x v="300"/>
    <x v="332"/>
    <x v="5"/>
    <x v="5"/>
    <x v="746"/>
    <x v="0"/>
    <x v="8"/>
    <x v="1"/>
    <x v="22"/>
    <x v="0"/>
    <x v="1"/>
  </r>
  <r>
    <x v="11"/>
    <x v="0"/>
    <x v="290"/>
    <x v="8"/>
    <x v="6"/>
    <x v="3"/>
    <x v="1"/>
    <x v="56"/>
    <x v="9"/>
    <x v="0"/>
    <x v="256"/>
    <x v="173"/>
    <x v="8"/>
    <x v="44"/>
    <x v="628"/>
    <x v="566"/>
    <x v="245"/>
    <x v="6"/>
    <x v="38"/>
    <x v="745"/>
    <x v="0"/>
    <x v="8"/>
    <x v="1"/>
    <x v="22"/>
    <x v="0"/>
    <x v="4"/>
  </r>
  <r>
    <x v="943"/>
    <x v="14"/>
    <x v="717"/>
    <x v="9"/>
    <x v="6"/>
    <x v="3"/>
    <x v="1"/>
    <x v="219"/>
    <x v="9"/>
    <x v="0"/>
    <x v="289"/>
    <x v="3"/>
    <x v="8"/>
    <x v="275"/>
    <x v="378"/>
    <x v="823"/>
    <x v="341"/>
    <x v="6"/>
    <x v="35"/>
    <x v="744"/>
    <x v="0"/>
    <x v="8"/>
    <x v="1"/>
    <x v="22"/>
    <x v="2"/>
    <x v="4"/>
  </r>
  <r>
    <x v="111"/>
    <x v="0"/>
    <x v="620"/>
    <x v="6"/>
    <x v="5"/>
    <x v="0"/>
    <x v="1"/>
    <x v="4"/>
    <x v="9"/>
    <x v="0"/>
    <x v="168"/>
    <x v="87"/>
    <x v="8"/>
    <x v="138"/>
    <x v="296"/>
    <x v="858"/>
    <x v="199"/>
    <x v="6"/>
    <x v="42"/>
    <x v="743"/>
    <x v="0"/>
    <x v="8"/>
    <x v="1"/>
    <x v="22"/>
    <x v="0"/>
    <x v="1"/>
  </r>
  <r>
    <x v="796"/>
    <x v="8"/>
    <x v="288"/>
    <x v="6"/>
    <x v="2"/>
    <x v="0"/>
    <x v="1"/>
    <x v="150"/>
    <x v="9"/>
    <x v="0"/>
    <x v="303"/>
    <x v="62"/>
    <x v="8"/>
    <x v="395"/>
    <x v="586"/>
    <x v="538"/>
    <x v="446"/>
    <x v="6"/>
    <x v="56"/>
    <x v="742"/>
    <x v="0"/>
    <x v="8"/>
    <x v="1"/>
    <x v="22"/>
    <x v="1"/>
    <x v="1"/>
  </r>
  <r>
    <x v="558"/>
    <x v="4"/>
    <x v="71"/>
    <x v="6"/>
    <x v="3"/>
    <x v="0"/>
    <x v="1"/>
    <x v="77"/>
    <x v="9"/>
    <x v="0"/>
    <x v="234"/>
    <x v="25"/>
    <x v="8"/>
    <x v="26"/>
    <x v="173"/>
    <x v="976"/>
    <x v="287"/>
    <x v="6"/>
    <x v="56"/>
    <x v="741"/>
    <x v="0"/>
    <x v="8"/>
    <x v="1"/>
    <x v="22"/>
    <x v="0"/>
    <x v="1"/>
  </r>
  <r>
    <x v="880"/>
    <x v="11"/>
    <x v="843"/>
    <x v="9"/>
    <x v="7"/>
    <x v="3"/>
    <x v="1"/>
    <x v="267"/>
    <x v="9"/>
    <x v="0"/>
    <x v="25"/>
    <x v="143"/>
    <x v="8"/>
    <x v="141"/>
    <x v="25"/>
    <x v="222"/>
    <x v="379"/>
    <x v="5"/>
    <x v="9"/>
    <x v="740"/>
    <x v="0"/>
    <x v="8"/>
    <x v="1"/>
    <x v="21"/>
    <x v="2"/>
    <x v="4"/>
  </r>
  <r>
    <x v="345"/>
    <x v="2"/>
    <x v="715"/>
    <x v="5"/>
    <x v="4"/>
    <x v="0"/>
    <x v="0"/>
    <x v="63"/>
    <x v="9"/>
    <x v="0"/>
    <x v="284"/>
    <x v="55"/>
    <x v="8"/>
    <x v="289"/>
    <x v="336"/>
    <x v="601"/>
    <x v="239"/>
    <x v="6"/>
    <x v="20"/>
    <x v="739"/>
    <x v="0"/>
    <x v="8"/>
    <x v="1"/>
    <x v="21"/>
    <x v="0"/>
    <x v="1"/>
  </r>
  <r>
    <x v="939"/>
    <x v="14"/>
    <x v="584"/>
    <x v="9"/>
    <x v="6"/>
    <x v="3"/>
    <x v="1"/>
    <x v="213"/>
    <x v="9"/>
    <x v="0"/>
    <x v="138"/>
    <x v="25"/>
    <x v="8"/>
    <x v="235"/>
    <x v="451"/>
    <x v="805"/>
    <x v="204"/>
    <x v="6"/>
    <x v="35"/>
    <x v="738"/>
    <x v="0"/>
    <x v="8"/>
    <x v="1"/>
    <x v="21"/>
    <x v="2"/>
    <x v="4"/>
  </r>
  <r>
    <x v="598"/>
    <x v="4"/>
    <x v="281"/>
    <x v="8"/>
    <x v="5"/>
    <x v="0"/>
    <x v="1"/>
    <x v="72"/>
    <x v="9"/>
    <x v="0"/>
    <x v="177"/>
    <x v="123"/>
    <x v="8"/>
    <x v="70"/>
    <x v="287"/>
    <x v="854"/>
    <x v="199"/>
    <x v="6"/>
    <x v="56"/>
    <x v="737"/>
    <x v="0"/>
    <x v="8"/>
    <x v="1"/>
    <x v="21"/>
    <x v="0"/>
    <x v="1"/>
  </r>
  <r>
    <x v="121"/>
    <x v="0"/>
    <x v="252"/>
    <x v="0"/>
    <x v="4"/>
    <x v="0"/>
    <x v="0"/>
    <x v="0"/>
    <x v="9"/>
    <x v="0"/>
    <x v="195"/>
    <x v="62"/>
    <x v="8"/>
    <x v="29"/>
    <x v="283"/>
    <x v="856"/>
    <x v="199"/>
    <x v="6"/>
    <x v="56"/>
    <x v="736"/>
    <x v="0"/>
    <x v="8"/>
    <x v="1"/>
    <x v="21"/>
    <x v="0"/>
    <x v="1"/>
  </r>
  <r>
    <x v="929"/>
    <x v="13"/>
    <x v="251"/>
    <x v="9"/>
    <x v="7"/>
    <x v="0"/>
    <x v="1"/>
    <x v="209"/>
    <x v="9"/>
    <x v="0"/>
    <x v="187"/>
    <x v="25"/>
    <x v="8"/>
    <x v="147"/>
    <x v="288"/>
    <x v="857"/>
    <x v="199"/>
    <x v="6"/>
    <x v="42"/>
    <x v="735"/>
    <x v="0"/>
    <x v="8"/>
    <x v="1"/>
    <x v="21"/>
    <x v="2"/>
    <x v="1"/>
  </r>
  <r>
    <x v="199"/>
    <x v="1"/>
    <x v="250"/>
    <x v="5"/>
    <x v="3"/>
    <x v="0"/>
    <x v="1"/>
    <x v="260"/>
    <x v="9"/>
    <x v="0"/>
    <x v="142"/>
    <x v="218"/>
    <x v="8"/>
    <x v="13"/>
    <x v="893"/>
    <x v="97"/>
    <x v="124"/>
    <x v="6"/>
    <x v="56"/>
    <x v="734"/>
    <x v="0"/>
    <x v="8"/>
    <x v="1"/>
    <x v="21"/>
    <x v="0"/>
    <x v="1"/>
  </r>
  <r>
    <x v="31"/>
    <x v="0"/>
    <x v="189"/>
    <x v="9"/>
    <x v="7"/>
    <x v="3"/>
    <x v="0"/>
    <x v="66"/>
    <x v="9"/>
    <x v="0"/>
    <x v="73"/>
    <x v="130"/>
    <x v="8"/>
    <x v="32"/>
    <x v="591"/>
    <x v="437"/>
    <x v="385"/>
    <x v="6"/>
    <x v="20"/>
    <x v="733"/>
    <x v="0"/>
    <x v="8"/>
    <x v="1"/>
    <x v="21"/>
    <x v="0"/>
    <x v="4"/>
  </r>
  <r>
    <x v="177"/>
    <x v="1"/>
    <x v="839"/>
    <x v="8"/>
    <x v="6"/>
    <x v="0"/>
    <x v="0"/>
    <x v="33"/>
    <x v="9"/>
    <x v="0"/>
    <x v="174"/>
    <x v="78"/>
    <x v="8"/>
    <x v="56"/>
    <x v="881"/>
    <x v="397"/>
    <x v="284"/>
    <x v="1"/>
    <x v="36"/>
    <x v="732"/>
    <x v="0"/>
    <x v="8"/>
    <x v="1"/>
    <x v="21"/>
    <x v="0"/>
    <x v="1"/>
  </r>
  <r>
    <x v="545"/>
    <x v="4"/>
    <x v="808"/>
    <x v="5"/>
    <x v="3"/>
    <x v="0"/>
    <x v="1"/>
    <x v="153"/>
    <x v="9"/>
    <x v="0"/>
    <x v="183"/>
    <x v="78"/>
    <x v="8"/>
    <x v="20"/>
    <x v="646"/>
    <x v="155"/>
    <x v="368"/>
    <x v="6"/>
    <x v="56"/>
    <x v="731"/>
    <x v="0"/>
    <x v="8"/>
    <x v="1"/>
    <x v="21"/>
    <x v="0"/>
    <x v="1"/>
  </r>
  <r>
    <x v="571"/>
    <x v="4"/>
    <x v="712"/>
    <x v="9"/>
    <x v="5"/>
    <x v="0"/>
    <x v="1"/>
    <x v="264"/>
    <x v="9"/>
    <x v="0"/>
    <x v="59"/>
    <x v="5"/>
    <x v="8"/>
    <x v="16"/>
    <x v="845"/>
    <x v="671"/>
    <x v="291"/>
    <x v="1"/>
    <x v="56"/>
    <x v="730"/>
    <x v="0"/>
    <x v="8"/>
    <x v="1"/>
    <x v="21"/>
    <x v="0"/>
    <x v="1"/>
  </r>
  <r>
    <x v="118"/>
    <x v="0"/>
    <x v="470"/>
    <x v="7"/>
    <x v="6"/>
    <x v="3"/>
    <x v="1"/>
    <x v="10"/>
    <x v="9"/>
    <x v="0"/>
    <x v="19"/>
    <x v="221"/>
    <x v="8"/>
    <x v="16"/>
    <x v="28"/>
    <x v="970"/>
    <x v="21"/>
    <x v="6"/>
    <x v="31"/>
    <x v="729"/>
    <x v="0"/>
    <x v="8"/>
    <x v="1"/>
    <x v="21"/>
    <x v="0"/>
    <x v="4"/>
  </r>
  <r>
    <x v="139"/>
    <x v="0"/>
    <x v="432"/>
    <x v="6"/>
    <x v="6"/>
    <x v="3"/>
    <x v="1"/>
    <x v="6"/>
    <x v="9"/>
    <x v="0"/>
    <x v="6"/>
    <x v="224"/>
    <x v="8"/>
    <x v="20"/>
    <x v="29"/>
    <x v="971"/>
    <x v="64"/>
    <x v="6"/>
    <x v="31"/>
    <x v="728"/>
    <x v="0"/>
    <x v="8"/>
    <x v="1"/>
    <x v="21"/>
    <x v="0"/>
    <x v="4"/>
  </r>
  <r>
    <x v="927"/>
    <x v="13"/>
    <x v="431"/>
    <x v="9"/>
    <x v="8"/>
    <x v="1"/>
    <x v="1"/>
    <x v="317"/>
    <x v="9"/>
    <x v="0"/>
    <x v="40"/>
    <x v="87"/>
    <x v="8"/>
    <x v="45"/>
    <x v="27"/>
    <x v="968"/>
    <x v="21"/>
    <x v="6"/>
    <x v="31"/>
    <x v="727"/>
    <x v="0"/>
    <x v="8"/>
    <x v="1"/>
    <x v="21"/>
    <x v="2"/>
    <x v="2"/>
  </r>
  <r>
    <x v="258"/>
    <x v="1"/>
    <x v="973"/>
    <x v="9"/>
    <x v="7"/>
    <x v="2"/>
    <x v="0"/>
    <x v="354"/>
    <x v="9"/>
    <x v="0"/>
    <x v="10"/>
    <x v="115"/>
    <x v="8"/>
    <x v="9"/>
    <x v="907"/>
    <x v="334"/>
    <x v="363"/>
    <x v="2"/>
    <x v="22"/>
    <x v="726"/>
    <x v="0"/>
    <x v="8"/>
    <x v="1"/>
    <x v="21"/>
    <x v="0"/>
    <x v="3"/>
  </r>
  <r>
    <x v="194"/>
    <x v="1"/>
    <x v="644"/>
    <x v="3"/>
    <x v="2"/>
    <x v="0"/>
    <x v="0"/>
    <x v="21"/>
    <x v="9"/>
    <x v="0"/>
    <x v="202"/>
    <x v="47"/>
    <x v="8"/>
    <x v="389"/>
    <x v="435"/>
    <x v="497"/>
    <x v="338"/>
    <x v="6"/>
    <x v="20"/>
    <x v="725"/>
    <x v="0"/>
    <x v="8"/>
    <x v="1"/>
    <x v="21"/>
    <x v="0"/>
    <x v="1"/>
  </r>
  <r>
    <x v="505"/>
    <x v="3"/>
    <x v="577"/>
    <x v="3"/>
    <x v="5"/>
    <x v="0"/>
    <x v="1"/>
    <x v="54"/>
    <x v="9"/>
    <x v="0"/>
    <x v="295"/>
    <x v="11"/>
    <x v="8"/>
    <x v="154"/>
    <x v="387"/>
    <x v="749"/>
    <x v="182"/>
    <x v="6"/>
    <x v="35"/>
    <x v="724"/>
    <x v="0"/>
    <x v="8"/>
    <x v="1"/>
    <x v="21"/>
    <x v="0"/>
    <x v="1"/>
  </r>
  <r>
    <x v="603"/>
    <x v="4"/>
    <x v="801"/>
    <x v="2"/>
    <x v="2"/>
    <x v="0"/>
    <x v="1"/>
    <x v="68"/>
    <x v="9"/>
    <x v="0"/>
    <x v="313"/>
    <x v="3"/>
    <x v="8"/>
    <x v="380"/>
    <x v="167"/>
    <x v="13"/>
    <x v="125"/>
    <x v="6"/>
    <x v="14"/>
    <x v="723"/>
    <x v="0"/>
    <x v="8"/>
    <x v="1"/>
    <x v="21"/>
    <x v="0"/>
    <x v="1"/>
  </r>
  <r>
    <x v="633"/>
    <x v="5"/>
    <x v="23"/>
    <x v="5"/>
    <x v="5"/>
    <x v="0"/>
    <x v="1"/>
    <x v="175"/>
    <x v="9"/>
    <x v="0"/>
    <x v="63"/>
    <x v="87"/>
    <x v="8"/>
    <x v="65"/>
    <x v="41"/>
    <x v="987"/>
    <x v="132"/>
    <x v="6"/>
    <x v="56"/>
    <x v="722"/>
    <x v="0"/>
    <x v="8"/>
    <x v="1"/>
    <x v="21"/>
    <x v="1"/>
    <x v="1"/>
  </r>
  <r>
    <x v="514"/>
    <x v="3"/>
    <x v="984"/>
    <x v="4"/>
    <x v="2"/>
    <x v="0"/>
    <x v="1"/>
    <x v="51"/>
    <x v="9"/>
    <x v="0"/>
    <x v="78"/>
    <x v="17"/>
    <x v="8"/>
    <x v="356"/>
    <x v="476"/>
    <x v="789"/>
    <x v="382"/>
    <x v="6"/>
    <x v="35"/>
    <x v="721"/>
    <x v="0"/>
    <x v="8"/>
    <x v="1"/>
    <x v="21"/>
    <x v="0"/>
    <x v="1"/>
  </r>
  <r>
    <x v="468"/>
    <x v="3"/>
    <x v="797"/>
    <x v="6"/>
    <x v="5"/>
    <x v="3"/>
    <x v="0"/>
    <x v="216"/>
    <x v="9"/>
    <x v="0"/>
    <x v="184"/>
    <x v="55"/>
    <x v="8"/>
    <x v="224"/>
    <x v="727"/>
    <x v="425"/>
    <x v="89"/>
    <x v="1"/>
    <x v="29"/>
    <x v="720"/>
    <x v="0"/>
    <x v="8"/>
    <x v="1"/>
    <x v="21"/>
    <x v="0"/>
    <x v="4"/>
  </r>
  <r>
    <x v="784"/>
    <x v="7"/>
    <x v="387"/>
    <x v="6"/>
    <x v="4"/>
    <x v="0"/>
    <x v="1"/>
    <x v="116"/>
    <x v="9"/>
    <x v="0"/>
    <x v="339"/>
    <x v="30"/>
    <x v="8"/>
    <x v="51"/>
    <x v="125"/>
    <x v="969"/>
    <x v="466"/>
    <x v="6"/>
    <x v="56"/>
    <x v="719"/>
    <x v="0"/>
    <x v="8"/>
    <x v="1"/>
    <x v="21"/>
    <x v="1"/>
    <x v="1"/>
  </r>
  <r>
    <x v="914"/>
    <x v="12"/>
    <x v="935"/>
    <x v="5"/>
    <x v="5"/>
    <x v="0"/>
    <x v="1"/>
    <x v="212"/>
    <x v="9"/>
    <x v="0"/>
    <x v="282"/>
    <x v="30"/>
    <x v="8"/>
    <x v="318"/>
    <x v="713"/>
    <x v="730"/>
    <x v="333"/>
    <x v="6"/>
    <x v="56"/>
    <x v="718"/>
    <x v="0"/>
    <x v="8"/>
    <x v="1"/>
    <x v="21"/>
    <x v="2"/>
    <x v="1"/>
  </r>
  <r>
    <x v="290"/>
    <x v="1"/>
    <x v="18"/>
    <x v="4"/>
    <x v="5"/>
    <x v="0"/>
    <x v="0"/>
    <x v="15"/>
    <x v="9"/>
    <x v="0"/>
    <x v="228"/>
    <x v="47"/>
    <x v="8"/>
    <x v="178"/>
    <x v="508"/>
    <x v="470"/>
    <x v="445"/>
    <x v="6"/>
    <x v="20"/>
    <x v="717"/>
    <x v="0"/>
    <x v="8"/>
    <x v="1"/>
    <x v="21"/>
    <x v="0"/>
    <x v="1"/>
  </r>
  <r>
    <x v="783"/>
    <x v="7"/>
    <x v="907"/>
    <x v="1"/>
    <x v="5"/>
    <x v="0"/>
    <x v="1"/>
    <x v="115"/>
    <x v="9"/>
    <x v="0"/>
    <x v="360"/>
    <x v="109"/>
    <x v="8"/>
    <x v="220"/>
    <x v="14"/>
    <x v="317"/>
    <x v="436"/>
    <x v="6"/>
    <x v="56"/>
    <x v="716"/>
    <x v="0"/>
    <x v="8"/>
    <x v="1"/>
    <x v="21"/>
    <x v="1"/>
    <x v="1"/>
  </r>
  <r>
    <x v="530"/>
    <x v="4"/>
    <x v="906"/>
    <x v="3"/>
    <x v="2"/>
    <x v="0"/>
    <x v="1"/>
    <x v="68"/>
    <x v="9"/>
    <x v="0"/>
    <x v="357"/>
    <x v="71"/>
    <x v="8"/>
    <x v="351"/>
    <x v="133"/>
    <x v="14"/>
    <x v="502"/>
    <x v="6"/>
    <x v="56"/>
    <x v="715"/>
    <x v="0"/>
    <x v="8"/>
    <x v="1"/>
    <x v="21"/>
    <x v="0"/>
    <x v="1"/>
  </r>
  <r>
    <x v="561"/>
    <x v="4"/>
    <x v="594"/>
    <x v="8"/>
    <x v="6"/>
    <x v="0"/>
    <x v="1"/>
    <x v="104"/>
    <x v="9"/>
    <x v="0"/>
    <x v="124"/>
    <x v="55"/>
    <x v="8"/>
    <x v="121"/>
    <x v="544"/>
    <x v="188"/>
    <x v="388"/>
    <x v="5"/>
    <x v="12"/>
    <x v="714"/>
    <x v="0"/>
    <x v="8"/>
    <x v="1"/>
    <x v="21"/>
    <x v="0"/>
    <x v="1"/>
  </r>
  <r>
    <x v="376"/>
    <x v="2"/>
    <x v="593"/>
    <x v="5"/>
    <x v="6"/>
    <x v="0"/>
    <x v="1"/>
    <x v="79"/>
    <x v="9"/>
    <x v="0"/>
    <x v="136"/>
    <x v="87"/>
    <x v="8"/>
    <x v="49"/>
    <x v="543"/>
    <x v="187"/>
    <x v="283"/>
    <x v="5"/>
    <x v="12"/>
    <x v="713"/>
    <x v="0"/>
    <x v="8"/>
    <x v="1"/>
    <x v="21"/>
    <x v="0"/>
    <x v="1"/>
  </r>
  <r>
    <x v="650"/>
    <x v="5"/>
    <x v="901"/>
    <x v="7"/>
    <x v="6"/>
    <x v="0"/>
    <x v="1"/>
    <x v="85"/>
    <x v="9"/>
    <x v="0"/>
    <x v="50"/>
    <x v="30"/>
    <x v="8"/>
    <x v="94"/>
    <x v="211"/>
    <x v="926"/>
    <x v="311"/>
    <x v="6"/>
    <x v="54"/>
    <x v="712"/>
    <x v="0"/>
    <x v="8"/>
    <x v="1"/>
    <x v="21"/>
    <x v="1"/>
    <x v="1"/>
  </r>
  <r>
    <x v="926"/>
    <x v="13"/>
    <x v="515"/>
    <x v="9"/>
    <x v="8"/>
    <x v="1"/>
    <x v="1"/>
    <x v="271"/>
    <x v="9"/>
    <x v="0"/>
    <x v="146"/>
    <x v="37"/>
    <x v="8"/>
    <x v="77"/>
    <x v="542"/>
    <x v="185"/>
    <x v="283"/>
    <x v="5"/>
    <x v="12"/>
    <x v="711"/>
    <x v="0"/>
    <x v="8"/>
    <x v="1"/>
    <x v="21"/>
    <x v="2"/>
    <x v="2"/>
  </r>
  <r>
    <x v="662"/>
    <x v="5"/>
    <x v="477"/>
    <x v="9"/>
    <x v="8"/>
    <x v="2"/>
    <x v="1"/>
    <x v="346"/>
    <x v="9"/>
    <x v="0"/>
    <x v="24"/>
    <x v="159"/>
    <x v="8"/>
    <x v="20"/>
    <x v="789"/>
    <x v="624"/>
    <x v="209"/>
    <x v="1"/>
    <x v="23"/>
    <x v="710"/>
    <x v="0"/>
    <x v="8"/>
    <x v="1"/>
    <x v="21"/>
    <x v="1"/>
    <x v="3"/>
  </r>
  <r>
    <x v="587"/>
    <x v="4"/>
    <x v="413"/>
    <x v="6"/>
    <x v="5"/>
    <x v="3"/>
    <x v="0"/>
    <x v="178"/>
    <x v="9"/>
    <x v="0"/>
    <x v="267"/>
    <x v="30"/>
    <x v="8"/>
    <x v="276"/>
    <x v="736"/>
    <x v="427"/>
    <x v="264"/>
    <x v="1"/>
    <x v="29"/>
    <x v="709"/>
    <x v="0"/>
    <x v="8"/>
    <x v="1"/>
    <x v="21"/>
    <x v="0"/>
    <x v="4"/>
  </r>
  <r>
    <x v="248"/>
    <x v="1"/>
    <x v="296"/>
    <x v="6"/>
    <x v="3"/>
    <x v="0"/>
    <x v="0"/>
    <x v="73"/>
    <x v="9"/>
    <x v="0"/>
    <x v="76"/>
    <x v="55"/>
    <x v="8"/>
    <x v="330"/>
    <x v="827"/>
    <x v="391"/>
    <x v="27"/>
    <x v="1"/>
    <x v="0"/>
    <x v="708"/>
    <x v="0"/>
    <x v="8"/>
    <x v="1"/>
    <x v="21"/>
    <x v="0"/>
    <x v="1"/>
  </r>
  <r>
    <x v="319"/>
    <x v="2"/>
    <x v="199"/>
    <x v="7"/>
    <x v="4"/>
    <x v="0"/>
    <x v="1"/>
    <x v="32"/>
    <x v="9"/>
    <x v="0"/>
    <x v="371"/>
    <x v="115"/>
    <x v="8"/>
    <x v="109"/>
    <x v="244"/>
    <x v="898"/>
    <x v="433"/>
    <x v="6"/>
    <x v="54"/>
    <x v="707"/>
    <x v="0"/>
    <x v="8"/>
    <x v="1"/>
    <x v="21"/>
    <x v="0"/>
    <x v="1"/>
  </r>
  <r>
    <x v="317"/>
    <x v="2"/>
    <x v="171"/>
    <x v="7"/>
    <x v="5"/>
    <x v="0"/>
    <x v="1"/>
    <x v="31"/>
    <x v="9"/>
    <x v="0"/>
    <x v="369"/>
    <x v="71"/>
    <x v="8"/>
    <x v="94"/>
    <x v="243"/>
    <x v="899"/>
    <x v="433"/>
    <x v="6"/>
    <x v="54"/>
    <x v="706"/>
    <x v="0"/>
    <x v="8"/>
    <x v="1"/>
    <x v="21"/>
    <x v="0"/>
    <x v="1"/>
  </r>
  <r>
    <x v="592"/>
    <x v="4"/>
    <x v="84"/>
    <x v="7"/>
    <x v="5"/>
    <x v="0"/>
    <x v="1"/>
    <x v="69"/>
    <x v="9"/>
    <x v="0"/>
    <x v="118"/>
    <x v="115"/>
    <x v="8"/>
    <x v="103"/>
    <x v="241"/>
    <x v="904"/>
    <x v="359"/>
    <x v="6"/>
    <x v="54"/>
    <x v="705"/>
    <x v="0"/>
    <x v="8"/>
    <x v="1"/>
    <x v="21"/>
    <x v="0"/>
    <x v="1"/>
  </r>
  <r>
    <x v="936"/>
    <x v="13"/>
    <x v="40"/>
    <x v="4"/>
    <x v="2"/>
    <x v="0"/>
    <x v="0"/>
    <x v="203"/>
    <x v="9"/>
    <x v="0"/>
    <x v="372"/>
    <x v="78"/>
    <x v="8"/>
    <x v="94"/>
    <x v="433"/>
    <x v="424"/>
    <x v="443"/>
    <x v="6"/>
    <x v="56"/>
    <x v="704"/>
    <x v="0"/>
    <x v="8"/>
    <x v="1"/>
    <x v="21"/>
    <x v="2"/>
    <x v="1"/>
  </r>
  <r>
    <x v="773"/>
    <x v="7"/>
    <x v="953"/>
    <x v="3"/>
    <x v="6"/>
    <x v="0"/>
    <x v="1"/>
    <x v="116"/>
    <x v="9"/>
    <x v="0"/>
    <x v="97"/>
    <x v="55"/>
    <x v="8"/>
    <x v="308"/>
    <x v="959"/>
    <x v="843"/>
    <x v="272"/>
    <x v="1"/>
    <x v="39"/>
    <x v="703"/>
    <x v="0"/>
    <x v="8"/>
    <x v="1"/>
    <x v="21"/>
    <x v="1"/>
    <x v="1"/>
  </r>
  <r>
    <x v="720"/>
    <x v="6"/>
    <x v="776"/>
    <x v="7"/>
    <x v="6"/>
    <x v="0"/>
    <x v="1"/>
    <x v="313"/>
    <x v="0"/>
    <x v="0"/>
    <x v="0"/>
    <x v="0"/>
    <x v="5"/>
    <x v="267"/>
    <x v="985"/>
    <x v="84"/>
    <x v="347"/>
    <x v="3"/>
    <x v="53"/>
    <x v="702"/>
    <x v="0"/>
    <x v="5"/>
    <x v="1"/>
    <x v="21"/>
    <x v="1"/>
    <x v="1"/>
  </r>
  <r>
    <x v="212"/>
    <x v="1"/>
    <x v="685"/>
    <x v="3"/>
    <x v="3"/>
    <x v="0"/>
    <x v="1"/>
    <x v="17"/>
    <x v="9"/>
    <x v="0"/>
    <x v="225"/>
    <x v="236"/>
    <x v="8"/>
    <x v="20"/>
    <x v="718"/>
    <x v="115"/>
    <x v="216"/>
    <x v="6"/>
    <x v="56"/>
    <x v="701"/>
    <x v="0"/>
    <x v="8"/>
    <x v="1"/>
    <x v="21"/>
    <x v="0"/>
    <x v="1"/>
  </r>
  <r>
    <x v="391"/>
    <x v="2"/>
    <x v="435"/>
    <x v="5"/>
    <x v="5"/>
    <x v="0"/>
    <x v="1"/>
    <x v="55"/>
    <x v="9"/>
    <x v="0"/>
    <x v="18"/>
    <x v="95"/>
    <x v="8"/>
    <x v="168"/>
    <x v="902"/>
    <x v="703"/>
    <x v="427"/>
    <x v="1"/>
    <x v="23"/>
    <x v="700"/>
    <x v="0"/>
    <x v="8"/>
    <x v="1"/>
    <x v="21"/>
    <x v="0"/>
    <x v="1"/>
  </r>
  <r>
    <x v="51"/>
    <x v="0"/>
    <x v="323"/>
    <x v="3"/>
    <x v="5"/>
    <x v="0"/>
    <x v="1"/>
    <x v="1"/>
    <x v="9"/>
    <x v="0"/>
    <x v="274"/>
    <x v="95"/>
    <x v="8"/>
    <x v="32"/>
    <x v="585"/>
    <x v="586"/>
    <x v="416"/>
    <x v="6"/>
    <x v="20"/>
    <x v="699"/>
    <x v="0"/>
    <x v="8"/>
    <x v="1"/>
    <x v="21"/>
    <x v="0"/>
    <x v="1"/>
  </r>
  <r>
    <x v="372"/>
    <x v="2"/>
    <x v="70"/>
    <x v="8"/>
    <x v="6"/>
    <x v="1"/>
    <x v="0"/>
    <x v="314"/>
    <x v="9"/>
    <x v="0"/>
    <x v="182"/>
    <x v="47"/>
    <x v="8"/>
    <x v="185"/>
    <x v="747"/>
    <x v="423"/>
    <x v="154"/>
    <x v="1"/>
    <x v="19"/>
    <x v="698"/>
    <x v="0"/>
    <x v="8"/>
    <x v="1"/>
    <x v="21"/>
    <x v="0"/>
    <x v="2"/>
  </r>
  <r>
    <x v="245"/>
    <x v="1"/>
    <x v="583"/>
    <x v="8"/>
    <x v="5"/>
    <x v="0"/>
    <x v="1"/>
    <x v="94"/>
    <x v="9"/>
    <x v="0"/>
    <x v="33"/>
    <x v="172"/>
    <x v="8"/>
    <x v="226"/>
    <x v="686"/>
    <x v="141"/>
    <x v="255"/>
    <x v="6"/>
    <x v="26"/>
    <x v="697"/>
    <x v="0"/>
    <x v="8"/>
    <x v="1"/>
    <x v="20"/>
    <x v="0"/>
    <x v="1"/>
  </r>
  <r>
    <x v="531"/>
    <x v="4"/>
    <x v="280"/>
    <x v="8"/>
    <x v="4"/>
    <x v="0"/>
    <x v="0"/>
    <x v="73"/>
    <x v="9"/>
    <x v="0"/>
    <x v="266"/>
    <x v="30"/>
    <x v="8"/>
    <x v="79"/>
    <x v="463"/>
    <x v="614"/>
    <x v="20"/>
    <x v="6"/>
    <x v="20"/>
    <x v="696"/>
    <x v="0"/>
    <x v="8"/>
    <x v="1"/>
    <x v="20"/>
    <x v="0"/>
    <x v="1"/>
  </r>
  <r>
    <x v="743"/>
    <x v="7"/>
    <x v="220"/>
    <x v="4"/>
    <x v="6"/>
    <x v="0"/>
    <x v="0"/>
    <x v="134"/>
    <x v="9"/>
    <x v="0"/>
    <x v="112"/>
    <x v="62"/>
    <x v="8"/>
    <x v="82"/>
    <x v="865"/>
    <x v="393"/>
    <x v="284"/>
    <x v="1"/>
    <x v="45"/>
    <x v="695"/>
    <x v="0"/>
    <x v="8"/>
    <x v="1"/>
    <x v="20"/>
    <x v="1"/>
    <x v="1"/>
  </r>
  <r>
    <x v="330"/>
    <x v="2"/>
    <x v="866"/>
    <x v="2"/>
    <x v="2"/>
    <x v="0"/>
    <x v="0"/>
    <x v="31"/>
    <x v="9"/>
    <x v="0"/>
    <x v="203"/>
    <x v="71"/>
    <x v="8"/>
    <x v="386"/>
    <x v="309"/>
    <x v="262"/>
    <x v="452"/>
    <x v="5"/>
    <x v="7"/>
    <x v="694"/>
    <x v="0"/>
    <x v="8"/>
    <x v="1"/>
    <x v="20"/>
    <x v="0"/>
    <x v="1"/>
  </r>
  <r>
    <x v="874"/>
    <x v="11"/>
    <x v="807"/>
    <x v="5"/>
    <x v="3"/>
    <x v="0"/>
    <x v="0"/>
    <x v="174"/>
    <x v="9"/>
    <x v="0"/>
    <x v="259"/>
    <x v="5"/>
    <x v="8"/>
    <x v="391"/>
    <x v="297"/>
    <x v="269"/>
    <x v="155"/>
    <x v="5"/>
    <x v="37"/>
    <x v="693"/>
    <x v="0"/>
    <x v="8"/>
    <x v="1"/>
    <x v="20"/>
    <x v="2"/>
    <x v="1"/>
  </r>
  <r>
    <x v="872"/>
    <x v="11"/>
    <x v="806"/>
    <x v="6"/>
    <x v="4"/>
    <x v="0"/>
    <x v="1"/>
    <x v="207"/>
    <x v="9"/>
    <x v="0"/>
    <x v="281"/>
    <x v="5"/>
    <x v="8"/>
    <x v="387"/>
    <x v="291"/>
    <x v="271"/>
    <x v="155"/>
    <x v="5"/>
    <x v="37"/>
    <x v="692"/>
    <x v="0"/>
    <x v="8"/>
    <x v="1"/>
    <x v="20"/>
    <x v="2"/>
    <x v="1"/>
  </r>
  <r>
    <x v="451"/>
    <x v="3"/>
    <x v="614"/>
    <x v="5"/>
    <x v="5"/>
    <x v="0"/>
    <x v="1"/>
    <x v="53"/>
    <x v="9"/>
    <x v="0"/>
    <x v="160"/>
    <x v="71"/>
    <x v="8"/>
    <x v="31"/>
    <x v="312"/>
    <x v="841"/>
    <x v="73"/>
    <x v="6"/>
    <x v="42"/>
    <x v="691"/>
    <x v="0"/>
    <x v="8"/>
    <x v="1"/>
    <x v="20"/>
    <x v="0"/>
    <x v="1"/>
  </r>
  <r>
    <x v="45"/>
    <x v="0"/>
    <x v="582"/>
    <x v="7"/>
    <x v="6"/>
    <x v="1"/>
    <x v="0"/>
    <x v="234"/>
    <x v="9"/>
    <x v="0"/>
    <x v="0"/>
    <x v="0"/>
    <x v="8"/>
    <x v="22"/>
    <x v="874"/>
    <x v="336"/>
    <x v="229"/>
    <x v="2"/>
    <x v="15"/>
    <x v="690"/>
    <x v="0"/>
    <x v="8"/>
    <x v="1"/>
    <x v="20"/>
    <x v="0"/>
    <x v="2"/>
  </r>
  <r>
    <x v="340"/>
    <x v="2"/>
    <x v="430"/>
    <x v="5"/>
    <x v="3"/>
    <x v="0"/>
    <x v="0"/>
    <x v="40"/>
    <x v="9"/>
    <x v="0"/>
    <x v="147"/>
    <x v="55"/>
    <x v="8"/>
    <x v="26"/>
    <x v="784"/>
    <x v="609"/>
    <x v="251"/>
    <x v="6"/>
    <x v="56"/>
    <x v="689"/>
    <x v="0"/>
    <x v="8"/>
    <x v="1"/>
    <x v="20"/>
    <x v="0"/>
    <x v="1"/>
  </r>
  <r>
    <x v="594"/>
    <x v="4"/>
    <x v="364"/>
    <x v="5"/>
    <x v="5"/>
    <x v="0"/>
    <x v="0"/>
    <x v="79"/>
    <x v="9"/>
    <x v="0"/>
    <x v="80"/>
    <x v="192"/>
    <x v="8"/>
    <x v="20"/>
    <x v="85"/>
    <x v="241"/>
    <x v="102"/>
    <x v="6"/>
    <x v="56"/>
    <x v="688"/>
    <x v="0"/>
    <x v="8"/>
    <x v="1"/>
    <x v="20"/>
    <x v="0"/>
    <x v="1"/>
  </r>
  <r>
    <x v="590"/>
    <x v="4"/>
    <x v="363"/>
    <x v="6"/>
    <x v="5"/>
    <x v="0"/>
    <x v="1"/>
    <x v="91"/>
    <x v="9"/>
    <x v="0"/>
    <x v="74"/>
    <x v="159"/>
    <x v="8"/>
    <x v="26"/>
    <x v="86"/>
    <x v="242"/>
    <x v="102"/>
    <x v="6"/>
    <x v="56"/>
    <x v="687"/>
    <x v="0"/>
    <x v="8"/>
    <x v="1"/>
    <x v="20"/>
    <x v="0"/>
    <x v="1"/>
  </r>
  <r>
    <x v="307"/>
    <x v="1"/>
    <x v="247"/>
    <x v="7"/>
    <x v="3"/>
    <x v="0"/>
    <x v="0"/>
    <x v="19"/>
    <x v="9"/>
    <x v="0"/>
    <x v="253"/>
    <x v="153"/>
    <x v="8"/>
    <x v="20"/>
    <x v="606"/>
    <x v="426"/>
    <x v="305"/>
    <x v="6"/>
    <x v="56"/>
    <x v="686"/>
    <x v="0"/>
    <x v="8"/>
    <x v="1"/>
    <x v="20"/>
    <x v="0"/>
    <x v="1"/>
  </r>
  <r>
    <x v="481"/>
    <x v="3"/>
    <x v="216"/>
    <x v="7"/>
    <x v="6"/>
    <x v="0"/>
    <x v="1"/>
    <x v="143"/>
    <x v="9"/>
    <x v="0"/>
    <x v="15"/>
    <x v="188"/>
    <x v="8"/>
    <x v="168"/>
    <x v="67"/>
    <x v="254"/>
    <x v="326"/>
    <x v="5"/>
    <x v="9"/>
    <x v="685"/>
    <x v="0"/>
    <x v="8"/>
    <x v="1"/>
    <x v="20"/>
    <x v="0"/>
    <x v="1"/>
  </r>
  <r>
    <x v="91"/>
    <x v="0"/>
    <x v="125"/>
    <x v="5"/>
    <x v="6"/>
    <x v="0"/>
    <x v="0"/>
    <x v="7"/>
    <x v="9"/>
    <x v="0"/>
    <x v="155"/>
    <x v="87"/>
    <x v="8"/>
    <x v="72"/>
    <x v="317"/>
    <x v="555"/>
    <x v="261"/>
    <x v="6"/>
    <x v="20"/>
    <x v="684"/>
    <x v="0"/>
    <x v="8"/>
    <x v="1"/>
    <x v="20"/>
    <x v="0"/>
    <x v="1"/>
  </r>
  <r>
    <x v="864"/>
    <x v="10"/>
    <x v="862"/>
    <x v="8"/>
    <x v="6"/>
    <x v="1"/>
    <x v="0"/>
    <x v="308"/>
    <x v="9"/>
    <x v="0"/>
    <x v="53"/>
    <x v="62"/>
    <x v="8"/>
    <x v="340"/>
    <x v="833"/>
    <x v="384"/>
    <x v="146"/>
    <x v="1"/>
    <x v="0"/>
    <x v="683"/>
    <x v="0"/>
    <x v="8"/>
    <x v="1"/>
    <x v="20"/>
    <x v="2"/>
    <x v="2"/>
  </r>
  <r>
    <x v="713"/>
    <x v="6"/>
    <x v="678"/>
    <x v="6"/>
    <x v="5"/>
    <x v="0"/>
    <x v="1"/>
    <x v="104"/>
    <x v="9"/>
    <x v="0"/>
    <x v="48"/>
    <x v="11"/>
    <x v="8"/>
    <x v="275"/>
    <x v="234"/>
    <x v="922"/>
    <x v="359"/>
    <x v="6"/>
    <x v="54"/>
    <x v="682"/>
    <x v="0"/>
    <x v="8"/>
    <x v="1"/>
    <x v="20"/>
    <x v="1"/>
    <x v="1"/>
  </r>
  <r>
    <x v="232"/>
    <x v="1"/>
    <x v="800"/>
    <x v="7"/>
    <x v="6"/>
    <x v="0"/>
    <x v="0"/>
    <x v="15"/>
    <x v="9"/>
    <x v="0"/>
    <x v="232"/>
    <x v="25"/>
    <x v="8"/>
    <x v="59"/>
    <x v="530"/>
    <x v="626"/>
    <x v="434"/>
    <x v="6"/>
    <x v="20"/>
    <x v="681"/>
    <x v="0"/>
    <x v="8"/>
    <x v="1"/>
    <x v="20"/>
    <x v="0"/>
    <x v="1"/>
  </r>
  <r>
    <x v="219"/>
    <x v="1"/>
    <x v="708"/>
    <x v="5"/>
    <x v="6"/>
    <x v="0"/>
    <x v="1"/>
    <x v="129"/>
    <x v="9"/>
    <x v="0"/>
    <x v="106"/>
    <x v="30"/>
    <x v="8"/>
    <x v="136"/>
    <x v="59"/>
    <x v="260"/>
    <x v="153"/>
    <x v="5"/>
    <x v="9"/>
    <x v="680"/>
    <x v="0"/>
    <x v="8"/>
    <x v="1"/>
    <x v="20"/>
    <x v="0"/>
    <x v="1"/>
  </r>
  <r>
    <x v="397"/>
    <x v="2"/>
    <x v="574"/>
    <x v="5"/>
    <x v="6"/>
    <x v="0"/>
    <x v="0"/>
    <x v="56"/>
    <x v="9"/>
    <x v="0"/>
    <x v="84"/>
    <x v="172"/>
    <x v="8"/>
    <x v="92"/>
    <x v="62"/>
    <x v="245"/>
    <x v="153"/>
    <x v="6"/>
    <x v="9"/>
    <x v="679"/>
    <x v="0"/>
    <x v="8"/>
    <x v="1"/>
    <x v="20"/>
    <x v="0"/>
    <x v="1"/>
  </r>
  <r>
    <x v="103"/>
    <x v="0"/>
    <x v="573"/>
    <x v="6"/>
    <x v="6"/>
    <x v="0"/>
    <x v="0"/>
    <x v="7"/>
    <x v="9"/>
    <x v="0"/>
    <x v="70"/>
    <x v="229"/>
    <x v="8"/>
    <x v="107"/>
    <x v="63"/>
    <x v="248"/>
    <x v="153"/>
    <x v="6"/>
    <x v="9"/>
    <x v="678"/>
    <x v="0"/>
    <x v="8"/>
    <x v="1"/>
    <x v="20"/>
    <x v="0"/>
    <x v="1"/>
  </r>
  <r>
    <x v="642"/>
    <x v="5"/>
    <x v="540"/>
    <x v="8"/>
    <x v="6"/>
    <x v="0"/>
    <x v="0"/>
    <x v="116"/>
    <x v="9"/>
    <x v="0"/>
    <x v="89"/>
    <x v="25"/>
    <x v="8"/>
    <x v="114"/>
    <x v="61"/>
    <x v="255"/>
    <x v="153"/>
    <x v="5"/>
    <x v="9"/>
    <x v="677"/>
    <x v="0"/>
    <x v="8"/>
    <x v="1"/>
    <x v="20"/>
    <x v="1"/>
    <x v="1"/>
  </r>
  <r>
    <x v="974"/>
    <x v="20"/>
    <x v="539"/>
    <x v="9"/>
    <x v="7"/>
    <x v="1"/>
    <x v="1"/>
    <x v="341"/>
    <x v="9"/>
    <x v="0"/>
    <x v="62"/>
    <x v="71"/>
    <x v="8"/>
    <x v="85"/>
    <x v="60"/>
    <x v="249"/>
    <x v="153"/>
    <x v="6"/>
    <x v="9"/>
    <x v="676"/>
    <x v="0"/>
    <x v="8"/>
    <x v="1"/>
    <x v="20"/>
    <x v="3"/>
    <x v="2"/>
  </r>
  <r>
    <x v="417"/>
    <x v="2"/>
    <x v="427"/>
    <x v="5"/>
    <x v="4"/>
    <x v="0"/>
    <x v="1"/>
    <x v="46"/>
    <x v="9"/>
    <x v="0"/>
    <x v="129"/>
    <x v="248"/>
    <x v="8"/>
    <x v="20"/>
    <x v="748"/>
    <x v="113"/>
    <x v="474"/>
    <x v="6"/>
    <x v="56"/>
    <x v="675"/>
    <x v="0"/>
    <x v="8"/>
    <x v="1"/>
    <x v="20"/>
    <x v="0"/>
    <x v="1"/>
  </r>
  <r>
    <x v="40"/>
    <x v="0"/>
    <x v="386"/>
    <x v="0"/>
    <x v="4"/>
    <x v="0"/>
    <x v="1"/>
    <x v="0"/>
    <x v="9"/>
    <x v="0"/>
    <x v="205"/>
    <x v="47"/>
    <x v="8"/>
    <x v="5"/>
    <x v="306"/>
    <x v="838"/>
    <x v="133"/>
    <x v="6"/>
    <x v="56"/>
    <x v="674"/>
    <x v="0"/>
    <x v="8"/>
    <x v="1"/>
    <x v="20"/>
    <x v="0"/>
    <x v="1"/>
  </r>
  <r>
    <x v="206"/>
    <x v="1"/>
    <x v="311"/>
    <x v="3"/>
    <x v="4"/>
    <x v="0"/>
    <x v="1"/>
    <x v="15"/>
    <x v="9"/>
    <x v="0"/>
    <x v="190"/>
    <x v="78"/>
    <x v="8"/>
    <x v="82"/>
    <x v="305"/>
    <x v="839"/>
    <x v="252"/>
    <x v="6"/>
    <x v="56"/>
    <x v="673"/>
    <x v="0"/>
    <x v="8"/>
    <x v="1"/>
    <x v="20"/>
    <x v="0"/>
    <x v="1"/>
  </r>
  <r>
    <x v="641"/>
    <x v="5"/>
    <x v="881"/>
    <x v="9"/>
    <x v="6"/>
    <x v="0"/>
    <x v="1"/>
    <x v="92"/>
    <x v="9"/>
    <x v="0"/>
    <x v="365"/>
    <x v="17"/>
    <x v="8"/>
    <x v="174"/>
    <x v="495"/>
    <x v="657"/>
    <x v="8"/>
    <x v="6"/>
    <x v="20"/>
    <x v="672"/>
    <x v="0"/>
    <x v="8"/>
    <x v="1"/>
    <x v="20"/>
    <x v="1"/>
    <x v="1"/>
  </r>
  <r>
    <x v="604"/>
    <x v="4"/>
    <x v="880"/>
    <x v="4"/>
    <x v="6"/>
    <x v="0"/>
    <x v="1"/>
    <x v="69"/>
    <x v="9"/>
    <x v="0"/>
    <x v="37"/>
    <x v="183"/>
    <x v="8"/>
    <x v="120"/>
    <x v="946"/>
    <x v="63"/>
    <x v="128"/>
    <x v="6"/>
    <x v="56"/>
    <x v="671"/>
    <x v="0"/>
    <x v="8"/>
    <x v="1"/>
    <x v="20"/>
    <x v="0"/>
    <x v="1"/>
  </r>
  <r>
    <x v="669"/>
    <x v="5"/>
    <x v="600"/>
    <x v="8"/>
    <x v="5"/>
    <x v="0"/>
    <x v="1"/>
    <x v="89"/>
    <x v="9"/>
    <x v="0"/>
    <x v="350"/>
    <x v="95"/>
    <x v="8"/>
    <x v="22"/>
    <x v="294"/>
    <x v="880"/>
    <x v="226"/>
    <x v="6"/>
    <x v="56"/>
    <x v="670"/>
    <x v="0"/>
    <x v="8"/>
    <x v="1"/>
    <x v="20"/>
    <x v="1"/>
    <x v="1"/>
  </r>
  <r>
    <x v="23"/>
    <x v="0"/>
    <x v="527"/>
    <x v="4"/>
    <x v="3"/>
    <x v="0"/>
    <x v="1"/>
    <x v="28"/>
    <x v="9"/>
    <x v="0"/>
    <x v="127"/>
    <x v="78"/>
    <x v="8"/>
    <x v="72"/>
    <x v="669"/>
    <x v="309"/>
    <x v="53"/>
    <x v="6"/>
    <x v="56"/>
    <x v="669"/>
    <x v="0"/>
    <x v="8"/>
    <x v="1"/>
    <x v="20"/>
    <x v="0"/>
    <x v="1"/>
  </r>
  <r>
    <x v="344"/>
    <x v="2"/>
    <x v="307"/>
    <x v="4"/>
    <x v="4"/>
    <x v="0"/>
    <x v="1"/>
    <x v="31"/>
    <x v="9"/>
    <x v="0"/>
    <x v="154"/>
    <x v="11"/>
    <x v="8"/>
    <x v="26"/>
    <x v="307"/>
    <x v="840"/>
    <x v="252"/>
    <x v="6"/>
    <x v="42"/>
    <x v="668"/>
    <x v="0"/>
    <x v="8"/>
    <x v="1"/>
    <x v="20"/>
    <x v="0"/>
    <x v="1"/>
  </r>
  <r>
    <x v="144"/>
    <x v="0"/>
    <x v="764"/>
    <x v="3"/>
    <x v="3"/>
    <x v="0"/>
    <x v="0"/>
    <x v="2"/>
    <x v="9"/>
    <x v="0"/>
    <x v="217"/>
    <x v="11"/>
    <x v="8"/>
    <x v="354"/>
    <x v="757"/>
    <x v="663"/>
    <x v="67"/>
    <x v="6"/>
    <x v="56"/>
    <x v="667"/>
    <x v="0"/>
    <x v="8"/>
    <x v="1"/>
    <x v="20"/>
    <x v="0"/>
    <x v="1"/>
  </r>
  <r>
    <x v="933"/>
    <x v="13"/>
    <x v="961"/>
    <x v="6"/>
    <x v="2"/>
    <x v="0"/>
    <x v="1"/>
    <x v="266"/>
    <x v="9"/>
    <x v="0"/>
    <x v="172"/>
    <x v="17"/>
    <x v="8"/>
    <x v="399"/>
    <x v="760"/>
    <x v="667"/>
    <x v="67"/>
    <x v="6"/>
    <x v="56"/>
    <x v="666"/>
    <x v="0"/>
    <x v="8"/>
    <x v="1"/>
    <x v="20"/>
    <x v="2"/>
    <x v="1"/>
  </r>
  <r>
    <x v="437"/>
    <x v="3"/>
    <x v="929"/>
    <x v="5"/>
    <x v="5"/>
    <x v="0"/>
    <x v="1"/>
    <x v="92"/>
    <x v="0"/>
    <x v="0"/>
    <x v="0"/>
    <x v="0"/>
    <x v="5"/>
    <x v="217"/>
    <x v="979"/>
    <x v="78"/>
    <x v="480"/>
    <x v="6"/>
    <x v="56"/>
    <x v="665"/>
    <x v="0"/>
    <x v="5"/>
    <x v="1"/>
    <x v="20"/>
    <x v="0"/>
    <x v="1"/>
  </r>
  <r>
    <x v="455"/>
    <x v="3"/>
    <x v="728"/>
    <x v="1"/>
    <x v="4"/>
    <x v="0"/>
    <x v="1"/>
    <x v="49"/>
    <x v="9"/>
    <x v="0"/>
    <x v="288"/>
    <x v="62"/>
    <x v="8"/>
    <x v="20"/>
    <x v="271"/>
    <x v="872"/>
    <x v="199"/>
    <x v="6"/>
    <x v="56"/>
    <x v="664"/>
    <x v="0"/>
    <x v="8"/>
    <x v="1"/>
    <x v="20"/>
    <x v="0"/>
    <x v="1"/>
  </r>
  <r>
    <x v="554"/>
    <x v="4"/>
    <x v="727"/>
    <x v="1"/>
    <x v="3"/>
    <x v="0"/>
    <x v="1"/>
    <x v="67"/>
    <x v="9"/>
    <x v="0"/>
    <x v="311"/>
    <x v="95"/>
    <x v="8"/>
    <x v="24"/>
    <x v="272"/>
    <x v="873"/>
    <x v="199"/>
    <x v="6"/>
    <x v="56"/>
    <x v="663"/>
    <x v="0"/>
    <x v="8"/>
    <x v="1"/>
    <x v="20"/>
    <x v="0"/>
    <x v="1"/>
  </r>
  <r>
    <x v="457"/>
    <x v="3"/>
    <x v="664"/>
    <x v="1"/>
    <x v="3"/>
    <x v="0"/>
    <x v="1"/>
    <x v="49"/>
    <x v="9"/>
    <x v="0"/>
    <x v="322"/>
    <x v="37"/>
    <x v="8"/>
    <x v="22"/>
    <x v="281"/>
    <x v="875"/>
    <x v="226"/>
    <x v="6"/>
    <x v="56"/>
    <x v="662"/>
    <x v="0"/>
    <x v="8"/>
    <x v="1"/>
    <x v="20"/>
    <x v="0"/>
    <x v="1"/>
  </r>
  <r>
    <x v="474"/>
    <x v="3"/>
    <x v="380"/>
    <x v="8"/>
    <x v="5"/>
    <x v="0"/>
    <x v="1"/>
    <x v="136"/>
    <x v="9"/>
    <x v="0"/>
    <x v="144"/>
    <x v="1"/>
    <x v="8"/>
    <x v="136"/>
    <x v="877"/>
    <x v="685"/>
    <x v="2"/>
    <x v="1"/>
    <x v="23"/>
    <x v="661"/>
    <x v="0"/>
    <x v="8"/>
    <x v="1"/>
    <x v="20"/>
    <x v="0"/>
    <x v="1"/>
  </r>
  <r>
    <x v="816"/>
    <x v="8"/>
    <x v="379"/>
    <x v="8"/>
    <x v="6"/>
    <x v="1"/>
    <x v="0"/>
    <x v="322"/>
    <x v="9"/>
    <x v="0"/>
    <x v="60"/>
    <x v="11"/>
    <x v="8"/>
    <x v="44"/>
    <x v="759"/>
    <x v="406"/>
    <x v="301"/>
    <x v="1"/>
    <x v="30"/>
    <x v="660"/>
    <x v="0"/>
    <x v="8"/>
    <x v="1"/>
    <x v="20"/>
    <x v="1"/>
    <x v="2"/>
  </r>
  <r>
    <x v="694"/>
    <x v="6"/>
    <x v="201"/>
    <x v="1"/>
    <x v="5"/>
    <x v="0"/>
    <x v="1"/>
    <x v="101"/>
    <x v="9"/>
    <x v="0"/>
    <x v="305"/>
    <x v="11"/>
    <x v="8"/>
    <x v="20"/>
    <x v="344"/>
    <x v="815"/>
    <x v="341"/>
    <x v="6"/>
    <x v="56"/>
    <x v="659"/>
    <x v="0"/>
    <x v="8"/>
    <x v="1"/>
    <x v="20"/>
    <x v="1"/>
    <x v="1"/>
  </r>
  <r>
    <x v="845"/>
    <x v="10"/>
    <x v="142"/>
    <x v="7"/>
    <x v="7"/>
    <x v="0"/>
    <x v="1"/>
    <x v="159"/>
    <x v="9"/>
    <x v="0"/>
    <x v="134"/>
    <x v="95"/>
    <x v="8"/>
    <x v="185"/>
    <x v="414"/>
    <x v="779"/>
    <x v="204"/>
    <x v="6"/>
    <x v="35"/>
    <x v="658"/>
    <x v="0"/>
    <x v="8"/>
    <x v="1"/>
    <x v="20"/>
    <x v="2"/>
    <x v="1"/>
  </r>
  <r>
    <x v="434"/>
    <x v="3"/>
    <x v="16"/>
    <x v="5"/>
    <x v="5"/>
    <x v="0"/>
    <x v="1"/>
    <x v="52"/>
    <x v="9"/>
    <x v="0"/>
    <x v="108"/>
    <x v="103"/>
    <x v="8"/>
    <x v="163"/>
    <x v="423"/>
    <x v="776"/>
    <x v="204"/>
    <x v="6"/>
    <x v="35"/>
    <x v="657"/>
    <x v="0"/>
    <x v="8"/>
    <x v="1"/>
    <x v="20"/>
    <x v="0"/>
    <x v="1"/>
  </r>
  <r>
    <x v="332"/>
    <x v="2"/>
    <x v="959"/>
    <x v="5"/>
    <x v="5"/>
    <x v="0"/>
    <x v="1"/>
    <x v="32"/>
    <x v="9"/>
    <x v="0"/>
    <x v="128"/>
    <x v="17"/>
    <x v="8"/>
    <x v="124"/>
    <x v="418"/>
    <x v="775"/>
    <x v="204"/>
    <x v="6"/>
    <x v="35"/>
    <x v="656"/>
    <x v="0"/>
    <x v="8"/>
    <x v="1"/>
    <x v="20"/>
    <x v="0"/>
    <x v="1"/>
  </r>
  <r>
    <x v="363"/>
    <x v="2"/>
    <x v="850"/>
    <x v="7"/>
    <x v="6"/>
    <x v="3"/>
    <x v="0"/>
    <x v="232"/>
    <x v="9"/>
    <x v="0"/>
    <x v="66"/>
    <x v="25"/>
    <x v="8"/>
    <x v="91"/>
    <x v="758"/>
    <x v="405"/>
    <x v="202"/>
    <x v="1"/>
    <x v="30"/>
    <x v="655"/>
    <x v="0"/>
    <x v="8"/>
    <x v="1"/>
    <x v="20"/>
    <x v="0"/>
    <x v="4"/>
  </r>
  <r>
    <x v="278"/>
    <x v="1"/>
    <x v="820"/>
    <x v="8"/>
    <x v="6"/>
    <x v="3"/>
    <x v="0"/>
    <x v="68"/>
    <x v="9"/>
    <x v="0"/>
    <x v="179"/>
    <x v="47"/>
    <x v="8"/>
    <x v="20"/>
    <x v="765"/>
    <x v="404"/>
    <x v="59"/>
    <x v="1"/>
    <x v="30"/>
    <x v="654"/>
    <x v="0"/>
    <x v="8"/>
    <x v="1"/>
    <x v="20"/>
    <x v="0"/>
    <x v="4"/>
  </r>
  <r>
    <x v="928"/>
    <x v="13"/>
    <x v="819"/>
    <x v="8"/>
    <x v="8"/>
    <x v="2"/>
    <x v="0"/>
    <x v="353"/>
    <x v="9"/>
    <x v="0"/>
    <x v="188"/>
    <x v="17"/>
    <x v="8"/>
    <x v="11"/>
    <x v="766"/>
    <x v="403"/>
    <x v="59"/>
    <x v="1"/>
    <x v="30"/>
    <x v="653"/>
    <x v="0"/>
    <x v="8"/>
    <x v="1"/>
    <x v="20"/>
    <x v="2"/>
    <x v="3"/>
  </r>
  <r>
    <x v="44"/>
    <x v="0"/>
    <x v="560"/>
    <x v="0"/>
    <x v="4"/>
    <x v="0"/>
    <x v="1"/>
    <x v="0"/>
    <x v="9"/>
    <x v="0"/>
    <x v="293"/>
    <x v="189"/>
    <x v="8"/>
    <x v="20"/>
    <x v="213"/>
    <x v="8"/>
    <x v="19"/>
    <x v="6"/>
    <x v="56"/>
    <x v="652"/>
    <x v="0"/>
    <x v="8"/>
    <x v="1"/>
    <x v="20"/>
    <x v="0"/>
    <x v="1"/>
  </r>
  <r>
    <x v="142"/>
    <x v="0"/>
    <x v="955"/>
    <x v="2"/>
    <x v="4"/>
    <x v="0"/>
    <x v="1"/>
    <x v="0"/>
    <x v="9"/>
    <x v="0"/>
    <x v="332"/>
    <x v="173"/>
    <x v="8"/>
    <x v="22"/>
    <x v="220"/>
    <x v="58"/>
    <x v="145"/>
    <x v="6"/>
    <x v="56"/>
    <x v="651"/>
    <x v="0"/>
    <x v="8"/>
    <x v="1"/>
    <x v="20"/>
    <x v="0"/>
    <x v="1"/>
  </r>
  <r>
    <x v="859"/>
    <x v="10"/>
    <x v="924"/>
    <x v="6"/>
    <x v="6"/>
    <x v="0"/>
    <x v="1"/>
    <x v="162"/>
    <x v="9"/>
    <x v="0"/>
    <x v="58"/>
    <x v="71"/>
    <x v="8"/>
    <x v="152"/>
    <x v="442"/>
    <x v="785"/>
    <x v="204"/>
    <x v="6"/>
    <x v="35"/>
    <x v="650"/>
    <x v="0"/>
    <x v="8"/>
    <x v="1"/>
    <x v="20"/>
    <x v="2"/>
    <x v="1"/>
  </r>
  <r>
    <x v="629"/>
    <x v="5"/>
    <x v="876"/>
    <x v="4"/>
    <x v="5"/>
    <x v="0"/>
    <x v="0"/>
    <x v="90"/>
    <x v="9"/>
    <x v="0"/>
    <x v="137"/>
    <x v="17"/>
    <x v="8"/>
    <x v="364"/>
    <x v="342"/>
    <x v="534"/>
    <x v="262"/>
    <x v="6"/>
    <x v="20"/>
    <x v="649"/>
    <x v="0"/>
    <x v="8"/>
    <x v="1"/>
    <x v="20"/>
    <x v="1"/>
    <x v="1"/>
  </r>
  <r>
    <x v="411"/>
    <x v="2"/>
    <x v="505"/>
    <x v="5"/>
    <x v="4"/>
    <x v="0"/>
    <x v="1"/>
    <x v="52"/>
    <x v="9"/>
    <x v="0"/>
    <x v="194"/>
    <x v="78"/>
    <x v="8"/>
    <x v="92"/>
    <x v="886"/>
    <x v="706"/>
    <x v="274"/>
    <x v="6"/>
    <x v="56"/>
    <x v="648"/>
    <x v="0"/>
    <x v="8"/>
    <x v="1"/>
    <x v="20"/>
    <x v="0"/>
    <x v="1"/>
  </r>
  <r>
    <x v="318"/>
    <x v="2"/>
    <x v="330"/>
    <x v="4"/>
    <x v="5"/>
    <x v="0"/>
    <x v="1"/>
    <x v="38"/>
    <x v="9"/>
    <x v="0"/>
    <x v="207"/>
    <x v="47"/>
    <x v="8"/>
    <x v="333"/>
    <x v="114"/>
    <x v="296"/>
    <x v="118"/>
    <x v="5"/>
    <x v="3"/>
    <x v="647"/>
    <x v="0"/>
    <x v="8"/>
    <x v="1"/>
    <x v="20"/>
    <x v="0"/>
    <x v="1"/>
  </r>
  <r>
    <x v="509"/>
    <x v="3"/>
    <x v="749"/>
    <x v="1"/>
    <x v="3"/>
    <x v="0"/>
    <x v="1"/>
    <x v="49"/>
    <x v="9"/>
    <x v="0"/>
    <x v="201"/>
    <x v="25"/>
    <x v="8"/>
    <x v="331"/>
    <x v="200"/>
    <x v="943"/>
    <x v="360"/>
    <x v="6"/>
    <x v="54"/>
    <x v="646"/>
    <x v="0"/>
    <x v="8"/>
    <x v="1"/>
    <x v="20"/>
    <x v="0"/>
    <x v="1"/>
  </r>
  <r>
    <x v="53"/>
    <x v="0"/>
    <x v="190"/>
    <x v="1"/>
    <x v="3"/>
    <x v="0"/>
    <x v="1"/>
    <x v="0"/>
    <x v="9"/>
    <x v="0"/>
    <x v="321"/>
    <x v="227"/>
    <x v="8"/>
    <x v="9"/>
    <x v="598"/>
    <x v="180"/>
    <x v="376"/>
    <x v="6"/>
    <x v="56"/>
    <x v="645"/>
    <x v="0"/>
    <x v="8"/>
    <x v="1"/>
    <x v="20"/>
    <x v="0"/>
    <x v="1"/>
  </r>
  <r>
    <x v="216"/>
    <x v="1"/>
    <x v="249"/>
    <x v="7"/>
    <x v="5"/>
    <x v="0"/>
    <x v="1"/>
    <x v="47"/>
    <x v="9"/>
    <x v="0"/>
    <x v="231"/>
    <x v="192"/>
    <x v="8"/>
    <x v="72"/>
    <x v="618"/>
    <x v="179"/>
    <x v="376"/>
    <x v="6"/>
    <x v="34"/>
    <x v="644"/>
    <x v="0"/>
    <x v="8"/>
    <x v="1"/>
    <x v="19"/>
    <x v="0"/>
    <x v="1"/>
  </r>
  <r>
    <x v="176"/>
    <x v="1"/>
    <x v="219"/>
    <x v="1"/>
    <x v="4"/>
    <x v="0"/>
    <x v="1"/>
    <x v="14"/>
    <x v="9"/>
    <x v="0"/>
    <x v="278"/>
    <x v="17"/>
    <x v="8"/>
    <x v="92"/>
    <x v="370"/>
    <x v="813"/>
    <x v="341"/>
    <x v="6"/>
    <x v="56"/>
    <x v="643"/>
    <x v="0"/>
    <x v="8"/>
    <x v="1"/>
    <x v="19"/>
    <x v="0"/>
    <x v="1"/>
  </r>
  <r>
    <x v="169"/>
    <x v="1"/>
    <x v="63"/>
    <x v="1"/>
    <x v="2"/>
    <x v="0"/>
    <x v="0"/>
    <x v="14"/>
    <x v="9"/>
    <x v="0"/>
    <x v="242"/>
    <x v="3"/>
    <x v="8"/>
    <x v="389"/>
    <x v="600"/>
    <x v="543"/>
    <x v="410"/>
    <x v="6"/>
    <x v="38"/>
    <x v="642"/>
    <x v="0"/>
    <x v="8"/>
    <x v="1"/>
    <x v="19"/>
    <x v="0"/>
    <x v="1"/>
  </r>
  <r>
    <x v="453"/>
    <x v="3"/>
    <x v="865"/>
    <x v="6"/>
    <x v="4"/>
    <x v="0"/>
    <x v="1"/>
    <x v="51"/>
    <x v="9"/>
    <x v="0"/>
    <x v="143"/>
    <x v="71"/>
    <x v="8"/>
    <x v="144"/>
    <x v="563"/>
    <x v="579"/>
    <x v="459"/>
    <x v="6"/>
    <x v="20"/>
    <x v="641"/>
    <x v="0"/>
    <x v="8"/>
    <x v="1"/>
    <x v="19"/>
    <x v="0"/>
    <x v="1"/>
  </r>
  <r>
    <x v="21"/>
    <x v="0"/>
    <x v="711"/>
    <x v="5"/>
    <x v="4"/>
    <x v="0"/>
    <x v="1"/>
    <x v="2"/>
    <x v="9"/>
    <x v="0"/>
    <x v="156"/>
    <x v="3"/>
    <x v="8"/>
    <x v="136"/>
    <x v="569"/>
    <x v="591"/>
    <x v="470"/>
    <x v="6"/>
    <x v="20"/>
    <x v="640"/>
    <x v="0"/>
    <x v="8"/>
    <x v="1"/>
    <x v="19"/>
    <x v="0"/>
    <x v="1"/>
  </r>
  <r>
    <x v="353"/>
    <x v="2"/>
    <x v="552"/>
    <x v="7"/>
    <x v="3"/>
    <x v="0"/>
    <x v="1"/>
    <x v="37"/>
    <x v="9"/>
    <x v="0"/>
    <x v="110"/>
    <x v="115"/>
    <x v="8"/>
    <x v="82"/>
    <x v="39"/>
    <x v="991"/>
    <x v="132"/>
    <x v="6"/>
    <x v="56"/>
    <x v="639"/>
    <x v="0"/>
    <x v="8"/>
    <x v="1"/>
    <x v="19"/>
    <x v="0"/>
    <x v="1"/>
  </r>
  <r>
    <x v="695"/>
    <x v="6"/>
    <x v="500"/>
    <x v="4"/>
    <x v="5"/>
    <x v="0"/>
    <x v="1"/>
    <x v="103"/>
    <x v="9"/>
    <x v="0"/>
    <x v="140"/>
    <x v="62"/>
    <x v="8"/>
    <x v="165"/>
    <x v="561"/>
    <x v="578"/>
    <x v="459"/>
    <x v="6"/>
    <x v="20"/>
    <x v="638"/>
    <x v="0"/>
    <x v="8"/>
    <x v="1"/>
    <x v="19"/>
    <x v="1"/>
    <x v="1"/>
  </r>
  <r>
    <x v="284"/>
    <x v="1"/>
    <x v="215"/>
    <x v="2"/>
    <x v="5"/>
    <x v="0"/>
    <x v="1"/>
    <x v="15"/>
    <x v="9"/>
    <x v="0"/>
    <x v="286"/>
    <x v="25"/>
    <x v="8"/>
    <x v="183"/>
    <x v="389"/>
    <x v="746"/>
    <x v="126"/>
    <x v="6"/>
    <x v="35"/>
    <x v="637"/>
    <x v="0"/>
    <x v="8"/>
    <x v="1"/>
    <x v="19"/>
    <x v="0"/>
    <x v="1"/>
  </r>
  <r>
    <x v="735"/>
    <x v="6"/>
    <x v="31"/>
    <x v="3"/>
    <x v="5"/>
    <x v="0"/>
    <x v="1"/>
    <x v="101"/>
    <x v="9"/>
    <x v="0"/>
    <x v="323"/>
    <x v="25"/>
    <x v="8"/>
    <x v="353"/>
    <x v="169"/>
    <x v="24"/>
    <x v="125"/>
    <x v="6"/>
    <x v="56"/>
    <x v="636"/>
    <x v="0"/>
    <x v="8"/>
    <x v="1"/>
    <x v="19"/>
    <x v="1"/>
    <x v="1"/>
  </r>
  <r>
    <x v="811"/>
    <x v="8"/>
    <x v="467"/>
    <x v="8"/>
    <x v="5"/>
    <x v="3"/>
    <x v="1"/>
    <x v="217"/>
    <x v="9"/>
    <x v="0"/>
    <x v="109"/>
    <x v="62"/>
    <x v="8"/>
    <x v="147"/>
    <x v="651"/>
    <x v="161"/>
    <x v="159"/>
    <x v="6"/>
    <x v="56"/>
    <x v="635"/>
    <x v="0"/>
    <x v="8"/>
    <x v="1"/>
    <x v="19"/>
    <x v="1"/>
    <x v="4"/>
  </r>
  <r>
    <x v="384"/>
    <x v="2"/>
    <x v="572"/>
    <x v="5"/>
    <x v="4"/>
    <x v="0"/>
    <x v="1"/>
    <x v="62"/>
    <x v="9"/>
    <x v="0"/>
    <x v="39"/>
    <x v="11"/>
    <x v="8"/>
    <x v="271"/>
    <x v="667"/>
    <x v="718"/>
    <x v="351"/>
    <x v="6"/>
    <x v="56"/>
    <x v="634"/>
    <x v="0"/>
    <x v="8"/>
    <x v="1"/>
    <x v="19"/>
    <x v="0"/>
    <x v="1"/>
  </r>
  <r>
    <x v="479"/>
    <x v="3"/>
    <x v="796"/>
    <x v="6"/>
    <x v="5"/>
    <x v="0"/>
    <x v="1"/>
    <x v="76"/>
    <x v="9"/>
    <x v="0"/>
    <x v="314"/>
    <x v="62"/>
    <x v="8"/>
    <x v="238"/>
    <x v="237"/>
    <x v="224"/>
    <x v="24"/>
    <x v="5"/>
    <x v="37"/>
    <x v="633"/>
    <x v="0"/>
    <x v="8"/>
    <x v="1"/>
    <x v="19"/>
    <x v="0"/>
    <x v="1"/>
  </r>
  <r>
    <x v="602"/>
    <x v="4"/>
    <x v="93"/>
    <x v="0"/>
    <x v="3"/>
    <x v="0"/>
    <x v="1"/>
    <x v="67"/>
    <x v="9"/>
    <x v="0"/>
    <x v="366"/>
    <x v="17"/>
    <x v="8"/>
    <x v="32"/>
    <x v="549"/>
    <x v="732"/>
    <x v="270"/>
    <x v="6"/>
    <x v="56"/>
    <x v="632"/>
    <x v="0"/>
    <x v="8"/>
    <x v="1"/>
    <x v="19"/>
    <x v="0"/>
    <x v="1"/>
  </r>
  <r>
    <x v="603"/>
    <x v="4"/>
    <x v="701"/>
    <x v="0"/>
    <x v="5"/>
    <x v="0"/>
    <x v="1"/>
    <x v="67"/>
    <x v="9"/>
    <x v="0"/>
    <x v="308"/>
    <x v="37"/>
    <x v="8"/>
    <x v="390"/>
    <x v="166"/>
    <x v="10"/>
    <x v="125"/>
    <x v="6"/>
    <x v="14"/>
    <x v="631"/>
    <x v="0"/>
    <x v="8"/>
    <x v="1"/>
    <x v="19"/>
    <x v="0"/>
    <x v="1"/>
  </r>
  <r>
    <x v="29"/>
    <x v="0"/>
    <x v="352"/>
    <x v="5"/>
    <x v="3"/>
    <x v="0"/>
    <x v="1"/>
    <x v="44"/>
    <x v="9"/>
    <x v="0"/>
    <x v="227"/>
    <x v="3"/>
    <x v="8"/>
    <x v="72"/>
    <x v="838"/>
    <x v="694"/>
    <x v="291"/>
    <x v="6"/>
    <x v="56"/>
    <x v="630"/>
    <x v="0"/>
    <x v="8"/>
    <x v="1"/>
    <x v="19"/>
    <x v="0"/>
    <x v="1"/>
  </r>
  <r>
    <x v="576"/>
    <x v="4"/>
    <x v="207"/>
    <x v="8"/>
    <x v="6"/>
    <x v="1"/>
    <x v="1"/>
    <x v="251"/>
    <x v="9"/>
    <x v="0"/>
    <x v="16"/>
    <x v="212"/>
    <x v="8"/>
    <x v="182"/>
    <x v="680"/>
    <x v="143"/>
    <x v="369"/>
    <x v="6"/>
    <x v="26"/>
    <x v="629"/>
    <x v="0"/>
    <x v="8"/>
    <x v="1"/>
    <x v="19"/>
    <x v="0"/>
    <x v="2"/>
  </r>
  <r>
    <x v="48"/>
    <x v="0"/>
    <x v="116"/>
    <x v="0"/>
    <x v="3"/>
    <x v="0"/>
    <x v="1"/>
    <x v="0"/>
    <x v="9"/>
    <x v="0"/>
    <x v="208"/>
    <x v="37"/>
    <x v="8"/>
    <x v="72"/>
    <x v="380"/>
    <x v="790"/>
    <x v="204"/>
    <x v="6"/>
    <x v="56"/>
    <x v="628"/>
    <x v="0"/>
    <x v="8"/>
    <x v="1"/>
    <x v="19"/>
    <x v="0"/>
    <x v="1"/>
  </r>
  <r>
    <x v="361"/>
    <x v="2"/>
    <x v="933"/>
    <x v="0"/>
    <x v="4"/>
    <x v="0"/>
    <x v="1"/>
    <x v="31"/>
    <x v="9"/>
    <x v="0"/>
    <x v="370"/>
    <x v="195"/>
    <x v="8"/>
    <x v="59"/>
    <x v="229"/>
    <x v="46"/>
    <x v="257"/>
    <x v="6"/>
    <x v="56"/>
    <x v="627"/>
    <x v="0"/>
    <x v="8"/>
    <x v="1"/>
    <x v="19"/>
    <x v="0"/>
    <x v="1"/>
  </r>
  <r>
    <x v="610"/>
    <x v="4"/>
    <x v="932"/>
    <x v="0"/>
    <x v="4"/>
    <x v="0"/>
    <x v="1"/>
    <x v="67"/>
    <x v="9"/>
    <x v="0"/>
    <x v="340"/>
    <x v="115"/>
    <x v="8"/>
    <x v="9"/>
    <x v="15"/>
    <x v="316"/>
    <x v="436"/>
    <x v="6"/>
    <x v="56"/>
    <x v="626"/>
    <x v="0"/>
    <x v="8"/>
    <x v="1"/>
    <x v="19"/>
    <x v="0"/>
    <x v="1"/>
  </r>
  <r>
    <x v="950"/>
    <x v="14"/>
    <x v="763"/>
    <x v="6"/>
    <x v="7"/>
    <x v="0"/>
    <x v="1"/>
    <x v="210"/>
    <x v="9"/>
    <x v="0"/>
    <x v="5"/>
    <x v="95"/>
    <x v="8"/>
    <x v="247"/>
    <x v="943"/>
    <x v="986"/>
    <x v="383"/>
    <x v="3"/>
    <x v="53"/>
    <x v="625"/>
    <x v="0"/>
    <x v="8"/>
    <x v="1"/>
    <x v="19"/>
    <x v="2"/>
    <x v="1"/>
  </r>
  <r>
    <x v="422"/>
    <x v="2"/>
    <x v="762"/>
    <x v="0"/>
    <x v="4"/>
    <x v="0"/>
    <x v="0"/>
    <x v="31"/>
    <x v="9"/>
    <x v="0"/>
    <x v="69"/>
    <x v="192"/>
    <x v="7"/>
    <x v="105"/>
    <x v="79"/>
    <x v="29"/>
    <x v="193"/>
    <x v="6"/>
    <x v="56"/>
    <x v="624"/>
    <x v="0"/>
    <x v="7"/>
    <x v="1"/>
    <x v="19"/>
    <x v="0"/>
    <x v="1"/>
  </r>
  <r>
    <x v="152"/>
    <x v="0"/>
    <x v="761"/>
    <x v="0"/>
    <x v="4"/>
    <x v="0"/>
    <x v="0"/>
    <x v="0"/>
    <x v="9"/>
    <x v="0"/>
    <x v="73"/>
    <x v="147"/>
    <x v="7"/>
    <x v="20"/>
    <x v="80"/>
    <x v="30"/>
    <x v="193"/>
    <x v="6"/>
    <x v="56"/>
    <x v="623"/>
    <x v="0"/>
    <x v="7"/>
    <x v="1"/>
    <x v="19"/>
    <x v="0"/>
    <x v="1"/>
  </r>
  <r>
    <x v="606"/>
    <x v="4"/>
    <x v="760"/>
    <x v="0"/>
    <x v="4"/>
    <x v="0"/>
    <x v="1"/>
    <x v="67"/>
    <x v="9"/>
    <x v="0"/>
    <x v="71"/>
    <x v="172"/>
    <x v="8"/>
    <x v="72"/>
    <x v="78"/>
    <x v="26"/>
    <x v="193"/>
    <x v="6"/>
    <x v="56"/>
    <x v="622"/>
    <x v="0"/>
    <x v="8"/>
    <x v="1"/>
    <x v="19"/>
    <x v="0"/>
    <x v="1"/>
  </r>
  <r>
    <x v="556"/>
    <x v="4"/>
    <x v="790"/>
    <x v="9"/>
    <x v="6"/>
    <x v="0"/>
    <x v="0"/>
    <x v="204"/>
    <x v="9"/>
    <x v="0"/>
    <x v="31"/>
    <x v="115"/>
    <x v="8"/>
    <x v="5"/>
    <x v="892"/>
    <x v="346"/>
    <x v="181"/>
    <x v="2"/>
    <x v="15"/>
    <x v="621"/>
    <x v="0"/>
    <x v="8"/>
    <x v="1"/>
    <x v="19"/>
    <x v="0"/>
    <x v="1"/>
  </r>
  <r>
    <x v="12"/>
    <x v="0"/>
    <x v="417"/>
    <x v="7"/>
    <x v="4"/>
    <x v="0"/>
    <x v="1"/>
    <x v="34"/>
    <x v="9"/>
    <x v="0"/>
    <x v="272"/>
    <x v="162"/>
    <x v="8"/>
    <x v="20"/>
    <x v="611"/>
    <x v="182"/>
    <x v="376"/>
    <x v="6"/>
    <x v="56"/>
    <x v="620"/>
    <x v="0"/>
    <x v="8"/>
    <x v="1"/>
    <x v="19"/>
    <x v="0"/>
    <x v="1"/>
  </r>
  <r>
    <x v="223"/>
    <x v="1"/>
    <x v="15"/>
    <x v="0"/>
    <x v="4"/>
    <x v="0"/>
    <x v="1"/>
    <x v="14"/>
    <x v="9"/>
    <x v="0"/>
    <x v="283"/>
    <x v="5"/>
    <x v="8"/>
    <x v="244"/>
    <x v="143"/>
    <x v="962"/>
    <x v="161"/>
    <x v="6"/>
    <x v="56"/>
    <x v="619"/>
    <x v="0"/>
    <x v="8"/>
    <x v="1"/>
    <x v="19"/>
    <x v="0"/>
    <x v="1"/>
  </r>
  <r>
    <x v="6"/>
    <x v="0"/>
    <x v="783"/>
    <x v="4"/>
    <x v="5"/>
    <x v="0"/>
    <x v="1"/>
    <x v="141"/>
    <x v="9"/>
    <x v="0"/>
    <x v="0"/>
    <x v="0"/>
    <x v="8"/>
    <x v="20"/>
    <x v="927"/>
    <x v="96"/>
    <x v="490"/>
    <x v="6"/>
    <x v="56"/>
    <x v="618"/>
    <x v="0"/>
    <x v="8"/>
    <x v="1"/>
    <x v="19"/>
    <x v="0"/>
    <x v="1"/>
  </r>
  <r>
    <x v="861"/>
    <x v="10"/>
    <x v="628"/>
    <x v="0"/>
    <x v="5"/>
    <x v="0"/>
    <x v="1"/>
    <x v="157"/>
    <x v="9"/>
    <x v="0"/>
    <x v="304"/>
    <x v="47"/>
    <x v="8"/>
    <x v="160"/>
    <x v="360"/>
    <x v="820"/>
    <x v="341"/>
    <x v="6"/>
    <x v="56"/>
    <x v="617"/>
    <x v="0"/>
    <x v="8"/>
    <x v="1"/>
    <x v="19"/>
    <x v="2"/>
    <x v="1"/>
  </r>
  <r>
    <x v="269"/>
    <x v="1"/>
    <x v="627"/>
    <x v="0"/>
    <x v="5"/>
    <x v="0"/>
    <x v="1"/>
    <x v="14"/>
    <x v="9"/>
    <x v="0"/>
    <x v="302"/>
    <x v="11"/>
    <x v="8"/>
    <x v="120"/>
    <x v="362"/>
    <x v="822"/>
    <x v="341"/>
    <x v="6"/>
    <x v="35"/>
    <x v="616"/>
    <x v="0"/>
    <x v="8"/>
    <x v="1"/>
    <x v="19"/>
    <x v="0"/>
    <x v="1"/>
  </r>
  <r>
    <x v="774"/>
    <x v="7"/>
    <x v="591"/>
    <x v="8"/>
    <x v="6"/>
    <x v="3"/>
    <x v="1"/>
    <x v="233"/>
    <x v="9"/>
    <x v="0"/>
    <x v="213"/>
    <x v="197"/>
    <x v="8"/>
    <x v="94"/>
    <x v="700"/>
    <x v="124"/>
    <x v="106"/>
    <x v="3"/>
    <x v="26"/>
    <x v="615"/>
    <x v="0"/>
    <x v="8"/>
    <x v="1"/>
    <x v="19"/>
    <x v="1"/>
    <x v="4"/>
  </r>
  <r>
    <x v="282"/>
    <x v="1"/>
    <x v="412"/>
    <x v="0"/>
    <x v="5"/>
    <x v="0"/>
    <x v="0"/>
    <x v="14"/>
    <x v="9"/>
    <x v="0"/>
    <x v="245"/>
    <x v="95"/>
    <x v="8"/>
    <x v="20"/>
    <x v="269"/>
    <x v="865"/>
    <x v="199"/>
    <x v="6"/>
    <x v="56"/>
    <x v="614"/>
    <x v="0"/>
    <x v="8"/>
    <x v="1"/>
    <x v="19"/>
    <x v="0"/>
    <x v="1"/>
  </r>
  <r>
    <x v="822"/>
    <x v="9"/>
    <x v="411"/>
    <x v="0"/>
    <x v="5"/>
    <x v="0"/>
    <x v="1"/>
    <x v="144"/>
    <x v="9"/>
    <x v="0"/>
    <x v="261"/>
    <x v="55"/>
    <x v="8"/>
    <x v="144"/>
    <x v="266"/>
    <x v="864"/>
    <x v="199"/>
    <x v="6"/>
    <x v="56"/>
    <x v="613"/>
    <x v="0"/>
    <x v="8"/>
    <x v="1"/>
    <x v="19"/>
    <x v="1"/>
    <x v="1"/>
  </r>
  <r>
    <x v="889"/>
    <x v="11"/>
    <x v="375"/>
    <x v="0"/>
    <x v="6"/>
    <x v="0"/>
    <x v="1"/>
    <x v="171"/>
    <x v="9"/>
    <x v="0"/>
    <x v="257"/>
    <x v="25"/>
    <x v="8"/>
    <x v="86"/>
    <x v="267"/>
    <x v="866"/>
    <x v="199"/>
    <x v="6"/>
    <x v="56"/>
    <x v="612"/>
    <x v="0"/>
    <x v="8"/>
    <x v="1"/>
    <x v="19"/>
    <x v="2"/>
    <x v="1"/>
  </r>
  <r>
    <x v="191"/>
    <x v="1"/>
    <x v="347"/>
    <x v="6"/>
    <x v="4"/>
    <x v="0"/>
    <x v="1"/>
    <x v="21"/>
    <x v="9"/>
    <x v="0"/>
    <x v="72"/>
    <x v="78"/>
    <x v="8"/>
    <x v="275"/>
    <x v="642"/>
    <x v="170"/>
    <x v="56"/>
    <x v="6"/>
    <x v="32"/>
    <x v="611"/>
    <x v="0"/>
    <x v="8"/>
    <x v="1"/>
    <x v="19"/>
    <x v="0"/>
    <x v="1"/>
  </r>
  <r>
    <x v="120"/>
    <x v="0"/>
    <x v="346"/>
    <x v="0"/>
    <x v="5"/>
    <x v="0"/>
    <x v="1"/>
    <x v="0"/>
    <x v="9"/>
    <x v="0"/>
    <x v="301"/>
    <x v="47"/>
    <x v="8"/>
    <x v="72"/>
    <x v="357"/>
    <x v="818"/>
    <x v="341"/>
    <x v="6"/>
    <x v="56"/>
    <x v="610"/>
    <x v="0"/>
    <x v="8"/>
    <x v="1"/>
    <x v="19"/>
    <x v="0"/>
    <x v="1"/>
  </r>
  <r>
    <x v="722"/>
    <x v="6"/>
    <x v="345"/>
    <x v="0"/>
    <x v="6"/>
    <x v="0"/>
    <x v="1"/>
    <x v="101"/>
    <x v="9"/>
    <x v="0"/>
    <x v="296"/>
    <x v="87"/>
    <x v="8"/>
    <x v="199"/>
    <x v="364"/>
    <x v="821"/>
    <x v="341"/>
    <x v="6"/>
    <x v="35"/>
    <x v="609"/>
    <x v="0"/>
    <x v="8"/>
    <x v="1"/>
    <x v="19"/>
    <x v="1"/>
    <x v="1"/>
  </r>
  <r>
    <x v="910"/>
    <x v="12"/>
    <x v="83"/>
    <x v="8"/>
    <x v="8"/>
    <x v="3"/>
    <x v="1"/>
    <x v="248"/>
    <x v="9"/>
    <x v="0"/>
    <x v="103"/>
    <x v="193"/>
    <x v="8"/>
    <x v="84"/>
    <x v="154"/>
    <x v="279"/>
    <x v="160"/>
    <x v="6"/>
    <x v="56"/>
    <x v="608"/>
    <x v="0"/>
    <x v="8"/>
    <x v="1"/>
    <x v="19"/>
    <x v="2"/>
    <x v="4"/>
  </r>
  <r>
    <x v="89"/>
    <x v="0"/>
    <x v="82"/>
    <x v="7"/>
    <x v="6"/>
    <x v="0"/>
    <x v="0"/>
    <x v="14"/>
    <x v="9"/>
    <x v="0"/>
    <x v="82"/>
    <x v="240"/>
    <x v="8"/>
    <x v="95"/>
    <x v="157"/>
    <x v="277"/>
    <x v="160"/>
    <x v="6"/>
    <x v="56"/>
    <x v="607"/>
    <x v="0"/>
    <x v="8"/>
    <x v="1"/>
    <x v="19"/>
    <x v="0"/>
    <x v="1"/>
  </r>
  <r>
    <x v="597"/>
    <x v="4"/>
    <x v="14"/>
    <x v="0"/>
    <x v="4"/>
    <x v="0"/>
    <x v="0"/>
    <x v="67"/>
    <x v="9"/>
    <x v="0"/>
    <x v="82"/>
    <x v="247"/>
    <x v="8"/>
    <x v="115"/>
    <x v="165"/>
    <x v="270"/>
    <x v="160"/>
    <x v="6"/>
    <x v="56"/>
    <x v="606"/>
    <x v="0"/>
    <x v="8"/>
    <x v="1"/>
    <x v="19"/>
    <x v="0"/>
    <x v="1"/>
  </r>
  <r>
    <x v="970"/>
    <x v="19"/>
    <x v="13"/>
    <x v="9"/>
    <x v="7"/>
    <x v="3"/>
    <x v="1"/>
    <x v="294"/>
    <x v="9"/>
    <x v="0"/>
    <x v="49"/>
    <x v="103"/>
    <x v="8"/>
    <x v="98"/>
    <x v="170"/>
    <x v="273"/>
    <x v="160"/>
    <x v="6"/>
    <x v="56"/>
    <x v="605"/>
    <x v="0"/>
    <x v="8"/>
    <x v="1"/>
    <x v="19"/>
    <x v="3"/>
    <x v="4"/>
  </r>
  <r>
    <x v="400"/>
    <x v="2"/>
    <x v="509"/>
    <x v="7"/>
    <x v="6"/>
    <x v="0"/>
    <x v="1"/>
    <x v="56"/>
    <x v="9"/>
    <x v="0"/>
    <x v="101"/>
    <x v="193"/>
    <x v="8"/>
    <x v="72"/>
    <x v="164"/>
    <x v="274"/>
    <x v="160"/>
    <x v="6"/>
    <x v="56"/>
    <x v="604"/>
    <x v="0"/>
    <x v="8"/>
    <x v="1"/>
    <x v="19"/>
    <x v="0"/>
    <x v="1"/>
  </r>
  <r>
    <x v="506"/>
    <x v="3"/>
    <x v="293"/>
    <x v="5"/>
    <x v="4"/>
    <x v="0"/>
    <x v="1"/>
    <x v="280"/>
    <x v="5"/>
    <x v="31"/>
    <x v="57"/>
    <x v="257"/>
    <x v="5"/>
    <x v="52"/>
    <x v="897"/>
    <x v="99"/>
    <x v="157"/>
    <x v="6"/>
    <x v="56"/>
    <x v="603"/>
    <x v="0"/>
    <x v="5"/>
    <x v="1"/>
    <x v="19"/>
    <x v="0"/>
    <x v="1"/>
  </r>
  <r>
    <x v="10"/>
    <x v="0"/>
    <x v="39"/>
    <x v="4"/>
    <x v="4"/>
    <x v="0"/>
    <x v="1"/>
    <x v="12"/>
    <x v="9"/>
    <x v="0"/>
    <x v="100"/>
    <x v="55"/>
    <x v="8"/>
    <x v="258"/>
    <x v="755"/>
    <x v="594"/>
    <x v="288"/>
    <x v="6"/>
    <x v="56"/>
    <x v="602"/>
    <x v="0"/>
    <x v="8"/>
    <x v="1"/>
    <x v="19"/>
    <x v="0"/>
    <x v="1"/>
  </r>
  <r>
    <x v="39"/>
    <x v="0"/>
    <x v="587"/>
    <x v="5"/>
    <x v="3"/>
    <x v="0"/>
    <x v="1"/>
    <x v="25"/>
    <x v="9"/>
    <x v="0"/>
    <x v="165"/>
    <x v="147"/>
    <x v="8"/>
    <x v="42"/>
    <x v="678"/>
    <x v="308"/>
    <x v="135"/>
    <x v="6"/>
    <x v="56"/>
    <x v="601"/>
    <x v="0"/>
    <x v="8"/>
    <x v="1"/>
    <x v="19"/>
    <x v="0"/>
    <x v="1"/>
  </r>
  <r>
    <x v="568"/>
    <x v="4"/>
    <x v="373"/>
    <x v="3"/>
    <x v="7"/>
    <x v="3"/>
    <x v="0"/>
    <x v="68"/>
    <x v="9"/>
    <x v="0"/>
    <x v="380"/>
    <x v="62"/>
    <x v="8"/>
    <x v="20"/>
    <x v="817"/>
    <x v="401"/>
    <x v="149"/>
    <x v="1"/>
    <x v="36"/>
    <x v="600"/>
    <x v="0"/>
    <x v="8"/>
    <x v="1"/>
    <x v="19"/>
    <x v="0"/>
    <x v="4"/>
  </r>
  <r>
    <x v="68"/>
    <x v="0"/>
    <x v="195"/>
    <x v="0"/>
    <x v="4"/>
    <x v="0"/>
    <x v="1"/>
    <x v="0"/>
    <x v="9"/>
    <x v="0"/>
    <x v="32"/>
    <x v="78"/>
    <x v="8"/>
    <x v="261"/>
    <x v="227"/>
    <x v="923"/>
    <x v="359"/>
    <x v="6"/>
    <x v="54"/>
    <x v="599"/>
    <x v="0"/>
    <x v="8"/>
    <x v="1"/>
    <x v="19"/>
    <x v="0"/>
    <x v="1"/>
  </r>
  <r>
    <x v="157"/>
    <x v="0"/>
    <x v="37"/>
    <x v="0"/>
    <x v="2"/>
    <x v="0"/>
    <x v="1"/>
    <x v="0"/>
    <x v="9"/>
    <x v="0"/>
    <x v="292"/>
    <x v="95"/>
    <x v="8"/>
    <x v="164"/>
    <x v="55"/>
    <x v="20"/>
    <x v="464"/>
    <x v="6"/>
    <x v="56"/>
    <x v="598"/>
    <x v="0"/>
    <x v="8"/>
    <x v="1"/>
    <x v="19"/>
    <x v="0"/>
    <x v="1"/>
  </r>
  <r>
    <x v="71"/>
    <x v="0"/>
    <x v="4"/>
    <x v="0"/>
    <x v="3"/>
    <x v="0"/>
    <x v="1"/>
    <x v="0"/>
    <x v="9"/>
    <x v="0"/>
    <x v="310"/>
    <x v="30"/>
    <x v="8"/>
    <x v="313"/>
    <x v="246"/>
    <x v="918"/>
    <x v="433"/>
    <x v="6"/>
    <x v="54"/>
    <x v="597"/>
    <x v="0"/>
    <x v="8"/>
    <x v="1"/>
    <x v="19"/>
    <x v="0"/>
    <x v="1"/>
  </r>
  <r>
    <x v="148"/>
    <x v="0"/>
    <x v="773"/>
    <x v="3"/>
    <x v="3"/>
    <x v="0"/>
    <x v="0"/>
    <x v="1"/>
    <x v="9"/>
    <x v="0"/>
    <x v="349"/>
    <x v="95"/>
    <x v="8"/>
    <x v="348"/>
    <x v="199"/>
    <x v="40"/>
    <x v="125"/>
    <x v="6"/>
    <x v="56"/>
    <x v="596"/>
    <x v="0"/>
    <x v="8"/>
    <x v="1"/>
    <x v="18"/>
    <x v="0"/>
    <x v="1"/>
  </r>
  <r>
    <x v="915"/>
    <x v="12"/>
    <x v="581"/>
    <x v="1"/>
    <x v="7"/>
    <x v="0"/>
    <x v="1"/>
    <x v="183"/>
    <x v="9"/>
    <x v="0"/>
    <x v="387"/>
    <x v="103"/>
    <x v="8"/>
    <x v="20"/>
    <x v="4"/>
    <x v="312"/>
    <x v="420"/>
    <x v="6"/>
    <x v="52"/>
    <x v="595"/>
    <x v="0"/>
    <x v="8"/>
    <x v="1"/>
    <x v="18"/>
    <x v="2"/>
    <x v="1"/>
  </r>
  <r>
    <x v="608"/>
    <x v="4"/>
    <x v="551"/>
    <x v="0"/>
    <x v="4"/>
    <x v="0"/>
    <x v="1"/>
    <x v="67"/>
    <x v="9"/>
    <x v="0"/>
    <x v="389"/>
    <x v="55"/>
    <x v="8"/>
    <x v="18"/>
    <x v="5"/>
    <x v="311"/>
    <x v="420"/>
    <x v="6"/>
    <x v="52"/>
    <x v="594"/>
    <x v="0"/>
    <x v="8"/>
    <x v="1"/>
    <x v="18"/>
    <x v="0"/>
    <x v="1"/>
  </r>
  <r>
    <x v="246"/>
    <x v="1"/>
    <x v="987"/>
    <x v="6"/>
    <x v="6"/>
    <x v="0"/>
    <x v="1"/>
    <x v="61"/>
    <x v="9"/>
    <x v="0"/>
    <x v="55"/>
    <x v="153"/>
    <x v="8"/>
    <x v="107"/>
    <x v="71"/>
    <x v="253"/>
    <x v="102"/>
    <x v="5"/>
    <x v="9"/>
    <x v="593"/>
    <x v="0"/>
    <x v="8"/>
    <x v="1"/>
    <x v="18"/>
    <x v="0"/>
    <x v="1"/>
  </r>
  <r>
    <x v="738"/>
    <x v="6"/>
    <x v="831"/>
    <x v="6"/>
    <x v="3"/>
    <x v="0"/>
    <x v="1"/>
    <x v="162"/>
    <x v="9"/>
    <x v="0"/>
    <x v="309"/>
    <x v="5"/>
    <x v="8"/>
    <x v="136"/>
    <x v="840"/>
    <x v="722"/>
    <x v="320"/>
    <x v="6"/>
    <x v="56"/>
    <x v="592"/>
    <x v="0"/>
    <x v="8"/>
    <x v="1"/>
    <x v="18"/>
    <x v="1"/>
    <x v="1"/>
  </r>
  <r>
    <x v="300"/>
    <x v="1"/>
    <x v="643"/>
    <x v="8"/>
    <x v="4"/>
    <x v="0"/>
    <x v="1"/>
    <x v="32"/>
    <x v="9"/>
    <x v="0"/>
    <x v="197"/>
    <x v="193"/>
    <x v="8"/>
    <x v="17"/>
    <x v="750"/>
    <x v="111"/>
    <x v="123"/>
    <x v="6"/>
    <x v="56"/>
    <x v="591"/>
    <x v="0"/>
    <x v="8"/>
    <x v="1"/>
    <x v="18"/>
    <x v="0"/>
    <x v="1"/>
  </r>
  <r>
    <x v="497"/>
    <x v="3"/>
    <x v="544"/>
    <x v="0"/>
    <x v="5"/>
    <x v="0"/>
    <x v="1"/>
    <x v="49"/>
    <x v="9"/>
    <x v="0"/>
    <x v="359"/>
    <x v="3"/>
    <x v="8"/>
    <x v="136"/>
    <x v="374"/>
    <x v="817"/>
    <x v="341"/>
    <x v="6"/>
    <x v="35"/>
    <x v="590"/>
    <x v="0"/>
    <x v="8"/>
    <x v="1"/>
    <x v="18"/>
    <x v="0"/>
    <x v="1"/>
  </r>
  <r>
    <x v="719"/>
    <x v="6"/>
    <x v="495"/>
    <x v="9"/>
    <x v="7"/>
    <x v="1"/>
    <x v="1"/>
    <x v="253"/>
    <x v="9"/>
    <x v="0"/>
    <x v="274"/>
    <x v="17"/>
    <x v="8"/>
    <x v="66"/>
    <x v="627"/>
    <x v="550"/>
    <x v="393"/>
    <x v="6"/>
    <x v="38"/>
    <x v="589"/>
    <x v="0"/>
    <x v="8"/>
    <x v="1"/>
    <x v="18"/>
    <x v="1"/>
    <x v="2"/>
  </r>
  <r>
    <x v="242"/>
    <x v="1"/>
    <x v="394"/>
    <x v="5"/>
    <x v="5"/>
    <x v="3"/>
    <x v="0"/>
    <x v="31"/>
    <x v="9"/>
    <x v="0"/>
    <x v="198"/>
    <x v="185"/>
    <x v="8"/>
    <x v="147"/>
    <x v="813"/>
    <x v="343"/>
    <x v="201"/>
    <x v="2"/>
    <x v="56"/>
    <x v="588"/>
    <x v="0"/>
    <x v="8"/>
    <x v="1"/>
    <x v="18"/>
    <x v="0"/>
    <x v="4"/>
  </r>
  <r>
    <x v="426"/>
    <x v="2"/>
    <x v="29"/>
    <x v="0"/>
    <x v="2"/>
    <x v="0"/>
    <x v="0"/>
    <x v="31"/>
    <x v="9"/>
    <x v="0"/>
    <x v="263"/>
    <x v="11"/>
    <x v="8"/>
    <x v="368"/>
    <x v="957"/>
    <x v="788"/>
    <x v="323"/>
    <x v="6"/>
    <x v="56"/>
    <x v="587"/>
    <x v="0"/>
    <x v="8"/>
    <x v="1"/>
    <x v="18"/>
    <x v="0"/>
    <x v="1"/>
  </r>
  <r>
    <x v="152"/>
    <x v="0"/>
    <x v="970"/>
    <x v="0"/>
    <x v="3"/>
    <x v="0"/>
    <x v="1"/>
    <x v="0"/>
    <x v="9"/>
    <x v="0"/>
    <x v="175"/>
    <x v="87"/>
    <x v="8"/>
    <x v="153"/>
    <x v="66"/>
    <x v="12"/>
    <x v="193"/>
    <x v="6"/>
    <x v="56"/>
    <x v="586"/>
    <x v="0"/>
    <x v="8"/>
    <x v="1"/>
    <x v="18"/>
    <x v="0"/>
    <x v="1"/>
  </r>
  <r>
    <x v="442"/>
    <x v="3"/>
    <x v="916"/>
    <x v="7"/>
    <x v="6"/>
    <x v="1"/>
    <x v="0"/>
    <x v="226"/>
    <x v="9"/>
    <x v="0"/>
    <x v="377"/>
    <x v="55"/>
    <x v="8"/>
    <x v="26"/>
    <x v="753"/>
    <x v="379"/>
    <x v="196"/>
    <x v="1"/>
    <x v="33"/>
    <x v="585"/>
    <x v="0"/>
    <x v="8"/>
    <x v="1"/>
    <x v="18"/>
    <x v="0"/>
    <x v="2"/>
  </r>
  <r>
    <x v="697"/>
    <x v="6"/>
    <x v="827"/>
    <x v="8"/>
    <x v="6"/>
    <x v="0"/>
    <x v="1"/>
    <x v="145"/>
    <x v="9"/>
    <x v="0"/>
    <x v="324"/>
    <x v="55"/>
    <x v="8"/>
    <x v="147"/>
    <x v="215"/>
    <x v="219"/>
    <x v="29"/>
    <x v="6"/>
    <x v="37"/>
    <x v="584"/>
    <x v="0"/>
    <x v="8"/>
    <x v="1"/>
    <x v="18"/>
    <x v="1"/>
    <x v="1"/>
  </r>
  <r>
    <x v="895"/>
    <x v="12"/>
    <x v="799"/>
    <x v="5"/>
    <x v="7"/>
    <x v="2"/>
    <x v="0"/>
    <x v="343"/>
    <x v="9"/>
    <x v="0"/>
    <x v="376"/>
    <x v="55"/>
    <x v="8"/>
    <x v="44"/>
    <x v="752"/>
    <x v="378"/>
    <x v="54"/>
    <x v="1"/>
    <x v="33"/>
    <x v="583"/>
    <x v="0"/>
    <x v="8"/>
    <x v="1"/>
    <x v="18"/>
    <x v="2"/>
    <x v="3"/>
  </r>
  <r>
    <x v="127"/>
    <x v="0"/>
    <x v="123"/>
    <x v="0"/>
    <x v="5"/>
    <x v="0"/>
    <x v="1"/>
    <x v="0"/>
    <x v="9"/>
    <x v="0"/>
    <x v="67"/>
    <x v="109"/>
    <x v="8"/>
    <x v="72"/>
    <x v="938"/>
    <x v="50"/>
    <x v="30"/>
    <x v="6"/>
    <x v="56"/>
    <x v="582"/>
    <x v="0"/>
    <x v="8"/>
    <x v="1"/>
    <x v="18"/>
    <x v="0"/>
    <x v="1"/>
  </r>
  <r>
    <x v="149"/>
    <x v="0"/>
    <x v="122"/>
    <x v="5"/>
    <x v="2"/>
    <x v="0"/>
    <x v="0"/>
    <x v="74"/>
    <x v="9"/>
    <x v="0"/>
    <x v="280"/>
    <x v="123"/>
    <x v="8"/>
    <x v="350"/>
    <x v="777"/>
    <x v="659"/>
    <x v="167"/>
    <x v="6"/>
    <x v="56"/>
    <x v="581"/>
    <x v="0"/>
    <x v="8"/>
    <x v="1"/>
    <x v="18"/>
    <x v="0"/>
    <x v="1"/>
  </r>
  <r>
    <x v="43"/>
    <x v="0"/>
    <x v="22"/>
    <x v="4"/>
    <x v="4"/>
    <x v="0"/>
    <x v="0"/>
    <x v="12"/>
    <x v="9"/>
    <x v="0"/>
    <x v="270"/>
    <x v="11"/>
    <x v="8"/>
    <x v="251"/>
    <x v="338"/>
    <x v="604"/>
    <x v="239"/>
    <x v="6"/>
    <x v="20"/>
    <x v="580"/>
    <x v="0"/>
    <x v="8"/>
    <x v="1"/>
    <x v="18"/>
    <x v="0"/>
    <x v="1"/>
  </r>
  <r>
    <x v="617"/>
    <x v="5"/>
    <x v="965"/>
    <x v="5"/>
    <x v="5"/>
    <x v="0"/>
    <x v="0"/>
    <x v="88"/>
    <x v="9"/>
    <x v="0"/>
    <x v="54"/>
    <x v="214"/>
    <x v="8"/>
    <x v="120"/>
    <x v="937"/>
    <x v="48"/>
    <x v="30"/>
    <x v="6"/>
    <x v="56"/>
    <x v="579"/>
    <x v="0"/>
    <x v="8"/>
    <x v="1"/>
    <x v="18"/>
    <x v="1"/>
    <x v="1"/>
  </r>
  <r>
    <x v="61"/>
    <x v="0"/>
    <x v="535"/>
    <x v="9"/>
    <x v="6"/>
    <x v="3"/>
    <x v="1"/>
    <x v="30"/>
    <x v="9"/>
    <x v="0"/>
    <x v="0"/>
    <x v="0"/>
    <x v="8"/>
    <x v="10"/>
    <x v="30"/>
    <x v="972"/>
    <x v="64"/>
    <x v="6"/>
    <x v="31"/>
    <x v="578"/>
    <x v="0"/>
    <x v="8"/>
    <x v="1"/>
    <x v="18"/>
    <x v="0"/>
    <x v="4"/>
  </r>
  <r>
    <x v="316"/>
    <x v="2"/>
    <x v="423"/>
    <x v="4"/>
    <x v="4"/>
    <x v="0"/>
    <x v="1"/>
    <x v="53"/>
    <x v="9"/>
    <x v="0"/>
    <x v="297"/>
    <x v="95"/>
    <x v="8"/>
    <x v="26"/>
    <x v="596"/>
    <x v="192"/>
    <x v="40"/>
    <x v="6"/>
    <x v="56"/>
    <x v="577"/>
    <x v="0"/>
    <x v="8"/>
    <x v="1"/>
    <x v="18"/>
    <x v="0"/>
    <x v="1"/>
  </r>
  <r>
    <x v="78"/>
    <x v="0"/>
    <x v="700"/>
    <x v="6"/>
    <x v="6"/>
    <x v="3"/>
    <x v="1"/>
    <x v="33"/>
    <x v="9"/>
    <x v="71"/>
    <x v="0"/>
    <x v="78"/>
    <x v="8"/>
    <x v="56"/>
    <x v="31"/>
    <x v="973"/>
    <x v="64"/>
    <x v="6"/>
    <x v="31"/>
    <x v="576"/>
    <x v="0"/>
    <x v="8"/>
    <x v="1"/>
    <x v="18"/>
    <x v="0"/>
    <x v="4"/>
  </r>
  <r>
    <x v="818"/>
    <x v="8"/>
    <x v="488"/>
    <x v="0"/>
    <x v="5"/>
    <x v="0"/>
    <x v="1"/>
    <x v="129"/>
    <x v="9"/>
    <x v="161"/>
    <x v="0"/>
    <x v="192"/>
    <x v="8"/>
    <x v="22"/>
    <x v="1"/>
    <x v="325"/>
    <x v="436"/>
    <x v="6"/>
    <x v="52"/>
    <x v="575"/>
    <x v="0"/>
    <x v="8"/>
    <x v="1"/>
    <x v="18"/>
    <x v="1"/>
    <x v="1"/>
  </r>
  <r>
    <x v="229"/>
    <x v="1"/>
    <x v="206"/>
    <x v="4"/>
    <x v="5"/>
    <x v="0"/>
    <x v="0"/>
    <x v="18"/>
    <x v="9"/>
    <x v="46"/>
    <x v="0"/>
    <x v="30"/>
    <x v="8"/>
    <x v="188"/>
    <x v="385"/>
    <x v="754"/>
    <x v="182"/>
    <x v="6"/>
    <x v="35"/>
    <x v="574"/>
    <x v="0"/>
    <x v="8"/>
    <x v="1"/>
    <x v="18"/>
    <x v="0"/>
    <x v="1"/>
  </r>
  <r>
    <x v="797"/>
    <x v="8"/>
    <x v="205"/>
    <x v="0"/>
    <x v="3"/>
    <x v="0"/>
    <x v="1"/>
    <x v="129"/>
    <x v="9"/>
    <x v="35"/>
    <x v="0"/>
    <x v="109"/>
    <x v="8"/>
    <x v="349"/>
    <x v="470"/>
    <x v="809"/>
    <x v="204"/>
    <x v="6"/>
    <x v="35"/>
    <x v="573"/>
    <x v="0"/>
    <x v="8"/>
    <x v="1"/>
    <x v="18"/>
    <x v="1"/>
    <x v="1"/>
  </r>
  <r>
    <x v="308"/>
    <x v="1"/>
    <x v="791"/>
    <x v="0"/>
    <x v="6"/>
    <x v="0"/>
    <x v="1"/>
    <x v="14"/>
    <x v="9"/>
    <x v="30"/>
    <x v="0"/>
    <x v="47"/>
    <x v="8"/>
    <x v="20"/>
    <x v="633"/>
    <x v="314"/>
    <x v="312"/>
    <x v="6"/>
    <x v="56"/>
    <x v="572"/>
    <x v="0"/>
    <x v="8"/>
    <x v="1"/>
    <x v="18"/>
    <x v="0"/>
    <x v="1"/>
  </r>
  <r>
    <x v="88"/>
    <x v="0"/>
    <x v="482"/>
    <x v="5"/>
    <x v="5"/>
    <x v="0"/>
    <x v="1"/>
    <x v="23"/>
    <x v="9"/>
    <x v="322"/>
    <x v="0"/>
    <x v="130"/>
    <x v="8"/>
    <x v="122"/>
    <x v="644"/>
    <x v="164"/>
    <x v="256"/>
    <x v="6"/>
    <x v="56"/>
    <x v="571"/>
    <x v="0"/>
    <x v="8"/>
    <x v="1"/>
    <x v="18"/>
    <x v="0"/>
    <x v="1"/>
  </r>
  <r>
    <x v="427"/>
    <x v="2"/>
    <x v="421"/>
    <x v="5"/>
    <x v="3"/>
    <x v="0"/>
    <x v="0"/>
    <x v="48"/>
    <x v="9"/>
    <x v="241"/>
    <x v="0"/>
    <x v="109"/>
    <x v="8"/>
    <x v="16"/>
    <x v="299"/>
    <x v="494"/>
    <x v="168"/>
    <x v="6"/>
    <x v="56"/>
    <x v="570"/>
    <x v="0"/>
    <x v="8"/>
    <x v="1"/>
    <x v="18"/>
    <x v="0"/>
    <x v="1"/>
  </r>
  <r>
    <x v="426"/>
    <x v="2"/>
    <x v="789"/>
    <x v="0"/>
    <x v="2"/>
    <x v="0"/>
    <x v="1"/>
    <x v="31"/>
    <x v="9"/>
    <x v="66"/>
    <x v="0"/>
    <x v="117"/>
    <x v="6"/>
    <x v="393"/>
    <x v="945"/>
    <x v="771"/>
    <x v="323"/>
    <x v="6"/>
    <x v="56"/>
    <x v="569"/>
    <x v="0"/>
    <x v="6"/>
    <x v="1"/>
    <x v="18"/>
    <x v="0"/>
    <x v="1"/>
  </r>
  <r>
    <x v="976"/>
    <x v="20"/>
    <x v="788"/>
    <x v="5"/>
    <x v="4"/>
    <x v="0"/>
    <x v="1"/>
    <x v="259"/>
    <x v="9"/>
    <x v="153"/>
    <x v="0"/>
    <x v="5"/>
    <x v="8"/>
    <x v="381"/>
    <x v="967"/>
    <x v="796"/>
    <x v="323"/>
    <x v="6"/>
    <x v="56"/>
    <x v="568"/>
    <x v="0"/>
    <x v="8"/>
    <x v="1"/>
    <x v="18"/>
    <x v="3"/>
    <x v="1"/>
  </r>
  <r>
    <x v="829"/>
    <x v="9"/>
    <x v="757"/>
    <x v="0"/>
    <x v="5"/>
    <x v="0"/>
    <x v="1"/>
    <x v="144"/>
    <x v="9"/>
    <x v="294"/>
    <x v="0"/>
    <x v="47"/>
    <x v="8"/>
    <x v="304"/>
    <x v="117"/>
    <x v="32"/>
    <x v="483"/>
    <x v="6"/>
    <x v="56"/>
    <x v="567"/>
    <x v="0"/>
    <x v="8"/>
    <x v="1"/>
    <x v="18"/>
    <x v="1"/>
    <x v="1"/>
  </r>
  <r>
    <x v="528"/>
    <x v="3"/>
    <x v="449"/>
    <x v="0"/>
    <x v="2"/>
    <x v="0"/>
    <x v="0"/>
    <x v="49"/>
    <x v="9"/>
    <x v="41"/>
    <x v="0"/>
    <x v="62"/>
    <x v="8"/>
    <x v="385"/>
    <x v="716"/>
    <x v="729"/>
    <x v="333"/>
    <x v="6"/>
    <x v="56"/>
    <x v="566"/>
    <x v="0"/>
    <x v="8"/>
    <x v="1"/>
    <x v="18"/>
    <x v="0"/>
    <x v="1"/>
  </r>
  <r>
    <x v="73"/>
    <x v="0"/>
    <x v="756"/>
    <x v="0"/>
    <x v="5"/>
    <x v="0"/>
    <x v="1"/>
    <x v="0"/>
    <x v="9"/>
    <x v="86"/>
    <x v="0"/>
    <x v="52"/>
    <x v="8"/>
    <x v="20"/>
    <x v="472"/>
    <x v="780"/>
    <x v="382"/>
    <x v="6"/>
    <x v="35"/>
    <x v="565"/>
    <x v="0"/>
    <x v="8"/>
    <x v="1"/>
    <x v="18"/>
    <x v="0"/>
    <x v="1"/>
  </r>
  <r>
    <x v="268"/>
    <x v="1"/>
    <x v="663"/>
    <x v="8"/>
    <x v="7"/>
    <x v="2"/>
    <x v="0"/>
    <x v="347"/>
    <x v="9"/>
    <x v="258"/>
    <x v="0"/>
    <x v="22"/>
    <x v="8"/>
    <x v="37"/>
    <x v="780"/>
    <x v="487"/>
    <x v="235"/>
    <x v="1"/>
    <x v="36"/>
    <x v="564"/>
    <x v="0"/>
    <x v="8"/>
    <x v="1"/>
    <x v="18"/>
    <x v="0"/>
    <x v="3"/>
  </r>
  <r>
    <x v="754"/>
    <x v="7"/>
    <x v="626"/>
    <x v="5"/>
    <x v="6"/>
    <x v="0"/>
    <x v="1"/>
    <x v="120"/>
    <x v="9"/>
    <x v="336"/>
    <x v="0"/>
    <x v="6"/>
    <x v="8"/>
    <x v="248"/>
    <x v="916"/>
    <x v="761"/>
    <x v="212"/>
    <x v="1"/>
    <x v="39"/>
    <x v="563"/>
    <x v="0"/>
    <x v="8"/>
    <x v="1"/>
    <x v="18"/>
    <x v="1"/>
    <x v="1"/>
  </r>
  <r>
    <x v="221"/>
    <x v="1"/>
    <x v="514"/>
    <x v="7"/>
    <x v="6"/>
    <x v="0"/>
    <x v="1"/>
    <x v="16"/>
    <x v="9"/>
    <x v="195"/>
    <x v="0"/>
    <x v="11"/>
    <x v="8"/>
    <x v="32"/>
    <x v="487"/>
    <x v="697"/>
    <x v="16"/>
    <x v="6"/>
    <x v="35"/>
    <x v="562"/>
    <x v="0"/>
    <x v="8"/>
    <x v="1"/>
    <x v="18"/>
    <x v="0"/>
    <x v="1"/>
  </r>
  <r>
    <x v="912"/>
    <x v="12"/>
    <x v="513"/>
    <x v="8"/>
    <x v="7"/>
    <x v="3"/>
    <x v="0"/>
    <x v="305"/>
    <x v="9"/>
    <x v="236"/>
    <x v="0"/>
    <x v="127"/>
    <x v="8"/>
    <x v="222"/>
    <x v="762"/>
    <x v="376"/>
    <x v="195"/>
    <x v="1"/>
    <x v="21"/>
    <x v="561"/>
    <x v="0"/>
    <x v="8"/>
    <x v="1"/>
    <x v="18"/>
    <x v="2"/>
    <x v="4"/>
  </r>
  <r>
    <x v="301"/>
    <x v="1"/>
    <x v="445"/>
    <x v="0"/>
    <x v="4"/>
    <x v="0"/>
    <x v="1"/>
    <x v="14"/>
    <x v="9"/>
    <x v="224"/>
    <x v="0"/>
    <x v="15"/>
    <x v="8"/>
    <x v="124"/>
    <x v="373"/>
    <x v="816"/>
    <x v="341"/>
    <x v="6"/>
    <x v="56"/>
    <x v="560"/>
    <x v="0"/>
    <x v="8"/>
    <x v="1"/>
    <x v="18"/>
    <x v="0"/>
    <x v="1"/>
  </r>
  <r>
    <x v="645"/>
    <x v="5"/>
    <x v="170"/>
    <x v="3"/>
    <x v="6"/>
    <x v="0"/>
    <x v="1"/>
    <x v="85"/>
    <x v="9"/>
    <x v="300"/>
    <x v="0"/>
    <x v="14"/>
    <x v="8"/>
    <x v="210"/>
    <x v="483"/>
    <x v="656"/>
    <x v="8"/>
    <x v="6"/>
    <x v="20"/>
    <x v="559"/>
    <x v="0"/>
    <x v="8"/>
    <x v="1"/>
    <x v="18"/>
    <x v="1"/>
    <x v="1"/>
  </r>
  <r>
    <x v="76"/>
    <x v="0"/>
    <x v="292"/>
    <x v="0"/>
    <x v="5"/>
    <x v="0"/>
    <x v="1"/>
    <x v="0"/>
    <x v="9"/>
    <x v="115"/>
    <x v="0"/>
    <x v="32"/>
    <x v="8"/>
    <x v="111"/>
    <x v="363"/>
    <x v="745"/>
    <x v="126"/>
    <x v="6"/>
    <x v="35"/>
    <x v="558"/>
    <x v="0"/>
    <x v="8"/>
    <x v="1"/>
    <x v="18"/>
    <x v="0"/>
    <x v="1"/>
  </r>
  <r>
    <x v="134"/>
    <x v="0"/>
    <x v="6"/>
    <x v="3"/>
    <x v="5"/>
    <x v="0"/>
    <x v="0"/>
    <x v="1"/>
    <x v="9"/>
    <x v="217"/>
    <x v="0"/>
    <x v="84"/>
    <x v="8"/>
    <x v="120"/>
    <x v="932"/>
    <x v="833"/>
    <x v="327"/>
    <x v="1"/>
    <x v="56"/>
    <x v="557"/>
    <x v="0"/>
    <x v="8"/>
    <x v="1"/>
    <x v="18"/>
    <x v="0"/>
    <x v="1"/>
  </r>
  <r>
    <x v="591"/>
    <x v="4"/>
    <x v="896"/>
    <x v="5"/>
    <x v="5"/>
    <x v="0"/>
    <x v="1"/>
    <x v="71"/>
    <x v="9"/>
    <x v="249"/>
    <x v="0"/>
    <x v="84"/>
    <x v="8"/>
    <x v="152"/>
    <x v="931"/>
    <x v="831"/>
    <x v="327"/>
    <x v="1"/>
    <x v="56"/>
    <x v="556"/>
    <x v="0"/>
    <x v="8"/>
    <x v="1"/>
    <x v="18"/>
    <x v="0"/>
    <x v="1"/>
  </r>
  <r>
    <x v="205"/>
    <x v="1"/>
    <x v="441"/>
    <x v="0"/>
    <x v="6"/>
    <x v="0"/>
    <x v="1"/>
    <x v="14"/>
    <x v="9"/>
    <x v="321"/>
    <x v="0"/>
    <x v="40"/>
    <x v="8"/>
    <x v="22"/>
    <x v="994"/>
    <x v="696"/>
    <x v="55"/>
    <x v="1"/>
    <x v="39"/>
    <x v="555"/>
    <x v="0"/>
    <x v="8"/>
    <x v="1"/>
    <x v="18"/>
    <x v="0"/>
    <x v="1"/>
  </r>
  <r>
    <x v="236"/>
    <x v="1"/>
    <x v="256"/>
    <x v="0"/>
    <x v="5"/>
    <x v="0"/>
    <x v="1"/>
    <x v="14"/>
    <x v="9"/>
    <x v="179"/>
    <x v="0"/>
    <x v="52"/>
    <x v="8"/>
    <x v="59"/>
    <x v="276"/>
    <x v="884"/>
    <x v="226"/>
    <x v="6"/>
    <x v="42"/>
    <x v="554"/>
    <x v="0"/>
    <x v="8"/>
    <x v="1"/>
    <x v="18"/>
    <x v="0"/>
    <x v="1"/>
  </r>
  <r>
    <x v="549"/>
    <x v="4"/>
    <x v="255"/>
    <x v="5"/>
    <x v="4"/>
    <x v="0"/>
    <x v="1"/>
    <x v="179"/>
    <x v="9"/>
    <x v="266"/>
    <x v="0"/>
    <x v="107"/>
    <x v="8"/>
    <x v="283"/>
    <x v="555"/>
    <x v="199"/>
    <x v="496"/>
    <x v="5"/>
    <x v="10"/>
    <x v="553"/>
    <x v="0"/>
    <x v="8"/>
    <x v="1"/>
    <x v="18"/>
    <x v="0"/>
    <x v="1"/>
  </r>
  <r>
    <x v="714"/>
    <x v="6"/>
    <x v="227"/>
    <x v="9"/>
    <x v="5"/>
    <x v="0"/>
    <x v="1"/>
    <x v="104"/>
    <x v="9"/>
    <x v="124"/>
    <x v="0"/>
    <x v="51"/>
    <x v="8"/>
    <x v="79"/>
    <x v="279"/>
    <x v="889"/>
    <x v="226"/>
    <x v="6"/>
    <x v="42"/>
    <x v="552"/>
    <x v="0"/>
    <x v="8"/>
    <x v="1"/>
    <x v="18"/>
    <x v="1"/>
    <x v="1"/>
  </r>
  <r>
    <x v="462"/>
    <x v="3"/>
    <x v="226"/>
    <x v="0"/>
    <x v="6"/>
    <x v="0"/>
    <x v="1"/>
    <x v="49"/>
    <x v="9"/>
    <x v="163"/>
    <x v="0"/>
    <x v="58"/>
    <x v="8"/>
    <x v="26"/>
    <x v="284"/>
    <x v="888"/>
    <x v="226"/>
    <x v="6"/>
    <x v="42"/>
    <x v="551"/>
    <x v="0"/>
    <x v="8"/>
    <x v="1"/>
    <x v="18"/>
    <x v="0"/>
    <x v="1"/>
  </r>
  <r>
    <x v="377"/>
    <x v="2"/>
    <x v="194"/>
    <x v="0"/>
    <x v="5"/>
    <x v="0"/>
    <x v="1"/>
    <x v="31"/>
    <x v="9"/>
    <x v="155"/>
    <x v="0"/>
    <x v="126"/>
    <x v="8"/>
    <x v="22"/>
    <x v="275"/>
    <x v="883"/>
    <x v="226"/>
    <x v="6"/>
    <x v="42"/>
    <x v="550"/>
    <x v="0"/>
    <x v="8"/>
    <x v="1"/>
    <x v="18"/>
    <x v="0"/>
    <x v="1"/>
  </r>
  <r>
    <x v="652"/>
    <x v="5"/>
    <x v="164"/>
    <x v="0"/>
    <x v="5"/>
    <x v="0"/>
    <x v="0"/>
    <x v="84"/>
    <x v="9"/>
    <x v="195"/>
    <x v="0"/>
    <x v="58"/>
    <x v="8"/>
    <x v="15"/>
    <x v="292"/>
    <x v="882"/>
    <x v="226"/>
    <x v="6"/>
    <x v="42"/>
    <x v="549"/>
    <x v="0"/>
    <x v="8"/>
    <x v="1"/>
    <x v="18"/>
    <x v="1"/>
    <x v="1"/>
  </r>
  <r>
    <x v="686"/>
    <x v="6"/>
    <x v="163"/>
    <x v="0"/>
    <x v="4"/>
    <x v="0"/>
    <x v="0"/>
    <x v="101"/>
    <x v="9"/>
    <x v="259"/>
    <x v="0"/>
    <x v="66"/>
    <x v="8"/>
    <x v="20"/>
    <x v="268"/>
    <x v="878"/>
    <x v="226"/>
    <x v="6"/>
    <x v="56"/>
    <x v="548"/>
    <x v="0"/>
    <x v="8"/>
    <x v="1"/>
    <x v="18"/>
    <x v="1"/>
    <x v="1"/>
  </r>
  <r>
    <x v="958"/>
    <x v="15"/>
    <x v="162"/>
    <x v="8"/>
    <x v="6"/>
    <x v="0"/>
    <x v="1"/>
    <x v="221"/>
    <x v="9"/>
    <x v="203"/>
    <x v="0"/>
    <x v="86"/>
    <x v="8"/>
    <x v="94"/>
    <x v="285"/>
    <x v="879"/>
    <x v="226"/>
    <x v="6"/>
    <x v="56"/>
    <x v="547"/>
    <x v="0"/>
    <x v="8"/>
    <x v="1"/>
    <x v="18"/>
    <x v="3"/>
    <x v="1"/>
  </r>
  <r>
    <x v="548"/>
    <x v="4"/>
    <x v="36"/>
    <x v="6"/>
    <x v="6"/>
    <x v="3"/>
    <x v="0"/>
    <x v="127"/>
    <x v="9"/>
    <x v="315"/>
    <x v="0"/>
    <x v="137"/>
    <x v="8"/>
    <x v="245"/>
    <x v="906"/>
    <x v="708"/>
    <x v="318"/>
    <x v="1"/>
    <x v="23"/>
    <x v="546"/>
    <x v="0"/>
    <x v="8"/>
    <x v="1"/>
    <x v="18"/>
    <x v="0"/>
    <x v="4"/>
  </r>
  <r>
    <x v="490"/>
    <x v="3"/>
    <x v="952"/>
    <x v="6"/>
    <x v="6"/>
    <x v="0"/>
    <x v="0"/>
    <x v="97"/>
    <x v="9"/>
    <x v="283"/>
    <x v="0"/>
    <x v="74"/>
    <x v="8"/>
    <x v="165"/>
    <x v="91"/>
    <x v="275"/>
    <x v="484"/>
    <x v="5"/>
    <x v="9"/>
    <x v="545"/>
    <x v="0"/>
    <x v="8"/>
    <x v="1"/>
    <x v="18"/>
    <x v="0"/>
    <x v="1"/>
  </r>
  <r>
    <x v="841"/>
    <x v="10"/>
    <x v="130"/>
    <x v="6"/>
    <x v="5"/>
    <x v="4"/>
    <x v="0"/>
    <x v="306"/>
    <x v="0"/>
    <x v="0"/>
    <x v="0"/>
    <x v="0"/>
    <x v="5"/>
    <x v="14"/>
    <x v="970"/>
    <x v="90"/>
    <x v="116"/>
    <x v="6"/>
    <x v="56"/>
    <x v="544"/>
    <x v="0"/>
    <x v="5"/>
    <x v="1"/>
    <x v="18"/>
    <x v="2"/>
    <x v="0"/>
  </r>
  <r>
    <x v="395"/>
    <x v="2"/>
    <x v="714"/>
    <x v="0"/>
    <x v="3"/>
    <x v="4"/>
    <x v="0"/>
    <x v="31"/>
    <x v="9"/>
    <x v="246"/>
    <x v="0"/>
    <x v="28"/>
    <x v="8"/>
    <x v="322"/>
    <x v="240"/>
    <x v="920"/>
    <x v="433"/>
    <x v="6"/>
    <x v="54"/>
    <x v="543"/>
    <x v="0"/>
    <x v="8"/>
    <x v="1"/>
    <x v="17"/>
    <x v="0"/>
    <x v="0"/>
  </r>
  <r>
    <x v="733"/>
    <x v="6"/>
    <x v="321"/>
    <x v="5"/>
    <x v="4"/>
    <x v="4"/>
    <x v="0"/>
    <x v="145"/>
    <x v="9"/>
    <x v="242"/>
    <x v="0"/>
    <x v="2"/>
    <x v="8"/>
    <x v="290"/>
    <x v="367"/>
    <x v="617"/>
    <x v="45"/>
    <x v="6"/>
    <x v="20"/>
    <x v="542"/>
    <x v="0"/>
    <x v="8"/>
    <x v="1"/>
    <x v="17"/>
    <x v="1"/>
    <x v="0"/>
  </r>
  <r>
    <x v="800"/>
    <x v="8"/>
    <x v="218"/>
    <x v="6"/>
    <x v="4"/>
    <x v="4"/>
    <x v="0"/>
    <x v="231"/>
    <x v="9"/>
    <x v="342"/>
    <x v="0"/>
    <x v="35"/>
    <x v="8"/>
    <x v="124"/>
    <x v="858"/>
    <x v="715"/>
    <x v="2"/>
    <x v="6"/>
    <x v="56"/>
    <x v="541"/>
    <x v="0"/>
    <x v="8"/>
    <x v="1"/>
    <x v="17"/>
    <x v="1"/>
    <x v="0"/>
  </r>
  <r>
    <x v="70"/>
    <x v="0"/>
    <x v="362"/>
    <x v="4"/>
    <x v="4"/>
    <x v="4"/>
    <x v="0"/>
    <x v="46"/>
    <x v="9"/>
    <x v="285"/>
    <x v="0"/>
    <x v="223"/>
    <x v="8"/>
    <x v="72"/>
    <x v="675"/>
    <x v="146"/>
    <x v="87"/>
    <x v="6"/>
    <x v="56"/>
    <x v="540"/>
    <x v="0"/>
    <x v="8"/>
    <x v="1"/>
    <x v="17"/>
    <x v="0"/>
    <x v="0"/>
  </r>
  <r>
    <x v="488"/>
    <x v="3"/>
    <x v="361"/>
    <x v="7"/>
    <x v="5"/>
    <x v="4"/>
    <x v="0"/>
    <x v="113"/>
    <x v="9"/>
    <x v="157"/>
    <x v="0"/>
    <x v="28"/>
    <x v="8"/>
    <x v="35"/>
    <x v="733"/>
    <x v="430"/>
    <x v="428"/>
    <x v="1"/>
    <x v="29"/>
    <x v="539"/>
    <x v="0"/>
    <x v="8"/>
    <x v="1"/>
    <x v="17"/>
    <x v="0"/>
    <x v="0"/>
  </r>
  <r>
    <x v="830"/>
    <x v="9"/>
    <x v="214"/>
    <x v="8"/>
    <x v="6"/>
    <x v="3"/>
    <x v="0"/>
    <x v="310"/>
    <x v="9"/>
    <x v="333"/>
    <x v="0"/>
    <x v="119"/>
    <x v="8"/>
    <x v="94"/>
    <x v="672"/>
    <x v="148"/>
    <x v="87"/>
    <x v="6"/>
    <x v="56"/>
    <x v="538"/>
    <x v="0"/>
    <x v="8"/>
    <x v="1"/>
    <x v="17"/>
    <x v="1"/>
    <x v="4"/>
  </r>
  <r>
    <x v="924"/>
    <x v="13"/>
    <x v="920"/>
    <x v="8"/>
    <x v="6"/>
    <x v="4"/>
    <x v="0"/>
    <x v="333"/>
    <x v="9"/>
    <x v="340"/>
    <x v="0"/>
    <x v="191"/>
    <x v="8"/>
    <x v="37"/>
    <x v="954"/>
    <x v="91"/>
    <x v="365"/>
    <x v="3"/>
    <x v="8"/>
    <x v="537"/>
    <x v="0"/>
    <x v="8"/>
    <x v="1"/>
    <x v="17"/>
    <x v="2"/>
    <x v="0"/>
  </r>
  <r>
    <x v="147"/>
    <x v="0"/>
    <x v="804"/>
    <x v="6"/>
    <x v="5"/>
    <x v="4"/>
    <x v="0"/>
    <x v="80"/>
    <x v="9"/>
    <x v="317"/>
    <x v="0"/>
    <x v="170"/>
    <x v="8"/>
    <x v="56"/>
    <x v="631"/>
    <x v="172"/>
    <x v="105"/>
    <x v="6"/>
    <x v="11"/>
    <x v="536"/>
    <x v="0"/>
    <x v="8"/>
    <x v="1"/>
    <x v="17"/>
    <x v="0"/>
    <x v="0"/>
  </r>
  <r>
    <x v="198"/>
    <x v="1"/>
    <x v="393"/>
    <x v="3"/>
    <x v="4"/>
    <x v="4"/>
    <x v="0"/>
    <x v="19"/>
    <x v="9"/>
    <x v="101"/>
    <x v="0"/>
    <x v="60"/>
    <x v="8"/>
    <x v="32"/>
    <x v="434"/>
    <x v="637"/>
    <x v="475"/>
    <x v="6"/>
    <x v="20"/>
    <x v="535"/>
    <x v="0"/>
    <x v="8"/>
    <x v="1"/>
    <x v="17"/>
    <x v="0"/>
    <x v="0"/>
  </r>
  <r>
    <x v="785"/>
    <x v="8"/>
    <x v="969"/>
    <x v="7"/>
    <x v="5"/>
    <x v="4"/>
    <x v="0"/>
    <x v="282"/>
    <x v="9"/>
    <x v="344"/>
    <x v="0"/>
    <x v="42"/>
    <x v="8"/>
    <x v="302"/>
    <x v="562"/>
    <x v="209"/>
    <x v="394"/>
    <x v="5"/>
    <x v="10"/>
    <x v="534"/>
    <x v="0"/>
    <x v="8"/>
    <x v="1"/>
    <x v="17"/>
    <x v="1"/>
    <x v="0"/>
  </r>
  <r>
    <x v="870"/>
    <x v="11"/>
    <x v="150"/>
    <x v="8"/>
    <x v="6"/>
    <x v="4"/>
    <x v="0"/>
    <x v="319"/>
    <x v="9"/>
    <x v="326"/>
    <x v="0"/>
    <x v="169"/>
    <x v="8"/>
    <x v="136"/>
    <x v="630"/>
    <x v="171"/>
    <x v="148"/>
    <x v="6"/>
    <x v="11"/>
    <x v="533"/>
    <x v="0"/>
    <x v="8"/>
    <x v="1"/>
    <x v="17"/>
    <x v="2"/>
    <x v="0"/>
  </r>
  <r>
    <x v="888"/>
    <x v="11"/>
    <x v="983"/>
    <x v="8"/>
    <x v="4"/>
    <x v="4"/>
    <x v="0"/>
    <x v="259"/>
    <x v="9"/>
    <x v="314"/>
    <x v="0"/>
    <x v="7"/>
    <x v="8"/>
    <x v="111"/>
    <x v="635"/>
    <x v="581"/>
    <x v="441"/>
    <x v="6"/>
    <x v="56"/>
    <x v="532"/>
    <x v="0"/>
    <x v="8"/>
    <x v="1"/>
    <x v="17"/>
    <x v="2"/>
    <x v="0"/>
  </r>
  <r>
    <x v="789"/>
    <x v="8"/>
    <x v="883"/>
    <x v="5"/>
    <x v="4"/>
    <x v="4"/>
    <x v="0"/>
    <x v="222"/>
    <x v="9"/>
    <x v="175"/>
    <x v="0"/>
    <x v="175"/>
    <x v="8"/>
    <x v="111"/>
    <x v="649"/>
    <x v="158"/>
    <x v="368"/>
    <x v="6"/>
    <x v="56"/>
    <x v="531"/>
    <x v="0"/>
    <x v="8"/>
    <x v="1"/>
    <x v="17"/>
    <x v="1"/>
    <x v="0"/>
  </r>
  <r>
    <x v="190"/>
    <x v="1"/>
    <x v="859"/>
    <x v="4"/>
    <x v="4"/>
    <x v="4"/>
    <x v="0"/>
    <x v="22"/>
    <x v="9"/>
    <x v="228"/>
    <x v="0"/>
    <x v="33"/>
    <x v="8"/>
    <x v="232"/>
    <x v="567"/>
    <x v="585"/>
    <x v="470"/>
    <x v="6"/>
    <x v="20"/>
    <x v="530"/>
    <x v="0"/>
    <x v="8"/>
    <x v="1"/>
    <x v="17"/>
    <x v="0"/>
    <x v="0"/>
  </r>
  <r>
    <x v="900"/>
    <x v="12"/>
    <x v="458"/>
    <x v="7"/>
    <x v="3"/>
    <x v="4"/>
    <x v="0"/>
    <x v="198"/>
    <x v="9"/>
    <x v="341"/>
    <x v="0"/>
    <x v="29"/>
    <x v="8"/>
    <x v="373"/>
    <x v="928"/>
    <x v="726"/>
    <x v="357"/>
    <x v="6"/>
    <x v="56"/>
    <x v="529"/>
    <x v="0"/>
    <x v="8"/>
    <x v="1"/>
    <x v="17"/>
    <x v="2"/>
    <x v="0"/>
  </r>
  <r>
    <x v="2"/>
    <x v="0"/>
    <x v="910"/>
    <x v="5"/>
    <x v="5"/>
    <x v="4"/>
    <x v="0"/>
    <x v="3"/>
    <x v="9"/>
    <x v="274"/>
    <x v="0"/>
    <x v="16"/>
    <x v="8"/>
    <x v="152"/>
    <x v="446"/>
    <x v="793"/>
    <x v="204"/>
    <x v="6"/>
    <x v="35"/>
    <x v="528"/>
    <x v="0"/>
    <x v="8"/>
    <x v="1"/>
    <x v="17"/>
    <x v="0"/>
    <x v="0"/>
  </r>
  <r>
    <x v="285"/>
    <x v="1"/>
    <x v="900"/>
    <x v="4"/>
    <x v="4"/>
    <x v="4"/>
    <x v="0"/>
    <x v="19"/>
    <x v="9"/>
    <x v="248"/>
    <x v="0"/>
    <x v="44"/>
    <x v="8"/>
    <x v="274"/>
    <x v="179"/>
    <x v="51"/>
    <x v="297"/>
    <x v="6"/>
    <x v="47"/>
    <x v="527"/>
    <x v="0"/>
    <x v="8"/>
    <x v="1"/>
    <x v="17"/>
    <x v="0"/>
    <x v="0"/>
  </r>
  <r>
    <x v="412"/>
    <x v="2"/>
    <x v="692"/>
    <x v="0"/>
    <x v="6"/>
    <x v="4"/>
    <x v="0"/>
    <x v="31"/>
    <x v="9"/>
    <x v="143"/>
    <x v="0"/>
    <x v="41"/>
    <x v="8"/>
    <x v="49"/>
    <x v="517"/>
    <x v="638"/>
    <x v="254"/>
    <x v="6"/>
    <x v="20"/>
    <x v="526"/>
    <x v="0"/>
    <x v="8"/>
    <x v="1"/>
    <x v="17"/>
    <x v="0"/>
    <x v="0"/>
  </r>
  <r>
    <x v="448"/>
    <x v="3"/>
    <x v="559"/>
    <x v="6"/>
    <x v="4"/>
    <x v="4"/>
    <x v="0"/>
    <x v="67"/>
    <x v="9"/>
    <x v="284"/>
    <x v="0"/>
    <x v="22"/>
    <x v="8"/>
    <x v="319"/>
    <x v="415"/>
    <x v="740"/>
    <x v="222"/>
    <x v="6"/>
    <x v="35"/>
    <x v="525"/>
    <x v="0"/>
    <x v="8"/>
    <x v="1"/>
    <x v="17"/>
    <x v="0"/>
    <x v="0"/>
  </r>
  <r>
    <x v="364"/>
    <x v="2"/>
    <x v="558"/>
    <x v="0"/>
    <x v="6"/>
    <x v="4"/>
    <x v="0"/>
    <x v="31"/>
    <x v="9"/>
    <x v="243"/>
    <x v="0"/>
    <x v="129"/>
    <x v="8"/>
    <x v="120"/>
    <x v="57"/>
    <x v="261"/>
    <x v="137"/>
    <x v="5"/>
    <x v="9"/>
    <x v="524"/>
    <x v="0"/>
    <x v="8"/>
    <x v="1"/>
    <x v="17"/>
    <x v="0"/>
    <x v="0"/>
  </r>
  <r>
    <x v="665"/>
    <x v="5"/>
    <x v="374"/>
    <x v="7"/>
    <x v="6"/>
    <x v="4"/>
    <x v="0"/>
    <x v="225"/>
    <x v="9"/>
    <x v="213"/>
    <x v="0"/>
    <x v="243"/>
    <x v="8"/>
    <x v="32"/>
    <x v="769"/>
    <x v="108"/>
    <x v="402"/>
    <x v="3"/>
    <x v="26"/>
    <x v="523"/>
    <x v="0"/>
    <x v="8"/>
    <x v="1"/>
    <x v="17"/>
    <x v="1"/>
    <x v="0"/>
  </r>
  <r>
    <x v="84"/>
    <x v="0"/>
    <x v="344"/>
    <x v="7"/>
    <x v="5"/>
    <x v="4"/>
    <x v="0"/>
    <x v="273"/>
    <x v="9"/>
    <x v="286"/>
    <x v="0"/>
    <x v="217"/>
    <x v="6"/>
    <x v="72"/>
    <x v="707"/>
    <x v="121"/>
    <x v="121"/>
    <x v="3"/>
    <x v="26"/>
    <x v="522"/>
    <x v="0"/>
    <x v="6"/>
    <x v="1"/>
    <x v="17"/>
    <x v="0"/>
    <x v="0"/>
  </r>
  <r>
    <x v="973"/>
    <x v="19"/>
    <x v="343"/>
    <x v="9"/>
    <x v="5"/>
    <x v="0"/>
    <x v="0"/>
    <x v="281"/>
    <x v="9"/>
    <x v="129"/>
    <x v="0"/>
    <x v="36"/>
    <x v="7"/>
    <x v="99"/>
    <x v="548"/>
    <x v="416"/>
    <x v="321"/>
    <x v="6"/>
    <x v="56"/>
    <x v="521"/>
    <x v="0"/>
    <x v="7"/>
    <x v="1"/>
    <x v="17"/>
    <x v="3"/>
    <x v="1"/>
  </r>
  <r>
    <x v="980"/>
    <x v="22"/>
    <x v="342"/>
    <x v="9"/>
    <x v="6"/>
    <x v="3"/>
    <x v="0"/>
    <x v="345"/>
    <x v="7"/>
    <x v="230"/>
    <x v="0"/>
    <x v="52"/>
    <x v="5"/>
    <x v="72"/>
    <x v="570"/>
    <x v="420"/>
    <x v="321"/>
    <x v="6"/>
    <x v="56"/>
    <x v="520"/>
    <x v="0"/>
    <x v="5"/>
    <x v="1"/>
    <x v="17"/>
    <x v="3"/>
    <x v="4"/>
  </r>
  <r>
    <x v="702"/>
    <x v="6"/>
    <x v="817"/>
    <x v="7"/>
    <x v="6"/>
    <x v="4"/>
    <x v="0"/>
    <x v="313"/>
    <x v="9"/>
    <x v="262"/>
    <x v="0"/>
    <x v="39"/>
    <x v="8"/>
    <x v="150"/>
    <x v="48"/>
    <x v="238"/>
    <x v="99"/>
    <x v="5"/>
    <x v="9"/>
    <x v="519"/>
    <x v="0"/>
    <x v="8"/>
    <x v="1"/>
    <x v="17"/>
    <x v="1"/>
    <x v="0"/>
  </r>
  <r>
    <x v="171"/>
    <x v="1"/>
    <x v="689"/>
    <x v="6"/>
    <x v="5"/>
    <x v="4"/>
    <x v="0"/>
    <x v="47"/>
    <x v="9"/>
    <x v="300"/>
    <x v="0"/>
    <x v="6"/>
    <x v="8"/>
    <x v="257"/>
    <x v="379"/>
    <x v="731"/>
    <x v="177"/>
    <x v="6"/>
    <x v="35"/>
    <x v="518"/>
    <x v="0"/>
    <x v="8"/>
    <x v="1"/>
    <x v="17"/>
    <x v="0"/>
    <x v="0"/>
  </r>
  <r>
    <x v="835"/>
    <x v="9"/>
    <x v="660"/>
    <x v="9"/>
    <x v="7"/>
    <x v="4"/>
    <x v="0"/>
    <x v="335"/>
    <x v="9"/>
    <x v="313"/>
    <x v="0"/>
    <x v="179"/>
    <x v="8"/>
    <x v="72"/>
    <x v="693"/>
    <x v="131"/>
    <x v="414"/>
    <x v="3"/>
    <x v="26"/>
    <x v="517"/>
    <x v="0"/>
    <x v="8"/>
    <x v="1"/>
    <x v="17"/>
    <x v="1"/>
    <x v="0"/>
  </r>
  <r>
    <x v="379"/>
    <x v="2"/>
    <x v="847"/>
    <x v="7"/>
    <x v="6"/>
    <x v="4"/>
    <x v="0"/>
    <x v="138"/>
    <x v="9"/>
    <x v="283"/>
    <x v="0"/>
    <x v="27"/>
    <x v="8"/>
    <x v="26"/>
    <x v="941"/>
    <x v="434"/>
    <x v="417"/>
    <x v="1"/>
    <x v="39"/>
    <x v="516"/>
    <x v="0"/>
    <x v="8"/>
    <x v="1"/>
    <x v="17"/>
    <x v="0"/>
    <x v="0"/>
  </r>
  <r>
    <x v="360"/>
    <x v="2"/>
    <x v="161"/>
    <x v="9"/>
    <x v="6"/>
    <x v="4"/>
    <x v="0"/>
    <x v="318"/>
    <x v="9"/>
    <x v="272"/>
    <x v="0"/>
    <x v="12"/>
    <x v="8"/>
    <x v="22"/>
    <x v="629"/>
    <x v="544"/>
    <x v="169"/>
    <x v="6"/>
    <x v="38"/>
    <x v="515"/>
    <x v="0"/>
    <x v="8"/>
    <x v="1"/>
    <x v="17"/>
    <x v="0"/>
    <x v="0"/>
  </r>
  <r>
    <x v="688"/>
    <x v="6"/>
    <x v="35"/>
    <x v="5"/>
    <x v="4"/>
    <x v="4"/>
    <x v="0"/>
    <x v="112"/>
    <x v="9"/>
    <x v="273"/>
    <x v="0"/>
    <x v="17"/>
    <x v="8"/>
    <x v="92"/>
    <x v="190"/>
    <x v="912"/>
    <x v="360"/>
    <x v="6"/>
    <x v="56"/>
    <x v="514"/>
    <x v="0"/>
    <x v="8"/>
    <x v="1"/>
    <x v="17"/>
    <x v="1"/>
    <x v="0"/>
  </r>
  <r>
    <x v="781"/>
    <x v="7"/>
    <x v="287"/>
    <x v="4"/>
    <x v="3"/>
    <x v="4"/>
    <x v="0"/>
    <x v="141"/>
    <x v="9"/>
    <x v="193"/>
    <x v="0"/>
    <x v="55"/>
    <x v="8"/>
    <x v="65"/>
    <x v="573"/>
    <x v="422"/>
    <x v="321"/>
    <x v="6"/>
    <x v="56"/>
    <x v="513"/>
    <x v="0"/>
    <x v="8"/>
    <x v="1"/>
    <x v="17"/>
    <x v="1"/>
    <x v="0"/>
  </r>
  <r>
    <x v="252"/>
    <x v="1"/>
    <x v="889"/>
    <x v="0"/>
    <x v="6"/>
    <x v="4"/>
    <x v="0"/>
    <x v="14"/>
    <x v="9"/>
    <x v="257"/>
    <x v="0"/>
    <x v="59"/>
    <x v="8"/>
    <x v="44"/>
    <x v="942"/>
    <x v="431"/>
    <x v="417"/>
    <x v="1"/>
    <x v="39"/>
    <x v="512"/>
    <x v="0"/>
    <x v="8"/>
    <x v="1"/>
    <x v="16"/>
    <x v="0"/>
    <x v="0"/>
  </r>
  <r>
    <x v="705"/>
    <x v="6"/>
    <x v="473"/>
    <x v="6"/>
    <x v="5"/>
    <x v="4"/>
    <x v="0"/>
    <x v="139"/>
    <x v="9"/>
    <x v="221"/>
    <x v="0"/>
    <x v="8"/>
    <x v="8"/>
    <x v="275"/>
    <x v="335"/>
    <x v="736"/>
    <x v="493"/>
    <x v="6"/>
    <x v="35"/>
    <x v="511"/>
    <x v="0"/>
    <x v="8"/>
    <x v="1"/>
    <x v="16"/>
    <x v="1"/>
    <x v="0"/>
  </r>
  <r>
    <x v="109"/>
    <x v="0"/>
    <x v="367"/>
    <x v="8"/>
    <x v="6"/>
    <x v="4"/>
    <x v="0"/>
    <x v="302"/>
    <x v="9"/>
    <x v="276"/>
    <x v="0"/>
    <x v="182"/>
    <x v="8"/>
    <x v="194"/>
    <x v="704"/>
    <x v="127"/>
    <x v="314"/>
    <x v="3"/>
    <x v="26"/>
    <x v="510"/>
    <x v="0"/>
    <x v="8"/>
    <x v="1"/>
    <x v="16"/>
    <x v="0"/>
    <x v="0"/>
  </r>
  <r>
    <x v="574"/>
    <x v="4"/>
    <x v="919"/>
    <x v="6"/>
    <x v="6"/>
    <x v="4"/>
    <x v="0"/>
    <x v="148"/>
    <x v="9"/>
    <x v="213"/>
    <x v="0"/>
    <x v="199"/>
    <x v="8"/>
    <x v="94"/>
    <x v="239"/>
    <x v="210"/>
    <x v="415"/>
    <x v="5"/>
    <x v="37"/>
    <x v="509"/>
    <x v="0"/>
    <x v="8"/>
    <x v="1"/>
    <x v="16"/>
    <x v="0"/>
    <x v="0"/>
  </r>
  <r>
    <x v="707"/>
    <x v="6"/>
    <x v="772"/>
    <x v="9"/>
    <x v="8"/>
    <x v="4"/>
    <x v="0"/>
    <x v="255"/>
    <x v="9"/>
    <x v="318"/>
    <x v="0"/>
    <x v="77"/>
    <x v="8"/>
    <x v="59"/>
    <x v="875"/>
    <x v="364"/>
    <x v="486"/>
    <x v="1"/>
    <x v="49"/>
    <x v="508"/>
    <x v="0"/>
    <x v="8"/>
    <x v="1"/>
    <x v="16"/>
    <x v="1"/>
    <x v="0"/>
  </r>
  <r>
    <x v="79"/>
    <x v="0"/>
    <x v="466"/>
    <x v="3"/>
    <x v="5"/>
    <x v="4"/>
    <x v="0"/>
    <x v="5"/>
    <x v="9"/>
    <x v="181"/>
    <x v="0"/>
    <x v="22"/>
    <x v="8"/>
    <x v="140"/>
    <x v="365"/>
    <x v="744"/>
    <x v="126"/>
    <x v="6"/>
    <x v="35"/>
    <x v="507"/>
    <x v="0"/>
    <x v="8"/>
    <x v="1"/>
    <x v="16"/>
    <x v="0"/>
    <x v="0"/>
  </r>
  <r>
    <x v="579"/>
    <x v="4"/>
    <x v="605"/>
    <x v="8"/>
    <x v="7"/>
    <x v="4"/>
    <x v="0"/>
    <x v="321"/>
    <x v="9"/>
    <x v="151"/>
    <x v="0"/>
    <x v="25"/>
    <x v="8"/>
    <x v="178"/>
    <x v="756"/>
    <x v="410"/>
    <x v="253"/>
    <x v="1"/>
    <x v="19"/>
    <x v="506"/>
    <x v="0"/>
    <x v="8"/>
    <x v="1"/>
    <x v="16"/>
    <x v="0"/>
    <x v="0"/>
  </r>
  <r>
    <x v="420"/>
    <x v="2"/>
    <x v="538"/>
    <x v="5"/>
    <x v="4"/>
    <x v="4"/>
    <x v="0"/>
    <x v="50"/>
    <x v="9"/>
    <x v="311"/>
    <x v="0"/>
    <x v="10"/>
    <x v="7"/>
    <x v="122"/>
    <x v="891"/>
    <x v="702"/>
    <x v="274"/>
    <x v="6"/>
    <x v="56"/>
    <x v="505"/>
    <x v="0"/>
    <x v="7"/>
    <x v="1"/>
    <x v="16"/>
    <x v="0"/>
    <x v="0"/>
  </r>
  <r>
    <x v="402"/>
    <x v="2"/>
    <x v="149"/>
    <x v="5"/>
    <x v="5"/>
    <x v="4"/>
    <x v="0"/>
    <x v="186"/>
    <x v="9"/>
    <x v="197"/>
    <x v="0"/>
    <x v="40"/>
    <x v="8"/>
    <x v="231"/>
    <x v="579"/>
    <x v="447"/>
    <x v="176"/>
    <x v="6"/>
    <x v="20"/>
    <x v="504"/>
    <x v="0"/>
    <x v="8"/>
    <x v="1"/>
    <x v="16"/>
    <x v="0"/>
    <x v="0"/>
  </r>
  <r>
    <x v="628"/>
    <x v="5"/>
    <x v="96"/>
    <x v="7"/>
    <x v="4"/>
    <x v="4"/>
    <x v="0"/>
    <x v="91"/>
    <x v="9"/>
    <x v="168"/>
    <x v="0"/>
    <x v="40"/>
    <x v="8"/>
    <x v="312"/>
    <x v="150"/>
    <x v="954"/>
    <x v="161"/>
    <x v="6"/>
    <x v="56"/>
    <x v="503"/>
    <x v="0"/>
    <x v="8"/>
    <x v="1"/>
    <x v="16"/>
    <x v="1"/>
    <x v="0"/>
  </r>
  <r>
    <x v="663"/>
    <x v="5"/>
    <x v="795"/>
    <x v="6"/>
    <x v="5"/>
    <x v="4"/>
    <x v="0"/>
    <x v="184"/>
    <x v="9"/>
    <x v="210"/>
    <x v="0"/>
    <x v="129"/>
    <x v="8"/>
    <x v="286"/>
    <x v="332"/>
    <x v="218"/>
    <x v="100"/>
    <x v="5"/>
    <x v="37"/>
    <x v="502"/>
    <x v="0"/>
    <x v="8"/>
    <x v="1"/>
    <x v="16"/>
    <x v="1"/>
    <x v="0"/>
  </r>
  <r>
    <x v="724"/>
    <x v="6"/>
    <x v="672"/>
    <x v="5"/>
    <x v="5"/>
    <x v="4"/>
    <x v="0"/>
    <x v="109"/>
    <x v="9"/>
    <x v="267"/>
    <x v="0"/>
    <x v="19"/>
    <x v="8"/>
    <x v="111"/>
    <x v="184"/>
    <x v="940"/>
    <x v="360"/>
    <x v="6"/>
    <x v="56"/>
    <x v="501"/>
    <x v="0"/>
    <x v="8"/>
    <x v="1"/>
    <x v="16"/>
    <x v="1"/>
    <x v="0"/>
  </r>
  <r>
    <x v="110"/>
    <x v="0"/>
    <x v="671"/>
    <x v="0"/>
    <x v="4"/>
    <x v="4"/>
    <x v="0"/>
    <x v="0"/>
    <x v="9"/>
    <x v="117"/>
    <x v="0"/>
    <x v="37"/>
    <x v="7"/>
    <x v="136"/>
    <x v="185"/>
    <x v="938"/>
    <x v="360"/>
    <x v="6"/>
    <x v="56"/>
    <x v="500"/>
    <x v="0"/>
    <x v="7"/>
    <x v="1"/>
    <x v="16"/>
    <x v="0"/>
    <x v="0"/>
  </r>
  <r>
    <x v="770"/>
    <x v="7"/>
    <x v="670"/>
    <x v="8"/>
    <x v="5"/>
    <x v="4"/>
    <x v="0"/>
    <x v="126"/>
    <x v="9"/>
    <x v="95"/>
    <x v="0"/>
    <x v="66"/>
    <x v="8"/>
    <x v="127"/>
    <x v="182"/>
    <x v="937"/>
    <x v="360"/>
    <x v="6"/>
    <x v="56"/>
    <x v="499"/>
    <x v="0"/>
    <x v="8"/>
    <x v="1"/>
    <x v="16"/>
    <x v="1"/>
    <x v="0"/>
  </r>
  <r>
    <x v="167"/>
    <x v="1"/>
    <x v="981"/>
    <x v="3"/>
    <x v="5"/>
    <x v="4"/>
    <x v="0"/>
    <x v="18"/>
    <x v="9"/>
    <x v="71"/>
    <x v="0"/>
    <x v="52"/>
    <x v="8"/>
    <x v="20"/>
    <x v="482"/>
    <x v="723"/>
    <x v="23"/>
    <x v="6"/>
    <x v="35"/>
    <x v="498"/>
    <x v="0"/>
    <x v="8"/>
    <x v="1"/>
    <x v="16"/>
    <x v="0"/>
    <x v="0"/>
  </r>
  <r>
    <x v="892"/>
    <x v="11"/>
    <x v="175"/>
    <x v="3"/>
    <x v="6"/>
    <x v="4"/>
    <x v="0"/>
    <x v="173"/>
    <x v="9"/>
    <x v="268"/>
    <x v="0"/>
    <x v="164"/>
    <x v="8"/>
    <x v="56"/>
    <x v="83"/>
    <x v="43"/>
    <x v="192"/>
    <x v="6"/>
    <x v="56"/>
    <x v="497"/>
    <x v="0"/>
    <x v="8"/>
    <x v="1"/>
    <x v="16"/>
    <x v="2"/>
    <x v="0"/>
  </r>
  <r>
    <x v="383"/>
    <x v="2"/>
    <x v="730"/>
    <x v="6"/>
    <x v="5"/>
    <x v="4"/>
    <x v="0"/>
    <x v="82"/>
    <x v="9"/>
    <x v="280"/>
    <x v="0"/>
    <x v="114"/>
    <x v="8"/>
    <x v="130"/>
    <x v="887"/>
    <x v="688"/>
    <x v="274"/>
    <x v="1"/>
    <x v="23"/>
    <x v="496"/>
    <x v="0"/>
    <x v="8"/>
    <x v="1"/>
    <x v="16"/>
    <x v="0"/>
    <x v="0"/>
  </r>
  <r>
    <x v="440"/>
    <x v="3"/>
    <x v="299"/>
    <x v="4"/>
    <x v="4"/>
    <x v="4"/>
    <x v="0"/>
    <x v="69"/>
    <x v="9"/>
    <x v="244"/>
    <x v="0"/>
    <x v="21"/>
    <x v="8"/>
    <x v="22"/>
    <x v="158"/>
    <x v="941"/>
    <x v="494"/>
    <x v="6"/>
    <x v="56"/>
    <x v="495"/>
    <x v="0"/>
    <x v="8"/>
    <x v="1"/>
    <x v="16"/>
    <x v="0"/>
    <x v="0"/>
  </r>
  <r>
    <x v="508"/>
    <x v="3"/>
    <x v="755"/>
    <x v="5"/>
    <x v="5"/>
    <x v="4"/>
    <x v="0"/>
    <x v="57"/>
    <x v="9"/>
    <x v="195"/>
    <x v="0"/>
    <x v="25"/>
    <x v="8"/>
    <x v="221"/>
    <x v="295"/>
    <x v="855"/>
    <x v="199"/>
    <x v="6"/>
    <x v="42"/>
    <x v="494"/>
    <x v="0"/>
    <x v="8"/>
    <x v="1"/>
    <x v="16"/>
    <x v="0"/>
    <x v="0"/>
  </r>
  <r>
    <x v="200"/>
    <x v="1"/>
    <x v="341"/>
    <x v="7"/>
    <x v="6"/>
    <x v="4"/>
    <x v="0"/>
    <x v="130"/>
    <x v="9"/>
    <x v="279"/>
    <x v="0"/>
    <x v="6"/>
    <x v="8"/>
    <x v="22"/>
    <x v="837"/>
    <x v="666"/>
    <x v="163"/>
    <x v="1"/>
    <x v="23"/>
    <x v="493"/>
    <x v="0"/>
    <x v="8"/>
    <x v="1"/>
    <x v="16"/>
    <x v="0"/>
    <x v="0"/>
  </r>
  <r>
    <x v="709"/>
    <x v="6"/>
    <x v="198"/>
    <x v="8"/>
    <x v="7"/>
    <x v="4"/>
    <x v="0"/>
    <x v="258"/>
    <x v="9"/>
    <x v="196"/>
    <x v="0"/>
    <x v="60"/>
    <x v="8"/>
    <x v="154"/>
    <x v="867"/>
    <x v="678"/>
    <x v="164"/>
    <x v="1"/>
    <x v="23"/>
    <x v="492"/>
    <x v="0"/>
    <x v="8"/>
    <x v="1"/>
    <x v="16"/>
    <x v="1"/>
    <x v="0"/>
  </r>
  <r>
    <x v="276"/>
    <x v="1"/>
    <x v="197"/>
    <x v="7"/>
    <x v="5"/>
    <x v="4"/>
    <x v="0"/>
    <x v="175"/>
    <x v="9"/>
    <x v="243"/>
    <x v="0"/>
    <x v="176"/>
    <x v="8"/>
    <x v="298"/>
    <x v="699"/>
    <x v="138"/>
    <x v="143"/>
    <x v="6"/>
    <x v="26"/>
    <x v="491"/>
    <x v="0"/>
    <x v="8"/>
    <x v="1"/>
    <x v="16"/>
    <x v="0"/>
    <x v="0"/>
  </r>
  <r>
    <x v="567"/>
    <x v="4"/>
    <x v="782"/>
    <x v="7"/>
    <x v="8"/>
    <x v="4"/>
    <x v="0"/>
    <x v="269"/>
    <x v="9"/>
    <x v="125"/>
    <x v="0"/>
    <x v="64"/>
    <x v="8"/>
    <x v="9"/>
    <x v="726"/>
    <x v="460"/>
    <x v="447"/>
    <x v="1"/>
    <x v="29"/>
    <x v="490"/>
    <x v="0"/>
    <x v="8"/>
    <x v="1"/>
    <x v="16"/>
    <x v="0"/>
    <x v="0"/>
  </r>
  <r>
    <x v="260"/>
    <x v="1"/>
    <x v="339"/>
    <x v="6"/>
    <x v="4"/>
    <x v="4"/>
    <x v="0"/>
    <x v="17"/>
    <x v="9"/>
    <x v="312"/>
    <x v="0"/>
    <x v="4"/>
    <x v="4"/>
    <x v="102"/>
    <x v="880"/>
    <x v="695"/>
    <x v="3"/>
    <x v="6"/>
    <x v="56"/>
    <x v="489"/>
    <x v="0"/>
    <x v="4"/>
    <x v="1"/>
    <x v="16"/>
    <x v="0"/>
    <x v="0"/>
  </r>
  <r>
    <x v="126"/>
    <x v="0"/>
    <x v="338"/>
    <x v="0"/>
    <x v="3"/>
    <x v="4"/>
    <x v="0"/>
    <x v="0"/>
    <x v="9"/>
    <x v="142"/>
    <x v="0"/>
    <x v="69"/>
    <x v="0"/>
    <x v="6"/>
    <x v="820"/>
    <x v="675"/>
    <x v="140"/>
    <x v="6"/>
    <x v="56"/>
    <x v="488"/>
    <x v="0"/>
    <x v="0"/>
    <x v="1"/>
    <x v="16"/>
    <x v="0"/>
    <x v="0"/>
  </r>
  <r>
    <x v="907"/>
    <x v="12"/>
    <x v="337"/>
    <x v="7"/>
    <x v="3"/>
    <x v="4"/>
    <x v="0"/>
    <x v="193"/>
    <x v="9"/>
    <x v="237"/>
    <x v="0"/>
    <x v="9"/>
    <x v="7"/>
    <x v="62"/>
    <x v="861"/>
    <x v="720"/>
    <x v="180"/>
    <x v="6"/>
    <x v="56"/>
    <x v="487"/>
    <x v="0"/>
    <x v="7"/>
    <x v="1"/>
    <x v="16"/>
    <x v="2"/>
    <x v="0"/>
  </r>
  <r>
    <x v="945"/>
    <x v="14"/>
    <x v="336"/>
    <x v="8"/>
    <x v="6"/>
    <x v="4"/>
    <x v="0"/>
    <x v="263"/>
    <x v="9"/>
    <x v="56"/>
    <x v="0"/>
    <x v="206"/>
    <x v="7"/>
    <x v="155"/>
    <x v="821"/>
    <x v="670"/>
    <x v="1"/>
    <x v="6"/>
    <x v="56"/>
    <x v="486"/>
    <x v="0"/>
    <x v="7"/>
    <x v="1"/>
    <x v="16"/>
    <x v="2"/>
    <x v="0"/>
  </r>
  <r>
    <x v="983"/>
    <x v="24"/>
    <x v="335"/>
    <x v="9"/>
    <x v="7"/>
    <x v="4"/>
    <x v="0"/>
    <x v="348"/>
    <x v="7"/>
    <x v="254"/>
    <x v="0"/>
    <x v="4"/>
    <x v="8"/>
    <x v="120"/>
    <x v="868"/>
    <x v="691"/>
    <x v="7"/>
    <x v="6"/>
    <x v="56"/>
    <x v="485"/>
    <x v="0"/>
    <x v="8"/>
    <x v="1"/>
    <x v="16"/>
    <x v="3"/>
    <x v="0"/>
  </r>
  <r>
    <x v="787"/>
    <x v="8"/>
    <x v="257"/>
    <x v="5"/>
    <x v="4"/>
    <x v="4"/>
    <x v="0"/>
    <x v="213"/>
    <x v="9"/>
    <x v="259"/>
    <x v="0"/>
    <x v="57"/>
    <x v="8"/>
    <x v="127"/>
    <x v="871"/>
    <x v="705"/>
    <x v="2"/>
    <x v="6"/>
    <x v="56"/>
    <x v="484"/>
    <x v="0"/>
    <x v="8"/>
    <x v="1"/>
    <x v="16"/>
    <x v="1"/>
    <x v="0"/>
  </r>
  <r>
    <x v="381"/>
    <x v="2"/>
    <x v="440"/>
    <x v="5"/>
    <x v="5"/>
    <x v="4"/>
    <x v="0"/>
    <x v="66"/>
    <x v="9"/>
    <x v="138"/>
    <x v="0"/>
    <x v="167"/>
    <x v="8"/>
    <x v="79"/>
    <x v="47"/>
    <x v="234"/>
    <x v="99"/>
    <x v="6"/>
    <x v="56"/>
    <x v="483"/>
    <x v="0"/>
    <x v="8"/>
    <x v="1"/>
    <x v="16"/>
    <x v="0"/>
    <x v="0"/>
  </r>
  <r>
    <x v="555"/>
    <x v="4"/>
    <x v="329"/>
    <x v="7"/>
    <x v="6"/>
    <x v="4"/>
    <x v="0"/>
    <x v="220"/>
    <x v="9"/>
    <x v="150"/>
    <x v="0"/>
    <x v="171"/>
    <x v="8"/>
    <x v="103"/>
    <x v="43"/>
    <x v="232"/>
    <x v="472"/>
    <x v="5"/>
    <x v="9"/>
    <x v="482"/>
    <x v="0"/>
    <x v="8"/>
    <x v="1"/>
    <x v="16"/>
    <x v="0"/>
    <x v="0"/>
  </r>
  <r>
    <x v="763"/>
    <x v="7"/>
    <x v="585"/>
    <x v="7"/>
    <x v="6"/>
    <x v="4"/>
    <x v="0"/>
    <x v="309"/>
    <x v="9"/>
    <x v="145"/>
    <x v="0"/>
    <x v="118"/>
    <x v="8"/>
    <x v="212"/>
    <x v="770"/>
    <x v="377"/>
    <x v="108"/>
    <x v="1"/>
    <x v="33"/>
    <x v="481"/>
    <x v="0"/>
    <x v="8"/>
    <x v="1"/>
    <x v="16"/>
    <x v="1"/>
    <x v="0"/>
  </r>
  <r>
    <x v="623"/>
    <x v="5"/>
    <x v="403"/>
    <x v="2"/>
    <x v="4"/>
    <x v="4"/>
    <x v="0"/>
    <x v="85"/>
    <x v="9"/>
    <x v="276"/>
    <x v="0"/>
    <x v="26"/>
    <x v="8"/>
    <x v="16"/>
    <x v="152"/>
    <x v="942"/>
    <x v="448"/>
    <x v="6"/>
    <x v="56"/>
    <x v="480"/>
    <x v="0"/>
    <x v="8"/>
    <x v="1"/>
    <x v="16"/>
    <x v="1"/>
    <x v="0"/>
  </r>
  <r>
    <x v="760"/>
    <x v="7"/>
    <x v="34"/>
    <x v="8"/>
    <x v="6"/>
    <x v="4"/>
    <x v="0"/>
    <x v="246"/>
    <x v="9"/>
    <x v="160"/>
    <x v="0"/>
    <x v="148"/>
    <x v="8"/>
    <x v="94"/>
    <x v="34"/>
    <x v="228"/>
    <x v="83"/>
    <x v="5"/>
    <x v="9"/>
    <x v="479"/>
    <x v="0"/>
    <x v="8"/>
    <x v="1"/>
    <x v="16"/>
    <x v="1"/>
    <x v="0"/>
  </r>
  <r>
    <x v="792"/>
    <x v="8"/>
    <x v="842"/>
    <x v="0"/>
    <x v="4"/>
    <x v="4"/>
    <x v="0"/>
    <x v="129"/>
    <x v="9"/>
    <x v="169"/>
    <x v="0"/>
    <x v="17"/>
    <x v="7"/>
    <x v="49"/>
    <x v="168"/>
    <x v="932"/>
    <x v="161"/>
    <x v="6"/>
    <x v="56"/>
    <x v="478"/>
    <x v="0"/>
    <x v="7"/>
    <x v="1"/>
    <x v="15"/>
    <x v="1"/>
    <x v="0"/>
  </r>
  <r>
    <x v="324"/>
    <x v="2"/>
    <x v="681"/>
    <x v="3"/>
    <x v="6"/>
    <x v="4"/>
    <x v="0"/>
    <x v="46"/>
    <x v="9"/>
    <x v="94"/>
    <x v="0"/>
    <x v="111"/>
    <x v="7"/>
    <x v="26"/>
    <x v="768"/>
    <x v="374"/>
    <x v="43"/>
    <x v="1"/>
    <x v="21"/>
    <x v="477"/>
    <x v="0"/>
    <x v="7"/>
    <x v="1"/>
    <x v="15"/>
    <x v="0"/>
    <x v="0"/>
  </r>
  <r>
    <x v="263"/>
    <x v="1"/>
    <x v="62"/>
    <x v="0"/>
    <x v="5"/>
    <x v="4"/>
    <x v="0"/>
    <x v="14"/>
    <x v="9"/>
    <x v="108"/>
    <x v="0"/>
    <x v="67"/>
    <x v="6"/>
    <x v="130"/>
    <x v="388"/>
    <x v="756"/>
    <x v="182"/>
    <x v="6"/>
    <x v="35"/>
    <x v="476"/>
    <x v="0"/>
    <x v="6"/>
    <x v="1"/>
    <x v="15"/>
    <x v="0"/>
    <x v="0"/>
  </r>
  <r>
    <x v="925"/>
    <x v="13"/>
    <x v="830"/>
    <x v="4"/>
    <x v="6"/>
    <x v="4"/>
    <x v="0"/>
    <x v="201"/>
    <x v="9"/>
    <x v="149"/>
    <x v="0"/>
    <x v="103"/>
    <x v="7"/>
    <x v="73"/>
    <x v="484"/>
    <x v="465"/>
    <x v="445"/>
    <x v="6"/>
    <x v="56"/>
    <x v="475"/>
    <x v="0"/>
    <x v="7"/>
    <x v="1"/>
    <x v="15"/>
    <x v="2"/>
    <x v="0"/>
  </r>
  <r>
    <x v="418"/>
    <x v="2"/>
    <x v="710"/>
    <x v="5"/>
    <x v="4"/>
    <x v="4"/>
    <x v="0"/>
    <x v="101"/>
    <x v="9"/>
    <x v="135"/>
    <x v="0"/>
    <x v="211"/>
    <x v="7"/>
    <x v="32"/>
    <x v="746"/>
    <x v="114"/>
    <x v="122"/>
    <x v="6"/>
    <x v="56"/>
    <x v="474"/>
    <x v="0"/>
    <x v="7"/>
    <x v="1"/>
    <x v="15"/>
    <x v="0"/>
    <x v="0"/>
  </r>
  <r>
    <x v="679"/>
    <x v="5"/>
    <x v="942"/>
    <x v="8"/>
    <x v="4"/>
    <x v="4"/>
    <x v="0"/>
    <x v="98"/>
    <x v="9"/>
    <x v="90"/>
    <x v="0"/>
    <x v="38"/>
    <x v="7"/>
    <x v="103"/>
    <x v="431"/>
    <x v="635"/>
    <x v="343"/>
    <x v="6"/>
    <x v="20"/>
    <x v="473"/>
    <x v="0"/>
    <x v="7"/>
    <x v="1"/>
    <x v="15"/>
    <x v="1"/>
    <x v="0"/>
  </r>
  <r>
    <x v="635"/>
    <x v="5"/>
    <x v="95"/>
    <x v="8"/>
    <x v="7"/>
    <x v="4"/>
    <x v="0"/>
    <x v="284"/>
    <x v="9"/>
    <x v="139"/>
    <x v="0"/>
    <x v="45"/>
    <x v="7"/>
    <x v="26"/>
    <x v="24"/>
    <x v="967"/>
    <x v="268"/>
    <x v="6"/>
    <x v="31"/>
    <x v="472"/>
    <x v="0"/>
    <x v="7"/>
    <x v="1"/>
    <x v="15"/>
    <x v="1"/>
    <x v="0"/>
  </r>
  <r>
    <x v="734"/>
    <x v="6"/>
    <x v="385"/>
    <x v="6"/>
    <x v="4"/>
    <x v="4"/>
    <x v="0"/>
    <x v="200"/>
    <x v="9"/>
    <x v="313"/>
    <x v="0"/>
    <x v="20"/>
    <x v="7"/>
    <x v="327"/>
    <x v="521"/>
    <x v="200"/>
    <x v="115"/>
    <x v="5"/>
    <x v="12"/>
    <x v="471"/>
    <x v="0"/>
    <x v="7"/>
    <x v="1"/>
    <x v="15"/>
    <x v="1"/>
    <x v="0"/>
  </r>
  <r>
    <x v="804"/>
    <x v="8"/>
    <x v="310"/>
    <x v="7"/>
    <x v="6"/>
    <x v="4"/>
    <x v="0"/>
    <x v="151"/>
    <x v="9"/>
    <x v="167"/>
    <x v="0"/>
    <x v="79"/>
    <x v="7"/>
    <x v="98"/>
    <x v="196"/>
    <x v="936"/>
    <x v="360"/>
    <x v="6"/>
    <x v="54"/>
    <x v="470"/>
    <x v="0"/>
    <x v="7"/>
    <x v="1"/>
    <x v="15"/>
    <x v="1"/>
    <x v="0"/>
  </r>
  <r>
    <x v="668"/>
    <x v="5"/>
    <x v="121"/>
    <x v="4"/>
    <x v="5"/>
    <x v="4"/>
    <x v="0"/>
    <x v="87"/>
    <x v="9"/>
    <x v="159"/>
    <x v="0"/>
    <x v="23"/>
    <x v="8"/>
    <x v="163"/>
    <x v="401"/>
    <x v="760"/>
    <x v="197"/>
    <x v="6"/>
    <x v="35"/>
    <x v="469"/>
    <x v="0"/>
    <x v="8"/>
    <x v="1"/>
    <x v="15"/>
    <x v="1"/>
    <x v="0"/>
  </r>
  <r>
    <x v="17"/>
    <x v="0"/>
    <x v="120"/>
    <x v="5"/>
    <x v="3"/>
    <x v="4"/>
    <x v="0"/>
    <x v="8"/>
    <x v="9"/>
    <x v="166"/>
    <x v="0"/>
    <x v="12"/>
    <x v="7"/>
    <x v="332"/>
    <x v="413"/>
    <x v="737"/>
    <x v="248"/>
    <x v="6"/>
    <x v="35"/>
    <x v="468"/>
    <x v="0"/>
    <x v="7"/>
    <x v="1"/>
    <x v="15"/>
    <x v="0"/>
    <x v="0"/>
  </r>
  <r>
    <x v="883"/>
    <x v="11"/>
    <x v="767"/>
    <x v="5"/>
    <x v="2"/>
    <x v="4"/>
    <x v="0"/>
    <x v="177"/>
    <x v="9"/>
    <x v="128"/>
    <x v="0"/>
    <x v="38"/>
    <x v="7"/>
    <x v="371"/>
    <x v="602"/>
    <x v="546"/>
    <x v="48"/>
    <x v="6"/>
    <x v="38"/>
    <x v="467"/>
    <x v="0"/>
    <x v="7"/>
    <x v="1"/>
    <x v="15"/>
    <x v="2"/>
    <x v="0"/>
  </r>
  <r>
    <x v="817"/>
    <x v="8"/>
    <x v="599"/>
    <x v="8"/>
    <x v="6"/>
    <x v="4"/>
    <x v="0"/>
    <x v="136"/>
    <x v="9"/>
    <x v="160"/>
    <x v="0"/>
    <x v="64"/>
    <x v="7"/>
    <x v="136"/>
    <x v="392"/>
    <x v="759"/>
    <x v="302"/>
    <x v="6"/>
    <x v="35"/>
    <x v="466"/>
    <x v="0"/>
    <x v="7"/>
    <x v="1"/>
    <x v="15"/>
    <x v="1"/>
    <x v="0"/>
  </r>
  <r>
    <x v="582"/>
    <x v="4"/>
    <x v="598"/>
    <x v="4"/>
    <x v="6"/>
    <x v="4"/>
    <x v="0"/>
    <x v="72"/>
    <x v="9"/>
    <x v="200"/>
    <x v="0"/>
    <x v="44"/>
    <x v="7"/>
    <x v="111"/>
    <x v="391"/>
    <x v="758"/>
    <x v="197"/>
    <x v="6"/>
    <x v="35"/>
    <x v="465"/>
    <x v="0"/>
    <x v="7"/>
    <x v="1"/>
    <x v="15"/>
    <x v="0"/>
    <x v="0"/>
  </r>
  <r>
    <x v="235"/>
    <x v="1"/>
    <x v="453"/>
    <x v="6"/>
    <x v="6"/>
    <x v="4"/>
    <x v="0"/>
    <x v="83"/>
    <x v="9"/>
    <x v="104"/>
    <x v="0"/>
    <x v="213"/>
    <x v="7"/>
    <x v="82"/>
    <x v="36"/>
    <x v="229"/>
    <x v="81"/>
    <x v="5"/>
    <x v="9"/>
    <x v="464"/>
    <x v="0"/>
    <x v="7"/>
    <x v="1"/>
    <x v="15"/>
    <x v="0"/>
    <x v="0"/>
  </r>
  <r>
    <x v="394"/>
    <x v="2"/>
    <x v="856"/>
    <x v="5"/>
    <x v="5"/>
    <x v="4"/>
    <x v="0"/>
    <x v="35"/>
    <x v="9"/>
    <x v="158"/>
    <x v="0"/>
    <x v="69"/>
    <x v="7"/>
    <x v="136"/>
    <x v="290"/>
    <x v="861"/>
    <x v="199"/>
    <x v="6"/>
    <x v="42"/>
    <x v="463"/>
    <x v="0"/>
    <x v="7"/>
    <x v="1"/>
    <x v="15"/>
    <x v="0"/>
    <x v="0"/>
  </r>
  <r>
    <x v="188"/>
    <x v="1"/>
    <x v="521"/>
    <x v="0"/>
    <x v="6"/>
    <x v="4"/>
    <x v="0"/>
    <x v="14"/>
    <x v="9"/>
    <x v="110"/>
    <x v="0"/>
    <x v="115"/>
    <x v="7"/>
    <x v="21"/>
    <x v="502"/>
    <x v="647"/>
    <x v="60"/>
    <x v="6"/>
    <x v="20"/>
    <x v="462"/>
    <x v="0"/>
    <x v="7"/>
    <x v="1"/>
    <x v="15"/>
    <x v="0"/>
    <x v="0"/>
  </r>
  <r>
    <x v="625"/>
    <x v="5"/>
    <x v="520"/>
    <x v="3"/>
    <x v="6"/>
    <x v="4"/>
    <x v="0"/>
    <x v="85"/>
    <x v="9"/>
    <x v="109"/>
    <x v="0"/>
    <x v="63"/>
    <x v="7"/>
    <x v="59"/>
    <x v="506"/>
    <x v="648"/>
    <x v="60"/>
    <x v="6"/>
    <x v="20"/>
    <x v="461"/>
    <x v="0"/>
    <x v="7"/>
    <x v="1"/>
    <x v="15"/>
    <x v="1"/>
    <x v="0"/>
  </r>
  <r>
    <x v="866"/>
    <x v="10"/>
    <x v="383"/>
    <x v="6"/>
    <x v="4"/>
    <x v="4"/>
    <x v="0"/>
    <x v="264"/>
    <x v="9"/>
    <x v="240"/>
    <x v="0"/>
    <x v="68"/>
    <x v="7"/>
    <x v="136"/>
    <x v="615"/>
    <x v="413"/>
    <x v="305"/>
    <x v="6"/>
    <x v="56"/>
    <x v="460"/>
    <x v="0"/>
    <x v="7"/>
    <x v="1"/>
    <x v="15"/>
    <x v="2"/>
    <x v="0"/>
  </r>
  <r>
    <x v="742"/>
    <x v="7"/>
    <x v="878"/>
    <x v="5"/>
    <x v="5"/>
    <x v="4"/>
    <x v="0"/>
    <x v="120"/>
    <x v="9"/>
    <x v="121"/>
    <x v="0"/>
    <x v="16"/>
    <x v="7"/>
    <x v="124"/>
    <x v="248"/>
    <x v="900"/>
    <x v="433"/>
    <x v="6"/>
    <x v="54"/>
    <x v="459"/>
    <x v="0"/>
    <x v="7"/>
    <x v="1"/>
    <x v="15"/>
    <x v="1"/>
    <x v="0"/>
  </r>
  <r>
    <x v="761"/>
    <x v="7"/>
    <x v="261"/>
    <x v="5"/>
    <x v="5"/>
    <x v="4"/>
    <x v="0"/>
    <x v="188"/>
    <x v="9"/>
    <x v="292"/>
    <x v="0"/>
    <x v="83"/>
    <x v="7"/>
    <x v="141"/>
    <x v="582"/>
    <x v="435"/>
    <x v="269"/>
    <x v="6"/>
    <x v="20"/>
    <x v="458"/>
    <x v="0"/>
    <x v="7"/>
    <x v="1"/>
    <x v="15"/>
    <x v="1"/>
    <x v="0"/>
  </r>
  <r>
    <x v="559"/>
    <x v="4"/>
    <x v="410"/>
    <x v="6"/>
    <x v="8"/>
    <x v="4"/>
    <x v="0"/>
    <x v="99"/>
    <x v="9"/>
    <x v="170"/>
    <x v="0"/>
    <x v="36"/>
    <x v="7"/>
    <x v="56"/>
    <x v="792"/>
    <x v="438"/>
    <x v="378"/>
    <x v="1"/>
    <x v="36"/>
    <x v="457"/>
    <x v="0"/>
    <x v="7"/>
    <x v="1"/>
    <x v="15"/>
    <x v="0"/>
    <x v="0"/>
  </r>
  <r>
    <x v="600"/>
    <x v="4"/>
    <x v="340"/>
    <x v="4"/>
    <x v="4"/>
    <x v="4"/>
    <x v="0"/>
    <x v="75"/>
    <x v="9"/>
    <x v="162"/>
    <x v="0"/>
    <x v="18"/>
    <x v="7"/>
    <x v="79"/>
    <x v="280"/>
    <x v="853"/>
    <x v="199"/>
    <x v="6"/>
    <x v="56"/>
    <x v="456"/>
    <x v="0"/>
    <x v="7"/>
    <x v="1"/>
    <x v="15"/>
    <x v="0"/>
    <x v="0"/>
  </r>
  <r>
    <x v="930"/>
    <x v="13"/>
    <x v="169"/>
    <x v="0"/>
    <x v="6"/>
    <x v="4"/>
    <x v="0"/>
    <x v="197"/>
    <x v="9"/>
    <x v="135"/>
    <x v="0"/>
    <x v="73"/>
    <x v="7"/>
    <x v="124"/>
    <x v="572"/>
    <x v="442"/>
    <x v="429"/>
    <x v="6"/>
    <x v="20"/>
    <x v="455"/>
    <x v="0"/>
    <x v="7"/>
    <x v="1"/>
    <x v="15"/>
    <x v="2"/>
    <x v="0"/>
  </r>
  <r>
    <x v="746"/>
    <x v="7"/>
    <x v="111"/>
    <x v="9"/>
    <x v="8"/>
    <x v="2"/>
    <x v="0"/>
    <x v="355"/>
    <x v="2"/>
    <x v="1"/>
    <x v="43"/>
    <x v="258"/>
    <x v="5"/>
    <x v="19"/>
    <x v="788"/>
    <x v="106"/>
    <x v="110"/>
    <x v="3"/>
    <x v="26"/>
    <x v="454"/>
    <x v="0"/>
    <x v="5"/>
    <x v="1"/>
    <x v="15"/>
    <x v="1"/>
    <x v="3"/>
  </r>
  <r>
    <x v="214"/>
    <x v="1"/>
    <x v="954"/>
    <x v="5"/>
    <x v="5"/>
    <x v="4"/>
    <x v="0"/>
    <x v="39"/>
    <x v="9"/>
    <x v="173"/>
    <x v="0"/>
    <x v="53"/>
    <x v="7"/>
    <x v="134"/>
    <x v="663"/>
    <x v="417"/>
    <x v="44"/>
    <x v="6"/>
    <x v="19"/>
    <x v="453"/>
    <x v="0"/>
    <x v="7"/>
    <x v="1"/>
    <x v="15"/>
    <x v="0"/>
    <x v="0"/>
  </r>
  <r>
    <x v="390"/>
    <x v="2"/>
    <x v="508"/>
    <x v="5"/>
    <x v="5"/>
    <x v="4"/>
    <x v="0"/>
    <x v="154"/>
    <x v="9"/>
    <x v="111"/>
    <x v="0"/>
    <x v="171"/>
    <x v="7"/>
    <x v="59"/>
    <x v="44"/>
    <x v="230"/>
    <x v="472"/>
    <x v="6"/>
    <x v="56"/>
    <x v="452"/>
    <x v="0"/>
    <x v="7"/>
    <x v="1"/>
    <x v="15"/>
    <x v="0"/>
    <x v="0"/>
  </r>
  <r>
    <x v="106"/>
    <x v="0"/>
    <x v="444"/>
    <x v="6"/>
    <x v="4"/>
    <x v="4"/>
    <x v="0"/>
    <x v="125"/>
    <x v="9"/>
    <x v="224"/>
    <x v="0"/>
    <x v="130"/>
    <x v="7"/>
    <x v="127"/>
    <x v="855"/>
    <x v="679"/>
    <x v="291"/>
    <x v="6"/>
    <x v="56"/>
    <x v="451"/>
    <x v="0"/>
    <x v="7"/>
    <x v="1"/>
    <x v="15"/>
    <x v="0"/>
    <x v="0"/>
  </r>
  <r>
    <x v="660"/>
    <x v="5"/>
    <x v="334"/>
    <x v="7"/>
    <x v="6"/>
    <x v="4"/>
    <x v="0"/>
    <x v="164"/>
    <x v="9"/>
    <x v="166"/>
    <x v="0"/>
    <x v="56"/>
    <x v="7"/>
    <x v="59"/>
    <x v="50"/>
    <x v="246"/>
    <x v="411"/>
    <x v="5"/>
    <x v="9"/>
    <x v="450"/>
    <x v="0"/>
    <x v="7"/>
    <x v="1"/>
    <x v="15"/>
    <x v="1"/>
    <x v="0"/>
  </r>
  <r>
    <x v="584"/>
    <x v="4"/>
    <x v="333"/>
    <x v="7"/>
    <x v="6"/>
    <x v="4"/>
    <x v="0"/>
    <x v="290"/>
    <x v="9"/>
    <x v="174"/>
    <x v="0"/>
    <x v="21"/>
    <x v="7"/>
    <x v="22"/>
    <x v="51"/>
    <x v="243"/>
    <x v="411"/>
    <x v="5"/>
    <x v="9"/>
    <x v="449"/>
    <x v="0"/>
    <x v="7"/>
    <x v="1"/>
    <x v="15"/>
    <x v="0"/>
    <x v="0"/>
  </r>
  <r>
    <x v="449"/>
    <x v="3"/>
    <x v="137"/>
    <x v="4"/>
    <x v="5"/>
    <x v="4"/>
    <x v="0"/>
    <x v="55"/>
    <x v="9"/>
    <x v="164"/>
    <x v="0"/>
    <x v="105"/>
    <x v="7"/>
    <x v="103"/>
    <x v="474"/>
    <x v="473"/>
    <x v="57"/>
    <x v="6"/>
    <x v="20"/>
    <x v="448"/>
    <x v="0"/>
    <x v="7"/>
    <x v="1"/>
    <x v="15"/>
    <x v="0"/>
    <x v="0"/>
  </r>
  <r>
    <x v="222"/>
    <x v="1"/>
    <x v="136"/>
    <x v="7"/>
    <x v="6"/>
    <x v="4"/>
    <x v="0"/>
    <x v="71"/>
    <x v="9"/>
    <x v="82"/>
    <x v="0"/>
    <x v="135"/>
    <x v="6"/>
    <x v="59"/>
    <x v="42"/>
    <x v="227"/>
    <x v="449"/>
    <x v="6"/>
    <x v="9"/>
    <x v="447"/>
    <x v="0"/>
    <x v="6"/>
    <x v="1"/>
    <x v="15"/>
    <x v="0"/>
    <x v="0"/>
  </r>
  <r>
    <x v="92"/>
    <x v="0"/>
    <x v="105"/>
    <x v="0"/>
    <x v="3"/>
    <x v="4"/>
    <x v="0"/>
    <x v="0"/>
    <x v="9"/>
    <x v="183"/>
    <x v="0"/>
    <x v="69"/>
    <x v="6"/>
    <x v="306"/>
    <x v="249"/>
    <x v="917"/>
    <x v="433"/>
    <x v="6"/>
    <x v="54"/>
    <x v="446"/>
    <x v="0"/>
    <x v="6"/>
    <x v="1"/>
    <x v="15"/>
    <x v="0"/>
    <x v="0"/>
  </r>
  <r>
    <x v="825"/>
    <x v="9"/>
    <x v="875"/>
    <x v="0"/>
    <x v="4"/>
    <x v="4"/>
    <x v="0"/>
    <x v="144"/>
    <x v="9"/>
    <x v="169"/>
    <x v="0"/>
    <x v="59"/>
    <x v="7"/>
    <x v="136"/>
    <x v="37"/>
    <x v="215"/>
    <x v="228"/>
    <x v="6"/>
    <x v="56"/>
    <x v="445"/>
    <x v="0"/>
    <x v="7"/>
    <x v="1"/>
    <x v="15"/>
    <x v="1"/>
    <x v="0"/>
  </r>
  <r>
    <x v="981"/>
    <x v="23"/>
    <x v="874"/>
    <x v="8"/>
    <x v="7"/>
    <x v="4"/>
    <x v="0"/>
    <x v="342"/>
    <x v="7"/>
    <x v="199"/>
    <x v="0"/>
    <x v="61"/>
    <x v="8"/>
    <x v="90"/>
    <x v="45"/>
    <x v="233"/>
    <x v="381"/>
    <x v="5"/>
    <x v="9"/>
    <x v="444"/>
    <x v="0"/>
    <x v="8"/>
    <x v="1"/>
    <x v="15"/>
    <x v="3"/>
    <x v="0"/>
  </r>
  <r>
    <x v="667"/>
    <x v="5"/>
    <x v="846"/>
    <x v="6"/>
    <x v="5"/>
    <x v="4"/>
    <x v="0"/>
    <x v="276"/>
    <x v="9"/>
    <x v="223"/>
    <x v="0"/>
    <x v="44"/>
    <x v="7"/>
    <x v="98"/>
    <x v="749"/>
    <x v="607"/>
    <x v="187"/>
    <x v="6"/>
    <x v="56"/>
    <x v="443"/>
    <x v="0"/>
    <x v="7"/>
    <x v="1"/>
    <x v="15"/>
    <x v="1"/>
    <x v="0"/>
  </r>
  <r>
    <x v="616"/>
    <x v="5"/>
    <x v="371"/>
    <x v="9"/>
    <x v="8"/>
    <x v="4"/>
    <x v="0"/>
    <x v="327"/>
    <x v="9"/>
    <x v="231"/>
    <x v="0"/>
    <x v="101"/>
    <x v="7"/>
    <x v="32"/>
    <x v="712"/>
    <x v="236"/>
    <x v="231"/>
    <x v="6"/>
    <x v="17"/>
    <x v="442"/>
    <x v="0"/>
    <x v="7"/>
    <x v="1"/>
    <x v="15"/>
    <x v="1"/>
    <x v="0"/>
  </r>
  <r>
    <x v="77"/>
    <x v="0"/>
    <x v="286"/>
    <x v="7"/>
    <x v="6"/>
    <x v="4"/>
    <x v="0"/>
    <x v="297"/>
    <x v="5"/>
    <x v="7"/>
    <x v="23"/>
    <x v="256"/>
    <x v="5"/>
    <x v="117"/>
    <x v="894"/>
    <x v="100"/>
    <x v="124"/>
    <x v="3"/>
    <x v="56"/>
    <x v="441"/>
    <x v="0"/>
    <x v="5"/>
    <x v="1"/>
    <x v="15"/>
    <x v="0"/>
    <x v="0"/>
  </r>
  <r>
    <x v="441"/>
    <x v="3"/>
    <x v="129"/>
    <x v="3"/>
    <x v="5"/>
    <x v="4"/>
    <x v="0"/>
    <x v="51"/>
    <x v="9"/>
    <x v="127"/>
    <x v="0"/>
    <x v="37"/>
    <x v="7"/>
    <x v="46"/>
    <x v="311"/>
    <x v="836"/>
    <x v="133"/>
    <x v="6"/>
    <x v="56"/>
    <x v="440"/>
    <x v="0"/>
    <x v="7"/>
    <x v="1"/>
    <x v="15"/>
    <x v="0"/>
    <x v="0"/>
  </r>
  <r>
    <x v="732"/>
    <x v="6"/>
    <x v="69"/>
    <x v="5"/>
    <x v="6"/>
    <x v="4"/>
    <x v="0"/>
    <x v="104"/>
    <x v="9"/>
    <x v="148"/>
    <x v="0"/>
    <x v="37"/>
    <x v="7"/>
    <x v="20"/>
    <x v="313"/>
    <x v="832"/>
    <x v="133"/>
    <x v="6"/>
    <x v="42"/>
    <x v="439"/>
    <x v="0"/>
    <x v="7"/>
    <x v="1"/>
    <x v="15"/>
    <x v="1"/>
    <x v="0"/>
  </r>
  <r>
    <x v="299"/>
    <x v="1"/>
    <x v="68"/>
    <x v="5"/>
    <x v="6"/>
    <x v="4"/>
    <x v="0"/>
    <x v="16"/>
    <x v="9"/>
    <x v="96"/>
    <x v="0"/>
    <x v="52"/>
    <x v="7"/>
    <x v="20"/>
    <x v="314"/>
    <x v="834"/>
    <x v="133"/>
    <x v="6"/>
    <x v="42"/>
    <x v="438"/>
    <x v="0"/>
    <x v="7"/>
    <x v="1"/>
    <x v="15"/>
    <x v="0"/>
    <x v="0"/>
  </r>
  <r>
    <x v="138"/>
    <x v="0"/>
    <x v="429"/>
    <x v="6"/>
    <x v="6"/>
    <x v="4"/>
    <x v="0"/>
    <x v="37"/>
    <x v="9"/>
    <x v="156"/>
    <x v="0"/>
    <x v="60"/>
    <x v="7"/>
    <x v="107"/>
    <x v="172"/>
    <x v="281"/>
    <x v="160"/>
    <x v="5"/>
    <x v="9"/>
    <x v="437"/>
    <x v="0"/>
    <x v="7"/>
    <x v="1"/>
    <x v="14"/>
    <x v="0"/>
    <x v="0"/>
  </r>
  <r>
    <x v="812"/>
    <x v="8"/>
    <x v="275"/>
    <x v="0"/>
    <x v="3"/>
    <x v="4"/>
    <x v="0"/>
    <x v="129"/>
    <x v="9"/>
    <x v="187"/>
    <x v="0"/>
    <x v="37"/>
    <x v="7"/>
    <x v="377"/>
    <x v="198"/>
    <x v="982"/>
    <x v="36"/>
    <x v="6"/>
    <x v="14"/>
    <x v="436"/>
    <x v="0"/>
    <x v="7"/>
    <x v="1"/>
    <x v="14"/>
    <x v="1"/>
    <x v="0"/>
  </r>
  <r>
    <x v="234"/>
    <x v="1"/>
    <x v="246"/>
    <x v="7"/>
    <x v="5"/>
    <x v="4"/>
    <x v="0"/>
    <x v="21"/>
    <x v="9"/>
    <x v="107"/>
    <x v="0"/>
    <x v="81"/>
    <x v="7"/>
    <x v="59"/>
    <x v="323"/>
    <x v="506"/>
    <x v="62"/>
    <x v="6"/>
    <x v="20"/>
    <x v="435"/>
    <x v="0"/>
    <x v="7"/>
    <x v="1"/>
    <x v="14"/>
    <x v="0"/>
    <x v="0"/>
  </r>
  <r>
    <x v="520"/>
    <x v="3"/>
    <x v="972"/>
    <x v="0"/>
    <x v="5"/>
    <x v="4"/>
    <x v="0"/>
    <x v="49"/>
    <x v="9"/>
    <x v="182"/>
    <x v="0"/>
    <x v="91"/>
    <x v="7"/>
    <x v="134"/>
    <x v="775"/>
    <x v="615"/>
    <x v="294"/>
    <x v="6"/>
    <x v="56"/>
    <x v="434"/>
    <x v="0"/>
    <x v="7"/>
    <x v="1"/>
    <x v="14"/>
    <x v="0"/>
    <x v="0"/>
  </r>
  <r>
    <x v="565"/>
    <x v="4"/>
    <x v="803"/>
    <x v="4"/>
    <x v="5"/>
    <x v="4"/>
    <x v="0"/>
    <x v="213"/>
    <x v="9"/>
    <x v="160"/>
    <x v="0"/>
    <x v="11"/>
    <x v="7"/>
    <x v="271"/>
    <x v="383"/>
    <x v="623"/>
    <x v="475"/>
    <x v="6"/>
    <x v="20"/>
    <x v="433"/>
    <x v="0"/>
    <x v="7"/>
    <x v="1"/>
    <x v="14"/>
    <x v="0"/>
    <x v="0"/>
  </r>
  <r>
    <x v="459"/>
    <x v="3"/>
    <x v="241"/>
    <x v="0"/>
    <x v="4"/>
    <x v="4"/>
    <x v="0"/>
    <x v="49"/>
    <x v="9"/>
    <x v="59"/>
    <x v="0"/>
    <x v="149"/>
    <x v="7"/>
    <x v="136"/>
    <x v="255"/>
    <x v="887"/>
    <x v="433"/>
    <x v="6"/>
    <x v="56"/>
    <x v="432"/>
    <x v="0"/>
    <x v="7"/>
    <x v="1"/>
    <x v="14"/>
    <x v="0"/>
    <x v="0"/>
  </r>
  <r>
    <x v="827"/>
    <x v="9"/>
    <x v="212"/>
    <x v="0"/>
    <x v="6"/>
    <x v="4"/>
    <x v="0"/>
    <x v="144"/>
    <x v="9"/>
    <x v="112"/>
    <x v="0"/>
    <x v="79"/>
    <x v="7"/>
    <x v="125"/>
    <x v="257"/>
    <x v="895"/>
    <x v="433"/>
    <x v="6"/>
    <x v="54"/>
    <x v="431"/>
    <x v="0"/>
    <x v="7"/>
    <x v="1"/>
    <x v="14"/>
    <x v="1"/>
    <x v="0"/>
  </r>
  <r>
    <x v="923"/>
    <x v="13"/>
    <x v="211"/>
    <x v="0"/>
    <x v="5"/>
    <x v="4"/>
    <x v="0"/>
    <x v="197"/>
    <x v="9"/>
    <x v="63"/>
    <x v="0"/>
    <x v="80"/>
    <x v="7"/>
    <x v="136"/>
    <x v="262"/>
    <x v="891"/>
    <x v="433"/>
    <x v="6"/>
    <x v="56"/>
    <x v="430"/>
    <x v="0"/>
    <x v="7"/>
    <x v="1"/>
    <x v="14"/>
    <x v="2"/>
    <x v="0"/>
  </r>
  <r>
    <x v="898"/>
    <x v="12"/>
    <x v="210"/>
    <x v="4"/>
    <x v="6"/>
    <x v="4"/>
    <x v="0"/>
    <x v="187"/>
    <x v="9"/>
    <x v="97"/>
    <x v="0"/>
    <x v="105"/>
    <x v="8"/>
    <x v="165"/>
    <x v="258"/>
    <x v="896"/>
    <x v="433"/>
    <x v="6"/>
    <x v="54"/>
    <x v="429"/>
    <x v="0"/>
    <x v="8"/>
    <x v="1"/>
    <x v="14"/>
    <x v="2"/>
    <x v="0"/>
  </r>
  <r>
    <x v="257"/>
    <x v="1"/>
    <x v="28"/>
    <x v="7"/>
    <x v="6"/>
    <x v="4"/>
    <x v="0"/>
    <x v="109"/>
    <x v="9"/>
    <x v="175"/>
    <x v="0"/>
    <x v="148"/>
    <x v="7"/>
    <x v="16"/>
    <x v="499"/>
    <x v="480"/>
    <x v="445"/>
    <x v="6"/>
    <x v="20"/>
    <x v="428"/>
    <x v="0"/>
    <x v="7"/>
    <x v="1"/>
    <x v="14"/>
    <x v="0"/>
    <x v="0"/>
  </r>
  <r>
    <x v="877"/>
    <x v="11"/>
    <x v="968"/>
    <x v="8"/>
    <x v="7"/>
    <x v="4"/>
    <x v="0"/>
    <x v="328"/>
    <x v="9"/>
    <x v="229"/>
    <x v="0"/>
    <x v="30"/>
    <x v="7"/>
    <x v="223"/>
    <x v="527"/>
    <x v="461"/>
    <x v="345"/>
    <x v="6"/>
    <x v="20"/>
    <x v="427"/>
    <x v="0"/>
    <x v="7"/>
    <x v="1"/>
    <x v="14"/>
    <x v="2"/>
    <x v="0"/>
  </r>
  <r>
    <x v="961"/>
    <x v="17"/>
    <x v="941"/>
    <x v="7"/>
    <x v="5"/>
    <x v="4"/>
    <x v="0"/>
    <x v="247"/>
    <x v="9"/>
    <x v="245"/>
    <x v="0"/>
    <x v="85"/>
    <x v="7"/>
    <x v="59"/>
    <x v="221"/>
    <x v="61"/>
    <x v="258"/>
    <x v="6"/>
    <x v="56"/>
    <x v="426"/>
    <x v="0"/>
    <x v="7"/>
    <x v="1"/>
    <x v="14"/>
    <x v="3"/>
    <x v="0"/>
  </r>
  <r>
    <x v="664"/>
    <x v="5"/>
    <x v="54"/>
    <x v="7"/>
    <x v="6"/>
    <x v="4"/>
    <x v="0"/>
    <x v="274"/>
    <x v="9"/>
    <x v="111"/>
    <x v="0"/>
    <x v="49"/>
    <x v="7"/>
    <x v="168"/>
    <x v="330"/>
    <x v="495"/>
    <x v="46"/>
    <x v="6"/>
    <x v="20"/>
    <x v="425"/>
    <x v="0"/>
    <x v="7"/>
    <x v="1"/>
    <x v="14"/>
    <x v="1"/>
    <x v="0"/>
  </r>
  <r>
    <x v="325"/>
    <x v="2"/>
    <x v="534"/>
    <x v="5"/>
    <x v="5"/>
    <x v="4"/>
    <x v="0"/>
    <x v="83"/>
    <x v="9"/>
    <x v="142"/>
    <x v="0"/>
    <x v="36"/>
    <x v="7"/>
    <x v="72"/>
    <x v="519"/>
    <x v="454"/>
    <x v="330"/>
    <x v="6"/>
    <x v="20"/>
    <x v="424"/>
    <x v="0"/>
    <x v="7"/>
    <x v="1"/>
    <x v="14"/>
    <x v="0"/>
    <x v="0"/>
  </r>
  <r>
    <x v="226"/>
    <x v="1"/>
    <x v="384"/>
    <x v="4"/>
    <x v="4"/>
    <x v="4"/>
    <x v="0"/>
    <x v="41"/>
    <x v="9"/>
    <x v="126"/>
    <x v="0"/>
    <x v="31"/>
    <x v="7"/>
    <x v="182"/>
    <x v="790"/>
    <x v="665"/>
    <x v="454"/>
    <x v="6"/>
    <x v="56"/>
    <x v="423"/>
    <x v="0"/>
    <x v="7"/>
    <x v="1"/>
    <x v="14"/>
    <x v="0"/>
    <x v="0"/>
  </r>
  <r>
    <x v="853"/>
    <x v="10"/>
    <x v="309"/>
    <x v="7"/>
    <x v="5"/>
    <x v="4"/>
    <x v="0"/>
    <x v="286"/>
    <x v="9"/>
    <x v="106"/>
    <x v="0"/>
    <x v="64"/>
    <x v="7"/>
    <x v="94"/>
    <x v="673"/>
    <x v="418"/>
    <x v="44"/>
    <x v="6"/>
    <x v="56"/>
    <x v="422"/>
    <x v="0"/>
    <x v="7"/>
    <x v="1"/>
    <x v="14"/>
    <x v="2"/>
    <x v="0"/>
  </r>
  <r>
    <x v="698"/>
    <x v="6"/>
    <x v="265"/>
    <x v="5"/>
    <x v="3"/>
    <x v="4"/>
    <x v="0"/>
    <x v="226"/>
    <x v="9"/>
    <x v="197"/>
    <x v="0"/>
    <x v="32"/>
    <x v="7"/>
    <x v="345"/>
    <x v="793"/>
    <x v="654"/>
    <x v="4"/>
    <x v="6"/>
    <x v="56"/>
    <x v="421"/>
    <x v="0"/>
    <x v="7"/>
    <x v="1"/>
    <x v="14"/>
    <x v="1"/>
    <x v="0"/>
  </r>
  <r>
    <x v="599"/>
    <x v="4"/>
    <x v="92"/>
    <x v="5"/>
    <x v="6"/>
    <x v="4"/>
    <x v="0"/>
    <x v="278"/>
    <x v="9"/>
    <x v="76"/>
    <x v="0"/>
    <x v="172"/>
    <x v="7"/>
    <x v="20"/>
    <x v="774"/>
    <x v="109"/>
    <x v="39"/>
    <x v="3"/>
    <x v="26"/>
    <x v="420"/>
    <x v="0"/>
    <x v="7"/>
    <x v="1"/>
    <x v="14"/>
    <x v="0"/>
    <x v="0"/>
  </r>
  <r>
    <x v="931"/>
    <x v="13"/>
    <x v="487"/>
    <x v="6"/>
    <x v="7"/>
    <x v="4"/>
    <x v="0"/>
    <x v="272"/>
    <x v="9"/>
    <x v="190"/>
    <x v="0"/>
    <x v="54"/>
    <x v="7"/>
    <x v="26"/>
    <x v="21"/>
    <x v="897"/>
    <x v="456"/>
    <x v="6"/>
    <x v="31"/>
    <x v="419"/>
    <x v="0"/>
    <x v="7"/>
    <x v="1"/>
    <x v="14"/>
    <x v="2"/>
    <x v="0"/>
  </r>
  <r>
    <x v="356"/>
    <x v="2"/>
    <x v="759"/>
    <x v="5"/>
    <x v="4"/>
    <x v="4"/>
    <x v="0"/>
    <x v="33"/>
    <x v="9"/>
    <x v="89"/>
    <x v="0"/>
    <x v="29"/>
    <x v="7"/>
    <x v="207"/>
    <x v="426"/>
    <x v="808"/>
    <x v="204"/>
    <x v="6"/>
    <x v="35"/>
    <x v="418"/>
    <x v="0"/>
    <x v="7"/>
    <x v="1"/>
    <x v="14"/>
    <x v="0"/>
    <x v="0"/>
  </r>
  <r>
    <x v="806"/>
    <x v="8"/>
    <x v="905"/>
    <x v="7"/>
    <x v="7"/>
    <x v="4"/>
    <x v="0"/>
    <x v="320"/>
    <x v="9"/>
    <x v="207"/>
    <x v="0"/>
    <x v="131"/>
    <x v="7"/>
    <x v="65"/>
    <x v="694"/>
    <x v="168"/>
    <x v="136"/>
    <x v="6"/>
    <x v="56"/>
    <x v="417"/>
    <x v="0"/>
    <x v="7"/>
    <x v="1"/>
    <x v="14"/>
    <x v="1"/>
    <x v="0"/>
  </r>
  <r>
    <x v="875"/>
    <x v="11"/>
    <x v="623"/>
    <x v="7"/>
    <x v="4"/>
    <x v="4"/>
    <x v="0"/>
    <x v="187"/>
    <x v="9"/>
    <x v="234"/>
    <x v="0"/>
    <x v="30"/>
    <x v="7"/>
    <x v="124"/>
    <x v="116"/>
    <x v="52"/>
    <x v="5"/>
    <x v="6"/>
    <x v="56"/>
    <x v="416"/>
    <x v="0"/>
    <x v="7"/>
    <x v="1"/>
    <x v="14"/>
    <x v="2"/>
    <x v="0"/>
  </r>
  <r>
    <x v="752"/>
    <x v="7"/>
    <x v="328"/>
    <x v="3"/>
    <x v="6"/>
    <x v="4"/>
    <x v="0"/>
    <x v="118"/>
    <x v="9"/>
    <x v="189"/>
    <x v="0"/>
    <x v="68"/>
    <x v="7"/>
    <x v="72"/>
    <x v="584"/>
    <x v="574"/>
    <x v="416"/>
    <x v="6"/>
    <x v="20"/>
    <x v="415"/>
    <x v="0"/>
    <x v="7"/>
    <x v="1"/>
    <x v="14"/>
    <x v="1"/>
    <x v="0"/>
  </r>
  <r>
    <x v="837"/>
    <x v="9"/>
    <x v="67"/>
    <x v="7"/>
    <x v="6"/>
    <x v="4"/>
    <x v="0"/>
    <x v="147"/>
    <x v="9"/>
    <x v="112"/>
    <x v="0"/>
    <x v="88"/>
    <x v="7"/>
    <x v="92"/>
    <x v="528"/>
    <x v="634"/>
    <x v="254"/>
    <x v="6"/>
    <x v="20"/>
    <x v="414"/>
    <x v="0"/>
    <x v="7"/>
    <x v="1"/>
    <x v="14"/>
    <x v="1"/>
    <x v="0"/>
  </r>
  <r>
    <x v="261"/>
    <x v="1"/>
    <x v="66"/>
    <x v="5"/>
    <x v="3"/>
    <x v="4"/>
    <x v="0"/>
    <x v="94"/>
    <x v="9"/>
    <x v="130"/>
    <x v="0"/>
    <x v="100"/>
    <x v="7"/>
    <x v="324"/>
    <x v="826"/>
    <x v="386"/>
    <x v="174"/>
    <x v="1"/>
    <x v="0"/>
    <x v="413"/>
    <x v="0"/>
    <x v="7"/>
    <x v="1"/>
    <x v="14"/>
    <x v="0"/>
    <x v="0"/>
  </r>
  <r>
    <x v="897"/>
    <x v="12"/>
    <x v="65"/>
    <x v="5"/>
    <x v="6"/>
    <x v="4"/>
    <x v="0"/>
    <x v="188"/>
    <x v="9"/>
    <x v="100"/>
    <x v="0"/>
    <x v="145"/>
    <x v="7"/>
    <x v="56"/>
    <x v="537"/>
    <x v="630"/>
    <x v="254"/>
    <x v="6"/>
    <x v="20"/>
    <x v="412"/>
    <x v="0"/>
    <x v="7"/>
    <x v="1"/>
    <x v="14"/>
    <x v="2"/>
    <x v="0"/>
  </r>
  <r>
    <x v="826"/>
    <x v="9"/>
    <x v="550"/>
    <x v="9"/>
    <x v="6"/>
    <x v="4"/>
    <x v="0"/>
    <x v="149"/>
    <x v="9"/>
    <x v="139"/>
    <x v="0"/>
    <x v="165"/>
    <x v="8"/>
    <x v="122"/>
    <x v="557"/>
    <x v="530"/>
    <x v="134"/>
    <x v="6"/>
    <x v="20"/>
    <x v="411"/>
    <x v="0"/>
    <x v="8"/>
    <x v="1"/>
    <x v="13"/>
    <x v="1"/>
    <x v="0"/>
  </r>
  <r>
    <x v="355"/>
    <x v="2"/>
    <x v="543"/>
    <x v="5"/>
    <x v="5"/>
    <x v="4"/>
    <x v="0"/>
    <x v="66"/>
    <x v="9"/>
    <x v="218"/>
    <x v="0"/>
    <x v="140"/>
    <x v="7"/>
    <x v="94"/>
    <x v="677"/>
    <x v="145"/>
    <x v="70"/>
    <x v="6"/>
    <x v="26"/>
    <x v="410"/>
    <x v="0"/>
    <x v="7"/>
    <x v="1"/>
    <x v="13"/>
    <x v="0"/>
    <x v="0"/>
  </r>
  <r>
    <x v="336"/>
    <x v="2"/>
    <x v="153"/>
    <x v="0"/>
    <x v="5"/>
    <x v="4"/>
    <x v="0"/>
    <x v="31"/>
    <x v="9"/>
    <x v="248"/>
    <x v="0"/>
    <x v="98"/>
    <x v="7"/>
    <x v="108"/>
    <x v="883"/>
    <x v="396"/>
    <x v="310"/>
    <x v="1"/>
    <x v="24"/>
    <x v="409"/>
    <x v="0"/>
    <x v="7"/>
    <x v="1"/>
    <x v="13"/>
    <x v="0"/>
    <x v="0"/>
  </r>
  <r>
    <x v="438"/>
    <x v="3"/>
    <x v="357"/>
    <x v="0"/>
    <x v="5"/>
    <x v="4"/>
    <x v="0"/>
    <x v="49"/>
    <x v="9"/>
    <x v="231"/>
    <x v="0"/>
    <x v="97"/>
    <x v="7"/>
    <x v="98"/>
    <x v="901"/>
    <x v="712"/>
    <x v="318"/>
    <x v="6"/>
    <x v="56"/>
    <x v="408"/>
    <x v="0"/>
    <x v="7"/>
    <x v="1"/>
    <x v="13"/>
    <x v="0"/>
    <x v="0"/>
  </r>
  <r>
    <x v="279"/>
    <x v="1"/>
    <x v="356"/>
    <x v="0"/>
    <x v="5"/>
    <x v="4"/>
    <x v="0"/>
    <x v="14"/>
    <x v="9"/>
    <x v="206"/>
    <x v="0"/>
    <x v="31"/>
    <x v="7"/>
    <x v="236"/>
    <x v="560"/>
    <x v="593"/>
    <x v="470"/>
    <x v="6"/>
    <x v="20"/>
    <x v="407"/>
    <x v="0"/>
    <x v="7"/>
    <x v="1"/>
    <x v="13"/>
    <x v="0"/>
    <x v="0"/>
  </r>
  <r>
    <x v="586"/>
    <x v="4"/>
    <x v="234"/>
    <x v="0"/>
    <x v="5"/>
    <x v="4"/>
    <x v="0"/>
    <x v="67"/>
    <x v="9"/>
    <x v="249"/>
    <x v="0"/>
    <x v="36"/>
    <x v="7"/>
    <x v="248"/>
    <x v="250"/>
    <x v="908"/>
    <x v="433"/>
    <x v="6"/>
    <x v="54"/>
    <x v="406"/>
    <x v="0"/>
    <x v="7"/>
    <x v="1"/>
    <x v="13"/>
    <x v="0"/>
    <x v="0"/>
  </r>
  <r>
    <x v="365"/>
    <x v="2"/>
    <x v="823"/>
    <x v="4"/>
    <x v="6"/>
    <x v="4"/>
    <x v="0"/>
    <x v="32"/>
    <x v="9"/>
    <x v="120"/>
    <x v="0"/>
    <x v="137"/>
    <x v="7"/>
    <x v="26"/>
    <x v="783"/>
    <x v="402"/>
    <x v="172"/>
    <x v="1"/>
    <x v="36"/>
    <x v="405"/>
    <x v="0"/>
    <x v="7"/>
    <x v="1"/>
    <x v="13"/>
    <x v="0"/>
    <x v="0"/>
  </r>
  <r>
    <x v="471"/>
    <x v="3"/>
    <x v="766"/>
    <x v="8"/>
    <x v="6"/>
    <x v="4"/>
    <x v="0"/>
    <x v="243"/>
    <x v="9"/>
    <x v="296"/>
    <x v="0"/>
    <x v="79"/>
    <x v="7"/>
    <x v="246"/>
    <x v="885"/>
    <x v="672"/>
    <x v="282"/>
    <x v="1"/>
    <x v="23"/>
    <x v="404"/>
    <x v="0"/>
    <x v="7"/>
    <x v="1"/>
    <x v="13"/>
    <x v="0"/>
    <x v="0"/>
  </r>
  <r>
    <x v="618"/>
    <x v="5"/>
    <x v="633"/>
    <x v="5"/>
    <x v="4"/>
    <x v="4"/>
    <x v="0"/>
    <x v="142"/>
    <x v="9"/>
    <x v="275"/>
    <x v="0"/>
    <x v="64"/>
    <x v="7"/>
    <x v="82"/>
    <x v="850"/>
    <x v="689"/>
    <x v="291"/>
    <x v="6"/>
    <x v="56"/>
    <x v="403"/>
    <x v="0"/>
    <x v="7"/>
    <x v="1"/>
    <x v="13"/>
    <x v="1"/>
    <x v="0"/>
  </r>
  <r>
    <x v="543"/>
    <x v="4"/>
    <x v="633"/>
    <x v="5"/>
    <x v="4"/>
    <x v="4"/>
    <x v="0"/>
    <x v="132"/>
    <x v="3"/>
    <x v="0"/>
    <x v="0"/>
    <x v="0"/>
    <x v="8"/>
    <x v="101"/>
    <x v="849"/>
    <x v="700"/>
    <x v="291"/>
    <x v="6"/>
    <x v="56"/>
    <x v="403"/>
    <x v="0"/>
    <x v="8"/>
    <x v="1"/>
    <x v="13"/>
    <x v="0"/>
    <x v="0"/>
  </r>
  <r>
    <x v="178"/>
    <x v="1"/>
    <x v="879"/>
    <x v="4"/>
    <x v="4"/>
    <x v="4"/>
    <x v="0"/>
    <x v="24"/>
    <x v="9"/>
    <x v="295"/>
    <x v="0"/>
    <x v="66"/>
    <x v="7"/>
    <x v="56"/>
    <x v="636"/>
    <x v="412"/>
    <x v="44"/>
    <x v="6"/>
    <x v="56"/>
    <x v="402"/>
    <x v="0"/>
    <x v="7"/>
    <x v="1"/>
    <x v="13"/>
    <x v="0"/>
    <x v="0"/>
  </r>
  <r>
    <x v="562"/>
    <x v="4"/>
    <x v="420"/>
    <x v="7"/>
    <x v="7"/>
    <x v="4"/>
    <x v="0"/>
    <x v="170"/>
    <x v="9"/>
    <x v="307"/>
    <x v="0"/>
    <x v="56"/>
    <x v="7"/>
    <x v="8"/>
    <x v="878"/>
    <x v="668"/>
    <x v="277"/>
    <x v="1"/>
    <x v="23"/>
    <x v="401"/>
    <x v="0"/>
    <x v="7"/>
    <x v="1"/>
    <x v="13"/>
    <x v="0"/>
    <x v="0"/>
  </r>
  <r>
    <x v="946"/>
    <x v="14"/>
    <x v="378"/>
    <x v="9"/>
    <x v="8"/>
    <x v="4"/>
    <x v="0"/>
    <x v="339"/>
    <x v="9"/>
    <x v="337"/>
    <x v="0"/>
    <x v="13"/>
    <x v="7"/>
    <x v="65"/>
    <x v="785"/>
    <x v="488"/>
    <x v="467"/>
    <x v="1"/>
    <x v="36"/>
    <x v="400"/>
    <x v="0"/>
    <x v="7"/>
    <x v="1"/>
    <x v="13"/>
    <x v="2"/>
    <x v="0"/>
  </r>
  <r>
    <x v="588"/>
    <x v="4"/>
    <x v="200"/>
    <x v="5"/>
    <x v="4"/>
    <x v="4"/>
    <x v="0"/>
    <x v="182"/>
    <x v="9"/>
    <x v="244"/>
    <x v="0"/>
    <x v="88"/>
    <x v="7"/>
    <x v="107"/>
    <x v="819"/>
    <x v="674"/>
    <x v="140"/>
    <x v="6"/>
    <x v="56"/>
    <x v="399"/>
    <x v="0"/>
    <x v="7"/>
    <x v="1"/>
    <x v="13"/>
    <x v="0"/>
    <x v="0"/>
  </r>
  <r>
    <x v="810"/>
    <x v="8"/>
    <x v="259"/>
    <x v="0"/>
    <x v="5"/>
    <x v="4"/>
    <x v="0"/>
    <x v="129"/>
    <x v="9"/>
    <x v="222"/>
    <x v="0"/>
    <x v="27"/>
    <x v="7"/>
    <x v="130"/>
    <x v="160"/>
    <x v="948"/>
    <x v="161"/>
    <x v="6"/>
    <x v="56"/>
    <x v="398"/>
    <x v="0"/>
    <x v="7"/>
    <x v="1"/>
    <x v="13"/>
    <x v="1"/>
    <x v="0"/>
  </r>
  <r>
    <x v="753"/>
    <x v="7"/>
    <x v="659"/>
    <x v="0"/>
    <x v="6"/>
    <x v="4"/>
    <x v="0"/>
    <x v="115"/>
    <x v="9"/>
    <x v="250"/>
    <x v="0"/>
    <x v="122"/>
    <x v="7"/>
    <x v="20"/>
    <x v="812"/>
    <x v="400"/>
    <x v="149"/>
    <x v="1"/>
    <x v="36"/>
    <x v="397"/>
    <x v="0"/>
    <x v="7"/>
    <x v="1"/>
    <x v="13"/>
    <x v="1"/>
    <x v="0"/>
  </r>
  <r>
    <x v="607"/>
    <x v="4"/>
    <x v="79"/>
    <x v="4"/>
    <x v="4"/>
    <x v="4"/>
    <x v="0"/>
    <x v="75"/>
    <x v="9"/>
    <x v="256"/>
    <x v="0"/>
    <x v="122"/>
    <x v="7"/>
    <x v="94"/>
    <x v="660"/>
    <x v="567"/>
    <x v="349"/>
    <x v="6"/>
    <x v="56"/>
    <x v="396"/>
    <x v="0"/>
    <x v="7"/>
    <x v="1"/>
    <x v="13"/>
    <x v="0"/>
    <x v="0"/>
  </r>
  <r>
    <x v="346"/>
    <x v="2"/>
    <x v="812"/>
    <x v="5"/>
    <x v="5"/>
    <x v="4"/>
    <x v="0"/>
    <x v="35"/>
    <x v="9"/>
    <x v="255"/>
    <x v="0"/>
    <x v="38"/>
    <x v="7"/>
    <x v="98"/>
    <x v="504"/>
    <x v="459"/>
    <x v="330"/>
    <x v="6"/>
    <x v="20"/>
    <x v="395"/>
    <x v="0"/>
    <x v="7"/>
    <x v="1"/>
    <x v="13"/>
    <x v="0"/>
    <x v="0"/>
  </r>
  <r>
    <x v="197"/>
    <x v="1"/>
    <x v="811"/>
    <x v="4"/>
    <x v="5"/>
    <x v="4"/>
    <x v="0"/>
    <x v="18"/>
    <x v="9"/>
    <x v="179"/>
    <x v="0"/>
    <x v="60"/>
    <x v="7"/>
    <x v="98"/>
    <x v="501"/>
    <x v="462"/>
    <x v="330"/>
    <x v="6"/>
    <x v="20"/>
    <x v="394"/>
    <x v="0"/>
    <x v="7"/>
    <x v="1"/>
    <x v="13"/>
    <x v="0"/>
    <x v="0"/>
  </r>
  <r>
    <x v="751"/>
    <x v="7"/>
    <x v="810"/>
    <x v="4"/>
    <x v="6"/>
    <x v="4"/>
    <x v="0"/>
    <x v="137"/>
    <x v="9"/>
    <x v="235"/>
    <x v="0"/>
    <x v="66"/>
    <x v="7"/>
    <x v="98"/>
    <x v="498"/>
    <x v="464"/>
    <x v="445"/>
    <x v="6"/>
    <x v="20"/>
    <x v="393"/>
    <x v="0"/>
    <x v="7"/>
    <x v="1"/>
    <x v="13"/>
    <x v="1"/>
    <x v="0"/>
  </r>
  <r>
    <x v="35"/>
    <x v="0"/>
    <x v="779"/>
    <x v="4"/>
    <x v="5"/>
    <x v="4"/>
    <x v="0"/>
    <x v="4"/>
    <x v="9"/>
    <x v="186"/>
    <x v="0"/>
    <x v="138"/>
    <x v="7"/>
    <x v="82"/>
    <x v="500"/>
    <x v="463"/>
    <x v="445"/>
    <x v="6"/>
    <x v="20"/>
    <x v="392"/>
    <x v="0"/>
    <x v="7"/>
    <x v="1"/>
    <x v="13"/>
    <x v="0"/>
    <x v="0"/>
  </r>
  <r>
    <x v="834"/>
    <x v="9"/>
    <x v="656"/>
    <x v="5"/>
    <x v="6"/>
    <x v="4"/>
    <x v="0"/>
    <x v="185"/>
    <x v="9"/>
    <x v="290"/>
    <x v="0"/>
    <x v="50"/>
    <x v="7"/>
    <x v="103"/>
    <x v="575"/>
    <x v="432"/>
    <x v="429"/>
    <x v="6"/>
    <x v="20"/>
    <x v="391"/>
    <x v="0"/>
    <x v="7"/>
    <x v="1"/>
    <x v="13"/>
    <x v="1"/>
    <x v="0"/>
  </r>
  <r>
    <x v="98"/>
    <x v="0"/>
    <x v="439"/>
    <x v="8"/>
    <x v="4"/>
    <x v="4"/>
    <x v="0"/>
    <x v="32"/>
    <x v="9"/>
    <x v="305"/>
    <x v="0"/>
    <x v="152"/>
    <x v="7"/>
    <x v="111"/>
    <x v="823"/>
    <x v="340"/>
    <x v="206"/>
    <x v="2"/>
    <x v="56"/>
    <x v="390"/>
    <x v="0"/>
    <x v="7"/>
    <x v="1"/>
    <x v="13"/>
    <x v="0"/>
    <x v="0"/>
  </r>
  <r>
    <x v="572"/>
    <x v="4"/>
    <x v="438"/>
    <x v="6"/>
    <x v="5"/>
    <x v="4"/>
    <x v="0"/>
    <x v="198"/>
    <x v="9"/>
    <x v="302"/>
    <x v="0"/>
    <x v="151"/>
    <x v="7"/>
    <x v="120"/>
    <x v="828"/>
    <x v="338"/>
    <x v="267"/>
    <x v="2"/>
    <x v="56"/>
    <x v="389"/>
    <x v="0"/>
    <x v="7"/>
    <x v="1"/>
    <x v="13"/>
    <x v="0"/>
    <x v="0"/>
  </r>
  <r>
    <x v="135"/>
    <x v="0"/>
    <x v="372"/>
    <x v="7"/>
    <x v="5"/>
    <x v="4"/>
    <x v="0"/>
    <x v="61"/>
    <x v="9"/>
    <x v="246"/>
    <x v="0"/>
    <x v="133"/>
    <x v="7"/>
    <x v="225"/>
    <x v="691"/>
    <x v="139"/>
    <x v="130"/>
    <x v="6"/>
    <x v="26"/>
    <x v="388"/>
    <x v="0"/>
    <x v="7"/>
    <x v="1"/>
    <x v="13"/>
    <x v="0"/>
    <x v="0"/>
  </r>
  <r>
    <x v="253"/>
    <x v="1"/>
    <x v="680"/>
    <x v="7"/>
    <x v="5"/>
    <x v="4"/>
    <x v="0"/>
    <x v="123"/>
    <x v="9"/>
    <x v="204"/>
    <x v="0"/>
    <x v="70"/>
    <x v="7"/>
    <x v="72"/>
    <x v="33"/>
    <x v="981"/>
    <x v="132"/>
    <x v="6"/>
    <x v="56"/>
    <x v="387"/>
    <x v="0"/>
    <x v="7"/>
    <x v="1"/>
    <x v="12"/>
    <x v="0"/>
    <x v="0"/>
  </r>
  <r>
    <x v="409"/>
    <x v="2"/>
    <x v="553"/>
    <x v="5"/>
    <x v="6"/>
    <x v="4"/>
    <x v="0"/>
    <x v="42"/>
    <x v="9"/>
    <x v="218"/>
    <x v="0"/>
    <x v="150"/>
    <x v="6"/>
    <x v="165"/>
    <x v="120"/>
    <x v="286"/>
    <x v="25"/>
    <x v="5"/>
    <x v="9"/>
    <x v="386"/>
    <x v="0"/>
    <x v="6"/>
    <x v="1"/>
    <x v="12"/>
    <x v="0"/>
    <x v="0"/>
  </r>
  <r>
    <x v="828"/>
    <x v="9"/>
    <x v="947"/>
    <x v="7"/>
    <x v="6"/>
    <x v="4"/>
    <x v="0"/>
    <x v="316"/>
    <x v="9"/>
    <x v="309"/>
    <x v="0"/>
    <x v="27"/>
    <x v="6"/>
    <x v="291"/>
    <x v="682"/>
    <x v="305"/>
    <x v="51"/>
    <x v="6"/>
    <x v="25"/>
    <x v="385"/>
    <x v="0"/>
    <x v="6"/>
    <x v="1"/>
    <x v="12"/>
    <x v="1"/>
    <x v="0"/>
  </r>
  <r>
    <x v="270"/>
    <x v="1"/>
    <x v="886"/>
    <x v="3"/>
    <x v="5"/>
    <x v="4"/>
    <x v="0"/>
    <x v="16"/>
    <x v="9"/>
    <x v="95"/>
    <x v="0"/>
    <x v="129"/>
    <x v="7"/>
    <x v="49"/>
    <x v="278"/>
    <x v="867"/>
    <x v="199"/>
    <x v="6"/>
    <x v="42"/>
    <x v="384"/>
    <x v="0"/>
    <x v="7"/>
    <x v="1"/>
    <x v="12"/>
    <x v="0"/>
    <x v="0"/>
  </r>
  <r>
    <x v="75"/>
    <x v="0"/>
    <x v="838"/>
    <x v="5"/>
    <x v="6"/>
    <x v="4"/>
    <x v="0"/>
    <x v="3"/>
    <x v="9"/>
    <x v="91"/>
    <x v="0"/>
    <x v="133"/>
    <x v="7"/>
    <x v="59"/>
    <x v="322"/>
    <x v="505"/>
    <x v="113"/>
    <x v="6"/>
    <x v="20"/>
    <x v="383"/>
    <x v="0"/>
    <x v="7"/>
    <x v="1"/>
    <x v="12"/>
    <x v="0"/>
    <x v="0"/>
  </r>
  <r>
    <x v="60"/>
    <x v="0"/>
    <x v="837"/>
    <x v="7"/>
    <x v="6"/>
    <x v="4"/>
    <x v="0"/>
    <x v="7"/>
    <x v="9"/>
    <x v="136"/>
    <x v="0"/>
    <x v="132"/>
    <x v="7"/>
    <x v="72"/>
    <x v="320"/>
    <x v="504"/>
    <x v="113"/>
    <x v="6"/>
    <x v="20"/>
    <x v="382"/>
    <x v="0"/>
    <x v="7"/>
    <x v="1"/>
    <x v="12"/>
    <x v="0"/>
    <x v="0"/>
  </r>
  <r>
    <x v="432"/>
    <x v="3"/>
    <x v="744"/>
    <x v="6"/>
    <x v="5"/>
    <x v="4"/>
    <x v="0"/>
    <x v="60"/>
    <x v="9"/>
    <x v="129"/>
    <x v="0"/>
    <x v="46"/>
    <x v="7"/>
    <x v="182"/>
    <x v="400"/>
    <x v="739"/>
    <x v="222"/>
    <x v="6"/>
    <x v="35"/>
    <x v="381"/>
    <x v="0"/>
    <x v="7"/>
    <x v="1"/>
    <x v="12"/>
    <x v="0"/>
    <x v="0"/>
  </r>
  <r>
    <x v="473"/>
    <x v="3"/>
    <x v="549"/>
    <x v="7"/>
    <x v="5"/>
    <x v="4"/>
    <x v="0"/>
    <x v="110"/>
    <x v="9"/>
    <x v="304"/>
    <x v="0"/>
    <x v="130"/>
    <x v="7"/>
    <x v="263"/>
    <x v="503"/>
    <x v="196"/>
    <x v="246"/>
    <x v="5"/>
    <x v="12"/>
    <x v="380"/>
    <x v="0"/>
    <x v="7"/>
    <x v="1"/>
    <x v="12"/>
    <x v="0"/>
    <x v="0"/>
  </r>
  <r>
    <x v="510"/>
    <x v="3"/>
    <x v="499"/>
    <x v="6"/>
    <x v="6"/>
    <x v="4"/>
    <x v="0"/>
    <x v="54"/>
    <x v="9"/>
    <x v="98"/>
    <x v="0"/>
    <x v="186"/>
    <x v="7"/>
    <x v="103"/>
    <x v="121"/>
    <x v="284"/>
    <x v="25"/>
    <x v="5"/>
    <x v="9"/>
    <x v="379"/>
    <x v="0"/>
    <x v="7"/>
    <x v="1"/>
    <x v="12"/>
    <x v="0"/>
    <x v="0"/>
  </r>
  <r>
    <x v="909"/>
    <x v="12"/>
    <x v="469"/>
    <x v="8"/>
    <x v="6"/>
    <x v="4"/>
    <x v="0"/>
    <x v="223"/>
    <x v="9"/>
    <x v="291"/>
    <x v="0"/>
    <x v="99"/>
    <x v="7"/>
    <x v="147"/>
    <x v="128"/>
    <x v="289"/>
    <x v="471"/>
    <x v="5"/>
    <x v="9"/>
    <x v="378"/>
    <x v="0"/>
    <x v="7"/>
    <x v="1"/>
    <x v="12"/>
    <x v="2"/>
    <x v="0"/>
  </r>
  <r>
    <x v="446"/>
    <x v="3"/>
    <x v="802"/>
    <x v="3"/>
    <x v="4"/>
    <x v="4"/>
    <x v="0"/>
    <x v="51"/>
    <x v="9"/>
    <x v="226"/>
    <x v="0"/>
    <x v="108"/>
    <x v="7"/>
    <x v="79"/>
    <x v="471"/>
    <x v="474"/>
    <x v="57"/>
    <x v="6"/>
    <x v="20"/>
    <x v="377"/>
    <x v="0"/>
    <x v="7"/>
    <x v="1"/>
    <x v="12"/>
    <x v="0"/>
    <x v="0"/>
  </r>
  <r>
    <x v="502"/>
    <x v="3"/>
    <x v="494"/>
    <x v="4"/>
    <x v="6"/>
    <x v="4"/>
    <x v="0"/>
    <x v="79"/>
    <x v="9"/>
    <x v="127"/>
    <x v="0"/>
    <x v="71"/>
    <x v="7"/>
    <x v="59"/>
    <x v="23"/>
    <x v="928"/>
    <x v="456"/>
    <x v="6"/>
    <x v="31"/>
    <x v="376"/>
    <x v="0"/>
    <x v="7"/>
    <x v="1"/>
    <x v="12"/>
    <x v="0"/>
    <x v="0"/>
  </r>
  <r>
    <x v="452"/>
    <x v="3"/>
    <x v="861"/>
    <x v="4"/>
    <x v="4"/>
    <x v="4"/>
    <x v="0"/>
    <x v="51"/>
    <x v="9"/>
    <x v="132"/>
    <x v="0"/>
    <x v="42"/>
    <x v="7"/>
    <x v="147"/>
    <x v="430"/>
    <x v="804"/>
    <x v="204"/>
    <x v="6"/>
    <x v="35"/>
    <x v="375"/>
    <x v="0"/>
    <x v="7"/>
    <x v="1"/>
    <x v="12"/>
    <x v="0"/>
    <x v="0"/>
  </r>
  <r>
    <x v="327"/>
    <x v="2"/>
    <x v="676"/>
    <x v="3"/>
    <x v="4"/>
    <x v="4"/>
    <x v="0"/>
    <x v="35"/>
    <x v="9"/>
    <x v="233"/>
    <x v="0"/>
    <x v="129"/>
    <x v="7"/>
    <x v="122"/>
    <x v="511"/>
    <x v="467"/>
    <x v="330"/>
    <x v="6"/>
    <x v="20"/>
    <x v="374"/>
    <x v="0"/>
    <x v="7"/>
    <x v="1"/>
    <x v="12"/>
    <x v="0"/>
    <x v="0"/>
  </r>
  <r>
    <x v="631"/>
    <x v="5"/>
    <x v="426"/>
    <x v="4"/>
    <x v="6"/>
    <x v="4"/>
    <x v="0"/>
    <x v="95"/>
    <x v="9"/>
    <x v="253"/>
    <x v="0"/>
    <x v="104"/>
    <x v="7"/>
    <x v="82"/>
    <x v="507"/>
    <x v="456"/>
    <x v="330"/>
    <x v="6"/>
    <x v="20"/>
    <x v="373"/>
    <x v="0"/>
    <x v="7"/>
    <x v="1"/>
    <x v="12"/>
    <x v="1"/>
    <x v="0"/>
  </r>
  <r>
    <x v="150"/>
    <x v="0"/>
    <x v="425"/>
    <x v="0"/>
    <x v="4"/>
    <x v="4"/>
    <x v="0"/>
    <x v="0"/>
    <x v="9"/>
    <x v="169"/>
    <x v="0"/>
    <x v="124"/>
    <x v="7"/>
    <x v="118"/>
    <x v="515"/>
    <x v="457"/>
    <x v="191"/>
    <x v="6"/>
    <x v="20"/>
    <x v="372"/>
    <x v="0"/>
    <x v="7"/>
    <x v="1"/>
    <x v="12"/>
    <x v="0"/>
    <x v="0"/>
  </r>
  <r>
    <x v="949"/>
    <x v="14"/>
    <x v="391"/>
    <x v="8"/>
    <x v="6"/>
    <x v="4"/>
    <x v="0"/>
    <x v="261"/>
    <x v="9"/>
    <x v="196"/>
    <x v="0"/>
    <x v="144"/>
    <x v="7"/>
    <x v="136"/>
    <x v="496"/>
    <x v="472"/>
    <x v="445"/>
    <x v="6"/>
    <x v="20"/>
    <x v="371"/>
    <x v="0"/>
    <x v="7"/>
    <x v="1"/>
    <x v="12"/>
    <x v="2"/>
    <x v="0"/>
  </r>
  <r>
    <x v="920"/>
    <x v="13"/>
    <x v="391"/>
    <x v="7"/>
    <x v="7"/>
    <x v="4"/>
    <x v="0"/>
    <x v="267"/>
    <x v="3"/>
    <x v="0"/>
    <x v="0"/>
    <x v="0"/>
    <x v="8"/>
    <x v="149"/>
    <x v="497"/>
    <x v="466"/>
    <x v="445"/>
    <x v="1"/>
    <x v="20"/>
    <x v="371"/>
    <x v="0"/>
    <x v="8"/>
    <x v="1"/>
    <x v="12"/>
    <x v="2"/>
    <x v="0"/>
  </r>
  <r>
    <x v="977"/>
    <x v="21"/>
    <x v="390"/>
    <x v="0"/>
    <x v="5"/>
    <x v="4"/>
    <x v="0"/>
    <x v="252"/>
    <x v="7"/>
    <x v="171"/>
    <x v="0"/>
    <x v="161"/>
    <x v="8"/>
    <x v="134"/>
    <x v="454"/>
    <x v="478"/>
    <x v="57"/>
    <x v="6"/>
    <x v="20"/>
    <x v="370"/>
    <x v="0"/>
    <x v="8"/>
    <x v="1"/>
    <x v="12"/>
    <x v="3"/>
    <x v="0"/>
  </r>
  <r>
    <x v="482"/>
    <x v="3"/>
    <x v="312"/>
    <x v="5"/>
    <x v="5"/>
    <x v="4"/>
    <x v="0"/>
    <x v="81"/>
    <x v="9"/>
    <x v="306"/>
    <x v="0"/>
    <x v="59"/>
    <x v="7"/>
    <x v="44"/>
    <x v="580"/>
    <x v="193"/>
    <x v="469"/>
    <x v="6"/>
    <x v="10"/>
    <x v="369"/>
    <x v="0"/>
    <x v="7"/>
    <x v="1"/>
    <x v="12"/>
    <x v="0"/>
    <x v="0"/>
  </r>
  <r>
    <x v="777"/>
    <x v="7"/>
    <x v="53"/>
    <x v="0"/>
    <x v="4"/>
    <x v="4"/>
    <x v="0"/>
    <x v="115"/>
    <x v="9"/>
    <x v="111"/>
    <x v="0"/>
    <x v="90"/>
    <x v="7"/>
    <x v="136"/>
    <x v="265"/>
    <x v="886"/>
    <x v="226"/>
    <x v="6"/>
    <x v="56"/>
    <x v="368"/>
    <x v="0"/>
    <x v="7"/>
    <x v="1"/>
    <x v="12"/>
    <x v="1"/>
    <x v="0"/>
  </r>
  <r>
    <x v="67"/>
    <x v="0"/>
    <x v="533"/>
    <x v="5"/>
    <x v="5"/>
    <x v="4"/>
    <x v="0"/>
    <x v="19"/>
    <x v="9"/>
    <x v="150"/>
    <x v="0"/>
    <x v="24"/>
    <x v="7"/>
    <x v="44"/>
    <x v="300"/>
    <x v="845"/>
    <x v="252"/>
    <x v="6"/>
    <x v="56"/>
    <x v="367"/>
    <x v="0"/>
    <x v="7"/>
    <x v="1"/>
    <x v="12"/>
    <x v="0"/>
    <x v="0"/>
  </r>
  <r>
    <x v="954"/>
    <x v="15"/>
    <x v="489"/>
    <x v="9"/>
    <x v="7"/>
    <x v="4"/>
    <x v="0"/>
    <x v="299"/>
    <x v="9"/>
    <x v="293"/>
    <x v="0"/>
    <x v="121"/>
    <x v="7"/>
    <x v="144"/>
    <x v="253"/>
    <x v="207"/>
    <x v="408"/>
    <x v="6"/>
    <x v="37"/>
    <x v="366"/>
    <x v="0"/>
    <x v="7"/>
    <x v="1"/>
    <x v="12"/>
    <x v="3"/>
    <x v="0"/>
  </r>
  <r>
    <x v="855"/>
    <x v="10"/>
    <x v="231"/>
    <x v="0"/>
    <x v="4"/>
    <x v="4"/>
    <x v="0"/>
    <x v="157"/>
    <x v="9"/>
    <x v="70"/>
    <x v="0"/>
    <x v="152"/>
    <x v="7"/>
    <x v="344"/>
    <x v="395"/>
    <x v="496"/>
    <x v="384"/>
    <x v="6"/>
    <x v="20"/>
    <x v="365"/>
    <x v="0"/>
    <x v="7"/>
    <x v="1"/>
    <x v="12"/>
    <x v="2"/>
    <x v="0"/>
  </r>
  <r>
    <x v="766"/>
    <x v="7"/>
    <x v="19"/>
    <x v="7"/>
    <x v="6"/>
    <x v="4"/>
    <x v="0"/>
    <x v="119"/>
    <x v="9"/>
    <x v="226"/>
    <x v="0"/>
    <x v="81"/>
    <x v="6"/>
    <x v="260"/>
    <x v="219"/>
    <x v="929"/>
    <x v="241"/>
    <x v="6"/>
    <x v="54"/>
    <x v="364"/>
    <x v="0"/>
    <x v="6"/>
    <x v="1"/>
    <x v="12"/>
    <x v="1"/>
    <x v="0"/>
  </r>
  <r>
    <x v="541"/>
    <x v="4"/>
    <x v="858"/>
    <x v="3"/>
    <x v="4"/>
    <x v="4"/>
    <x v="0"/>
    <x v="69"/>
    <x v="9"/>
    <x v="146"/>
    <x v="0"/>
    <x v="110"/>
    <x v="6"/>
    <x v="98"/>
    <x v="577"/>
    <x v="597"/>
    <x v="470"/>
    <x v="6"/>
    <x v="20"/>
    <x v="363"/>
    <x v="0"/>
    <x v="6"/>
    <x v="1"/>
    <x v="12"/>
    <x v="0"/>
    <x v="0"/>
  </r>
  <r>
    <x v="445"/>
    <x v="3"/>
    <x v="526"/>
    <x v="5"/>
    <x v="3"/>
    <x v="4"/>
    <x v="0"/>
    <x v="103"/>
    <x v="9"/>
    <x v="310"/>
    <x v="0"/>
    <x v="64"/>
    <x v="6"/>
    <x v="347"/>
    <x v="834"/>
    <x v="640"/>
    <x v="271"/>
    <x v="6"/>
    <x v="56"/>
    <x v="362"/>
    <x v="0"/>
    <x v="6"/>
    <x v="1"/>
    <x v="12"/>
    <x v="0"/>
    <x v="0"/>
  </r>
  <r>
    <x v="208"/>
    <x v="1"/>
    <x v="525"/>
    <x v="8"/>
    <x v="7"/>
    <x v="4"/>
    <x v="0"/>
    <x v="136"/>
    <x v="9"/>
    <x v="338"/>
    <x v="0"/>
    <x v="53"/>
    <x v="7"/>
    <x v="26"/>
    <x v="848"/>
    <x v="655"/>
    <x v="185"/>
    <x v="1"/>
    <x v="23"/>
    <x v="361"/>
    <x v="0"/>
    <x v="7"/>
    <x v="1"/>
    <x v="12"/>
    <x v="0"/>
    <x v="0"/>
  </r>
  <r>
    <x v="385"/>
    <x v="2"/>
    <x v="419"/>
    <x v="6"/>
    <x v="5"/>
    <x v="4"/>
    <x v="0"/>
    <x v="213"/>
    <x v="9"/>
    <x v="209"/>
    <x v="0"/>
    <x v="178"/>
    <x v="7"/>
    <x v="92"/>
    <x v="661"/>
    <x v="152"/>
    <x v="166"/>
    <x v="6"/>
    <x v="56"/>
    <x v="360"/>
    <x v="0"/>
    <x v="7"/>
    <x v="1"/>
    <x v="12"/>
    <x v="0"/>
    <x v="0"/>
  </r>
  <r>
    <x v="533"/>
    <x v="4"/>
    <x v="12"/>
    <x v="0"/>
    <x v="6"/>
    <x v="4"/>
    <x v="0"/>
    <x v="67"/>
    <x v="9"/>
    <x v="107"/>
    <x v="0"/>
    <x v="40"/>
    <x v="7"/>
    <x v="20"/>
    <x v="341"/>
    <x v="826"/>
    <x v="341"/>
    <x v="6"/>
    <x v="42"/>
    <x v="359"/>
    <x v="0"/>
    <x v="7"/>
    <x v="1"/>
    <x v="12"/>
    <x v="0"/>
    <x v="0"/>
  </r>
  <r>
    <x v="302"/>
    <x v="1"/>
    <x v="11"/>
    <x v="0"/>
    <x v="6"/>
    <x v="4"/>
    <x v="0"/>
    <x v="14"/>
    <x v="9"/>
    <x v="79"/>
    <x v="0"/>
    <x v="47"/>
    <x v="0"/>
    <x v="20"/>
    <x v="346"/>
    <x v="827"/>
    <x v="341"/>
    <x v="6"/>
    <x v="42"/>
    <x v="358"/>
    <x v="0"/>
    <x v="0"/>
    <x v="1"/>
    <x v="12"/>
    <x v="0"/>
    <x v="0"/>
  </r>
  <r>
    <x v="962"/>
    <x v="17"/>
    <x v="10"/>
    <x v="9"/>
    <x v="7"/>
    <x v="4"/>
    <x v="0"/>
    <x v="239"/>
    <x v="9"/>
    <x v="191"/>
    <x v="0"/>
    <x v="34"/>
    <x v="7"/>
    <x v="94"/>
    <x v="315"/>
    <x v="830"/>
    <x v="133"/>
    <x v="6"/>
    <x v="42"/>
    <x v="357"/>
    <x v="0"/>
    <x v="7"/>
    <x v="1"/>
    <x v="12"/>
    <x v="3"/>
    <x v="0"/>
  </r>
  <r>
    <x v="387"/>
    <x v="2"/>
    <x v="816"/>
    <x v="7"/>
    <x v="7"/>
    <x v="4"/>
    <x v="0"/>
    <x v="106"/>
    <x v="9"/>
    <x v="225"/>
    <x v="0"/>
    <x v="108"/>
    <x v="7"/>
    <x v="9"/>
    <x v="843"/>
    <x v="649"/>
    <x v="292"/>
    <x v="1"/>
    <x v="23"/>
    <x v="356"/>
    <x v="0"/>
    <x v="7"/>
    <x v="1"/>
    <x v="12"/>
    <x v="0"/>
    <x v="0"/>
  </r>
  <r>
    <x v="687"/>
    <x v="6"/>
    <x v="815"/>
    <x v="3"/>
    <x v="5"/>
    <x v="4"/>
    <x v="0"/>
    <x v="103"/>
    <x v="9"/>
    <x v="183"/>
    <x v="0"/>
    <x v="118"/>
    <x v="6"/>
    <x v="134"/>
    <x v="153"/>
    <x v="951"/>
    <x v="161"/>
    <x v="6"/>
    <x v="56"/>
    <x v="355"/>
    <x v="0"/>
    <x v="6"/>
    <x v="1"/>
    <x v="12"/>
    <x v="1"/>
    <x v="0"/>
  </r>
  <r>
    <x v="362"/>
    <x v="2"/>
    <x v="655"/>
    <x v="0"/>
    <x v="5"/>
    <x v="4"/>
    <x v="0"/>
    <x v="31"/>
    <x v="9"/>
    <x v="80"/>
    <x v="0"/>
    <x v="187"/>
    <x v="7"/>
    <x v="26"/>
    <x v="523"/>
    <x v="589"/>
    <x v="391"/>
    <x v="6"/>
    <x v="20"/>
    <x v="354"/>
    <x v="0"/>
    <x v="7"/>
    <x v="1"/>
    <x v="12"/>
    <x v="0"/>
    <x v="0"/>
  </r>
  <r>
    <x v="844"/>
    <x v="10"/>
    <x v="684"/>
    <x v="6"/>
    <x v="4"/>
    <x v="4"/>
    <x v="0"/>
    <x v="164"/>
    <x v="9"/>
    <x v="271"/>
    <x v="0"/>
    <x v="93"/>
    <x v="7"/>
    <x v="82"/>
    <x v="554"/>
    <x v="571"/>
    <x v="459"/>
    <x v="6"/>
    <x v="20"/>
    <x v="353"/>
    <x v="0"/>
    <x v="7"/>
    <x v="1"/>
    <x v="12"/>
    <x v="2"/>
    <x v="0"/>
  </r>
  <r>
    <x v="963"/>
    <x v="17"/>
    <x v="402"/>
    <x v="4"/>
    <x v="4"/>
    <x v="4"/>
    <x v="0"/>
    <x v="241"/>
    <x v="9"/>
    <x v="289"/>
    <x v="0"/>
    <x v="30"/>
    <x v="7"/>
    <x v="20"/>
    <x v="917"/>
    <x v="814"/>
    <x v="465"/>
    <x v="6"/>
    <x v="56"/>
    <x v="352"/>
    <x v="0"/>
    <x v="7"/>
    <x v="1"/>
    <x v="12"/>
    <x v="3"/>
    <x v="0"/>
  </r>
  <r>
    <x v="564"/>
    <x v="4"/>
    <x v="872"/>
    <x v="6"/>
    <x v="6"/>
    <x v="4"/>
    <x v="0"/>
    <x v="115"/>
    <x v="9"/>
    <x v="208"/>
    <x v="0"/>
    <x v="156"/>
    <x v="7"/>
    <x v="20"/>
    <x v="731"/>
    <x v="516"/>
    <x v="144"/>
    <x v="1"/>
    <x v="44"/>
    <x v="351"/>
    <x v="0"/>
    <x v="7"/>
    <x v="1"/>
    <x v="11"/>
    <x v="0"/>
    <x v="0"/>
  </r>
  <r>
    <x v="712"/>
    <x v="6"/>
    <x v="871"/>
    <x v="8"/>
    <x v="6"/>
    <x v="4"/>
    <x v="0"/>
    <x v="237"/>
    <x v="9"/>
    <x v="332"/>
    <x v="0"/>
    <x v="144"/>
    <x v="6"/>
    <x v="20"/>
    <x v="728"/>
    <x v="518"/>
    <x v="144"/>
    <x v="1"/>
    <x v="44"/>
    <x v="350"/>
    <x v="0"/>
    <x v="6"/>
    <x v="1"/>
    <x v="11"/>
    <x v="1"/>
    <x v="0"/>
  </r>
  <r>
    <x v="975"/>
    <x v="20"/>
    <x v="498"/>
    <x v="4"/>
    <x v="6"/>
    <x v="4"/>
    <x v="0"/>
    <x v="249"/>
    <x v="9"/>
    <x v="274"/>
    <x v="0"/>
    <x v="86"/>
    <x v="7"/>
    <x v="20"/>
    <x v="918"/>
    <x v="801"/>
    <x v="211"/>
    <x v="6"/>
    <x v="56"/>
    <x v="349"/>
    <x v="0"/>
    <x v="7"/>
    <x v="1"/>
    <x v="11"/>
    <x v="3"/>
    <x v="0"/>
  </r>
  <r>
    <x v="192"/>
    <x v="1"/>
    <x v="213"/>
    <x v="0"/>
    <x v="5"/>
    <x v="4"/>
    <x v="0"/>
    <x v="14"/>
    <x v="9"/>
    <x v="135"/>
    <x v="0"/>
    <x v="68"/>
    <x v="7"/>
    <x v="22"/>
    <x v="372"/>
    <x v="767"/>
    <x v="197"/>
    <x v="6"/>
    <x v="56"/>
    <x v="348"/>
    <x v="0"/>
    <x v="7"/>
    <x v="1"/>
    <x v="11"/>
    <x v="0"/>
    <x v="0"/>
  </r>
  <r>
    <x v="392"/>
    <x v="2"/>
    <x v="677"/>
    <x v="5"/>
    <x v="5"/>
    <x v="4"/>
    <x v="0"/>
    <x v="67"/>
    <x v="9"/>
    <x v="194"/>
    <x v="0"/>
    <x v="215"/>
    <x v="7"/>
    <x v="92"/>
    <x v="252"/>
    <x v="206"/>
    <x v="408"/>
    <x v="6"/>
    <x v="37"/>
    <x v="347"/>
    <x v="0"/>
    <x v="7"/>
    <x v="1"/>
    <x v="11"/>
    <x v="0"/>
    <x v="0"/>
  </r>
  <r>
    <x v="315"/>
    <x v="2"/>
    <x v="576"/>
    <x v="5"/>
    <x v="5"/>
    <x v="4"/>
    <x v="0"/>
    <x v="32"/>
    <x v="9"/>
    <x v="251"/>
    <x v="0"/>
    <x v="43"/>
    <x v="7"/>
    <x v="127"/>
    <x v="394"/>
    <x v="765"/>
    <x v="197"/>
    <x v="6"/>
    <x v="35"/>
    <x v="346"/>
    <x v="0"/>
    <x v="7"/>
    <x v="1"/>
    <x v="11"/>
    <x v="0"/>
    <x v="0"/>
  </r>
  <r>
    <x v="338"/>
    <x v="2"/>
    <x v="493"/>
    <x v="8"/>
    <x v="8"/>
    <x v="4"/>
    <x v="0"/>
    <x v="311"/>
    <x v="4"/>
    <x v="5"/>
    <x v="0"/>
    <x v="249"/>
    <x v="1"/>
    <x v="143"/>
    <x v="723"/>
    <x v="79"/>
    <x v="367"/>
    <x v="6"/>
    <x v="53"/>
    <x v="345"/>
    <x v="0"/>
    <x v="1"/>
    <x v="1"/>
    <x v="11"/>
    <x v="0"/>
    <x v="0"/>
  </r>
  <r>
    <x v="552"/>
    <x v="4"/>
    <x v="915"/>
    <x v="3"/>
    <x v="2"/>
    <x v="4"/>
    <x v="0"/>
    <x v="72"/>
    <x v="9"/>
    <x v="325"/>
    <x v="0"/>
    <x v="86"/>
    <x v="7"/>
    <x v="111"/>
    <x v="203"/>
    <x v="62"/>
    <x v="145"/>
    <x v="6"/>
    <x v="56"/>
    <x v="344"/>
    <x v="0"/>
    <x v="7"/>
    <x v="1"/>
    <x v="11"/>
    <x v="0"/>
    <x v="0"/>
  </r>
  <r>
    <x v="485"/>
    <x v="3"/>
    <x v="21"/>
    <x v="0"/>
    <x v="5"/>
    <x v="4"/>
    <x v="0"/>
    <x v="49"/>
    <x v="9"/>
    <x v="202"/>
    <x v="0"/>
    <x v="139"/>
    <x v="6"/>
    <x v="141"/>
    <x v="359"/>
    <x v="824"/>
    <x v="341"/>
    <x v="6"/>
    <x v="35"/>
    <x v="343"/>
    <x v="0"/>
    <x v="6"/>
    <x v="1"/>
    <x v="11"/>
    <x v="0"/>
    <x v="0"/>
  </r>
  <r>
    <x v="125"/>
    <x v="0"/>
    <x v="794"/>
    <x v="0"/>
    <x v="5"/>
    <x v="4"/>
    <x v="0"/>
    <x v="0"/>
    <x v="9"/>
    <x v="323"/>
    <x v="0"/>
    <x v="203"/>
    <x v="6"/>
    <x v="157"/>
    <x v="933"/>
    <x v="835"/>
    <x v="327"/>
    <x v="1"/>
    <x v="39"/>
    <x v="342"/>
    <x v="0"/>
    <x v="6"/>
    <x v="1"/>
    <x v="11"/>
    <x v="0"/>
    <x v="0"/>
  </r>
  <r>
    <x v="487"/>
    <x v="3"/>
    <x v="209"/>
    <x v="5"/>
    <x v="4"/>
    <x v="4"/>
    <x v="0"/>
    <x v="51"/>
    <x v="9"/>
    <x v="260"/>
    <x v="0"/>
    <x v="124"/>
    <x v="6"/>
    <x v="287"/>
    <x v="216"/>
    <x v="930"/>
    <x v="311"/>
    <x v="6"/>
    <x v="54"/>
    <x v="341"/>
    <x v="0"/>
    <x v="6"/>
    <x v="1"/>
    <x v="11"/>
    <x v="0"/>
    <x v="0"/>
  </r>
  <r>
    <x v="904"/>
    <x v="12"/>
    <x v="566"/>
    <x v="7"/>
    <x v="4"/>
    <x v="4"/>
    <x v="0"/>
    <x v="202"/>
    <x v="9"/>
    <x v="137"/>
    <x v="0"/>
    <x v="174"/>
    <x v="7"/>
    <x v="72"/>
    <x v="308"/>
    <x v="496"/>
    <x v="430"/>
    <x v="6"/>
    <x v="56"/>
    <x v="340"/>
    <x v="0"/>
    <x v="7"/>
    <x v="1"/>
    <x v="11"/>
    <x v="2"/>
    <x v="0"/>
  </r>
  <r>
    <x v="13"/>
    <x v="0"/>
    <x v="904"/>
    <x v="0"/>
    <x v="5"/>
    <x v="4"/>
    <x v="0"/>
    <x v="0"/>
    <x v="9"/>
    <x v="215"/>
    <x v="0"/>
    <x v="80"/>
    <x v="7"/>
    <x v="134"/>
    <x v="402"/>
    <x v="766"/>
    <x v="197"/>
    <x v="6"/>
    <x v="35"/>
    <x v="339"/>
    <x v="0"/>
    <x v="7"/>
    <x v="1"/>
    <x v="11"/>
    <x v="0"/>
    <x v="0"/>
  </r>
  <r>
    <x v="247"/>
    <x v="1"/>
    <x v="726"/>
    <x v="0"/>
    <x v="6"/>
    <x v="4"/>
    <x v="0"/>
    <x v="14"/>
    <x v="9"/>
    <x v="258"/>
    <x v="0"/>
    <x v="137"/>
    <x v="7"/>
    <x v="65"/>
    <x v="987"/>
    <x v="885"/>
    <x v="468"/>
    <x v="1"/>
    <x v="39"/>
    <x v="338"/>
    <x v="0"/>
    <x v="7"/>
    <x v="1"/>
    <x v="11"/>
    <x v="0"/>
    <x v="0"/>
  </r>
  <r>
    <x v="466"/>
    <x v="3"/>
    <x v="518"/>
    <x v="4"/>
    <x v="4"/>
    <x v="4"/>
    <x v="0"/>
    <x v="57"/>
    <x v="9"/>
    <x v="324"/>
    <x v="0"/>
    <x v="49"/>
    <x v="6"/>
    <x v="26"/>
    <x v="539"/>
    <x v="443"/>
    <x v="431"/>
    <x v="6"/>
    <x v="56"/>
    <x v="337"/>
    <x v="0"/>
    <x v="6"/>
    <x v="1"/>
    <x v="11"/>
    <x v="0"/>
    <x v="0"/>
  </r>
  <r>
    <x v="955"/>
    <x v="15"/>
    <x v="89"/>
    <x v="7"/>
    <x v="6"/>
    <x v="4"/>
    <x v="0"/>
    <x v="230"/>
    <x v="9"/>
    <x v="294"/>
    <x v="0"/>
    <x v="84"/>
    <x v="7"/>
    <x v="185"/>
    <x v="159"/>
    <x v="55"/>
    <x v="340"/>
    <x v="6"/>
    <x v="56"/>
    <x v="336"/>
    <x v="0"/>
    <x v="7"/>
    <x v="1"/>
    <x v="11"/>
    <x v="3"/>
    <x v="0"/>
  </r>
  <r>
    <x v="957"/>
    <x v="15"/>
    <x v="89"/>
    <x v="8"/>
    <x v="8"/>
    <x v="4"/>
    <x v="0"/>
    <x v="240"/>
    <x v="3"/>
    <x v="0"/>
    <x v="0"/>
    <x v="0"/>
    <x v="8"/>
    <x v="198"/>
    <x v="162"/>
    <x v="56"/>
    <x v="340"/>
    <x v="6"/>
    <x v="56"/>
    <x v="336"/>
    <x v="0"/>
    <x v="8"/>
    <x v="1"/>
    <x v="11"/>
    <x v="3"/>
    <x v="0"/>
  </r>
  <r>
    <x v="117"/>
    <x v="0"/>
    <x v="958"/>
    <x v="7"/>
    <x v="6"/>
    <x v="4"/>
    <x v="0"/>
    <x v="3"/>
    <x v="9"/>
    <x v="96"/>
    <x v="0"/>
    <x v="198"/>
    <x v="7"/>
    <x v="26"/>
    <x v="95"/>
    <x v="267"/>
    <x v="101"/>
    <x v="6"/>
    <x v="9"/>
    <x v="335"/>
    <x v="0"/>
    <x v="7"/>
    <x v="1"/>
    <x v="11"/>
    <x v="0"/>
    <x v="0"/>
  </r>
  <r>
    <x v="407"/>
    <x v="2"/>
    <x v="957"/>
    <x v="6"/>
    <x v="6"/>
    <x v="4"/>
    <x v="0"/>
    <x v="35"/>
    <x v="9"/>
    <x v="93"/>
    <x v="0"/>
    <x v="120"/>
    <x v="6"/>
    <x v="26"/>
    <x v="96"/>
    <x v="268"/>
    <x v="101"/>
    <x v="6"/>
    <x v="9"/>
    <x v="334"/>
    <x v="0"/>
    <x v="6"/>
    <x v="1"/>
    <x v="11"/>
    <x v="0"/>
    <x v="0"/>
  </r>
  <r>
    <x v="288"/>
    <x v="1"/>
    <x v="928"/>
    <x v="0"/>
    <x v="7"/>
    <x v="4"/>
    <x v="0"/>
    <x v="14"/>
    <x v="9"/>
    <x v="302"/>
    <x v="0"/>
    <x v="139"/>
    <x v="7"/>
    <x v="22"/>
    <x v="986"/>
    <x v="927"/>
    <x v="468"/>
    <x v="1"/>
    <x v="39"/>
    <x v="333"/>
    <x v="0"/>
    <x v="7"/>
    <x v="1"/>
    <x v="11"/>
    <x v="0"/>
    <x v="0"/>
  </r>
  <r>
    <x v="886"/>
    <x v="11"/>
    <x v="662"/>
    <x v="0"/>
    <x v="7"/>
    <x v="4"/>
    <x v="0"/>
    <x v="171"/>
    <x v="9"/>
    <x v="277"/>
    <x v="0"/>
    <x v="67"/>
    <x v="7"/>
    <x v="82"/>
    <x v="988"/>
    <x v="910"/>
    <x v="468"/>
    <x v="1"/>
    <x v="39"/>
    <x v="332"/>
    <x v="0"/>
    <x v="7"/>
    <x v="1"/>
    <x v="11"/>
    <x v="2"/>
    <x v="0"/>
  </r>
  <r>
    <x v="25"/>
    <x v="0"/>
    <x v="196"/>
    <x v="3"/>
    <x v="4"/>
    <x v="4"/>
    <x v="0"/>
    <x v="4"/>
    <x v="9"/>
    <x v="77"/>
    <x v="0"/>
    <x v="119"/>
    <x v="7"/>
    <x v="37"/>
    <x v="204"/>
    <x v="978"/>
    <x v="227"/>
    <x v="6"/>
    <x v="56"/>
    <x v="331"/>
    <x v="0"/>
    <x v="7"/>
    <x v="1"/>
    <x v="11"/>
    <x v="0"/>
    <x v="0"/>
  </r>
  <r>
    <x v="322"/>
    <x v="2"/>
    <x v="443"/>
    <x v="0"/>
    <x v="6"/>
    <x v="4"/>
    <x v="0"/>
    <x v="31"/>
    <x v="9"/>
    <x v="108"/>
    <x v="0"/>
    <x v="90"/>
    <x v="6"/>
    <x v="123"/>
    <x v="480"/>
    <x v="592"/>
    <x v="22"/>
    <x v="6"/>
    <x v="20"/>
    <x v="330"/>
    <x v="0"/>
    <x v="6"/>
    <x v="1"/>
    <x v="11"/>
    <x v="0"/>
    <x v="0"/>
  </r>
  <r>
    <x v="632"/>
    <x v="5"/>
    <x v="719"/>
    <x v="5"/>
    <x v="8"/>
    <x v="4"/>
    <x v="0"/>
    <x v="172"/>
    <x v="9"/>
    <x v="172"/>
    <x v="0"/>
    <x v="105"/>
    <x v="6"/>
    <x v="22"/>
    <x v="146"/>
    <x v="357"/>
    <x v="93"/>
    <x v="0"/>
    <x v="28"/>
    <x v="329"/>
    <x v="0"/>
    <x v="6"/>
    <x v="1"/>
    <x v="11"/>
    <x v="1"/>
    <x v="0"/>
  </r>
  <r>
    <x v="366"/>
    <x v="2"/>
    <x v="222"/>
    <x v="7"/>
    <x v="5"/>
    <x v="4"/>
    <x v="0"/>
    <x v="195"/>
    <x v="9"/>
    <x v="335"/>
    <x v="0"/>
    <x v="77"/>
    <x v="6"/>
    <x v="210"/>
    <x v="822"/>
    <x v="342"/>
    <x v="214"/>
    <x v="2"/>
    <x v="15"/>
    <x v="328"/>
    <x v="0"/>
    <x v="6"/>
    <x v="1"/>
    <x v="11"/>
    <x v="0"/>
    <x v="0"/>
  </r>
  <r>
    <x v="283"/>
    <x v="1"/>
    <x v="101"/>
    <x v="7"/>
    <x v="5"/>
    <x v="4"/>
    <x v="0"/>
    <x v="41"/>
    <x v="9"/>
    <x v="118"/>
    <x v="0"/>
    <x v="205"/>
    <x v="7"/>
    <x v="37"/>
    <x v="764"/>
    <x v="110"/>
    <x v="39"/>
    <x v="6"/>
    <x v="56"/>
    <x v="327"/>
    <x v="0"/>
    <x v="7"/>
    <x v="1"/>
    <x v="11"/>
    <x v="0"/>
    <x v="0"/>
  </r>
  <r>
    <x v="102"/>
    <x v="0"/>
    <x v="400"/>
    <x v="6"/>
    <x v="4"/>
    <x v="4"/>
    <x v="0"/>
    <x v="59"/>
    <x v="9"/>
    <x v="248"/>
    <x v="0"/>
    <x v="82"/>
    <x v="6"/>
    <x v="334"/>
    <x v="824"/>
    <x v="390"/>
    <x v="27"/>
    <x v="1"/>
    <x v="0"/>
    <x v="326"/>
    <x v="0"/>
    <x v="6"/>
    <x v="1"/>
    <x v="10"/>
    <x v="0"/>
    <x v="0"/>
  </r>
  <r>
    <x v="504"/>
    <x v="3"/>
    <x v="155"/>
    <x v="5"/>
    <x v="6"/>
    <x v="4"/>
    <x v="0"/>
    <x v="79"/>
    <x v="9"/>
    <x v="265"/>
    <x v="0"/>
    <x v="78"/>
    <x v="7"/>
    <x v="82"/>
    <x v="381"/>
    <x v="350"/>
    <x v="179"/>
    <x v="0"/>
    <x v="46"/>
    <x v="325"/>
    <x v="0"/>
    <x v="7"/>
    <x v="1"/>
    <x v="10"/>
    <x v="0"/>
    <x v="0"/>
  </r>
  <r>
    <x v="123"/>
    <x v="0"/>
    <x v="61"/>
    <x v="4"/>
    <x v="4"/>
    <x v="4"/>
    <x v="0"/>
    <x v="26"/>
    <x v="9"/>
    <x v="207"/>
    <x v="0"/>
    <x v="207"/>
    <x v="7"/>
    <x v="120"/>
    <x v="863"/>
    <x v="687"/>
    <x v="164"/>
    <x v="6"/>
    <x v="56"/>
    <x v="324"/>
    <x v="0"/>
    <x v="7"/>
    <x v="1"/>
    <x v="10"/>
    <x v="0"/>
    <x v="0"/>
  </r>
  <r>
    <x v="104"/>
    <x v="0"/>
    <x v="648"/>
    <x v="3"/>
    <x v="5"/>
    <x v="4"/>
    <x v="0"/>
    <x v="1"/>
    <x v="9"/>
    <x v="138"/>
    <x v="0"/>
    <x v="84"/>
    <x v="6"/>
    <x v="79"/>
    <x v="566"/>
    <x v="440"/>
    <x v="429"/>
    <x v="6"/>
    <x v="20"/>
    <x v="323"/>
    <x v="0"/>
    <x v="6"/>
    <x v="1"/>
    <x v="10"/>
    <x v="0"/>
    <x v="0"/>
  </r>
  <r>
    <x v="499"/>
    <x v="3"/>
    <x v="580"/>
    <x v="0"/>
    <x v="5"/>
    <x v="4"/>
    <x v="0"/>
    <x v="49"/>
    <x v="9"/>
    <x v="238"/>
    <x v="0"/>
    <x v="148"/>
    <x v="6"/>
    <x v="286"/>
    <x v="126"/>
    <x v="294"/>
    <x v="404"/>
    <x v="5"/>
    <x v="5"/>
    <x v="322"/>
    <x v="0"/>
    <x v="6"/>
    <x v="1"/>
    <x v="10"/>
    <x v="0"/>
    <x v="0"/>
  </r>
  <r>
    <x v="876"/>
    <x v="11"/>
    <x v="240"/>
    <x v="9"/>
    <x v="8"/>
    <x v="4"/>
    <x v="0"/>
    <x v="288"/>
    <x v="9"/>
    <x v="329"/>
    <x v="0"/>
    <x v="88"/>
    <x v="7"/>
    <x v="103"/>
    <x v="803"/>
    <x v="395"/>
    <x v="285"/>
    <x v="1"/>
    <x v="33"/>
    <x v="321"/>
    <x v="0"/>
    <x v="7"/>
    <x v="1"/>
    <x v="10"/>
    <x v="2"/>
    <x v="0"/>
  </r>
  <r>
    <x v="182"/>
    <x v="1"/>
    <x v="940"/>
    <x v="0"/>
    <x v="5"/>
    <x v="4"/>
    <x v="0"/>
    <x v="14"/>
    <x v="9"/>
    <x v="165"/>
    <x v="0"/>
    <x v="60"/>
    <x v="7"/>
    <x v="98"/>
    <x v="416"/>
    <x v="778"/>
    <x v="204"/>
    <x v="6"/>
    <x v="35"/>
    <x v="320"/>
    <x v="0"/>
    <x v="7"/>
    <x v="1"/>
    <x v="10"/>
    <x v="0"/>
    <x v="0"/>
  </r>
  <r>
    <x v="856"/>
    <x v="10"/>
    <x v="860"/>
    <x v="8"/>
    <x v="6"/>
    <x v="4"/>
    <x v="0"/>
    <x v="234"/>
    <x v="9"/>
    <x v="320"/>
    <x v="0"/>
    <x v="124"/>
    <x v="6"/>
    <x v="254"/>
    <x v="404"/>
    <x v="208"/>
    <x v="501"/>
    <x v="5"/>
    <x v="37"/>
    <x v="319"/>
    <x v="0"/>
    <x v="6"/>
    <x v="1"/>
    <x v="10"/>
    <x v="2"/>
    <x v="0"/>
  </r>
  <r>
    <x v="871"/>
    <x v="11"/>
    <x v="266"/>
    <x v="5"/>
    <x v="6"/>
    <x v="4"/>
    <x v="0"/>
    <x v="172"/>
    <x v="9"/>
    <x v="232"/>
    <x v="0"/>
    <x v="78"/>
    <x v="7"/>
    <x v="229"/>
    <x v="450"/>
    <x v="803"/>
    <x v="204"/>
    <x v="6"/>
    <x v="35"/>
    <x v="318"/>
    <x v="0"/>
    <x v="7"/>
    <x v="1"/>
    <x v="10"/>
    <x v="2"/>
    <x v="0"/>
  </r>
  <r>
    <x v="769"/>
    <x v="7"/>
    <x v="532"/>
    <x v="7"/>
    <x v="6"/>
    <x v="4"/>
    <x v="0"/>
    <x v="256"/>
    <x v="9"/>
    <x v="322"/>
    <x v="0"/>
    <x v="76"/>
    <x v="7"/>
    <x v="138"/>
    <x v="867"/>
    <x v="686"/>
    <x v="164"/>
    <x v="6"/>
    <x v="56"/>
    <x v="317"/>
    <x v="0"/>
    <x v="7"/>
    <x v="1"/>
    <x v="10"/>
    <x v="1"/>
    <x v="0"/>
  </r>
  <r>
    <x v="779"/>
    <x v="7"/>
    <x v="793"/>
    <x v="4"/>
    <x v="4"/>
    <x v="4"/>
    <x v="0"/>
    <x v="123"/>
    <x v="9"/>
    <x v="298"/>
    <x v="0"/>
    <x v="125"/>
    <x v="7"/>
    <x v="49"/>
    <x v="616"/>
    <x v="414"/>
    <x v="305"/>
    <x v="6"/>
    <x v="56"/>
    <x v="316"/>
    <x v="0"/>
    <x v="7"/>
    <x v="1"/>
    <x v="10"/>
    <x v="1"/>
    <x v="0"/>
  </r>
  <r>
    <x v="415"/>
    <x v="2"/>
    <x v="144"/>
    <x v="3"/>
    <x v="5"/>
    <x v="4"/>
    <x v="0"/>
    <x v="33"/>
    <x v="9"/>
    <x v="161"/>
    <x v="0"/>
    <x v="98"/>
    <x v="7"/>
    <x v="79"/>
    <x v="559"/>
    <x v="444"/>
    <x v="431"/>
    <x v="6"/>
    <x v="20"/>
    <x v="315"/>
    <x v="0"/>
    <x v="7"/>
    <x v="1"/>
    <x v="10"/>
    <x v="0"/>
    <x v="0"/>
  </r>
  <r>
    <x v="239"/>
    <x v="1"/>
    <x v="47"/>
    <x v="6"/>
    <x v="4"/>
    <x v="4"/>
    <x v="0"/>
    <x v="57"/>
    <x v="9"/>
    <x v="196"/>
    <x v="0"/>
    <x v="88"/>
    <x v="7"/>
    <x v="107"/>
    <x v="639"/>
    <x v="169"/>
    <x v="401"/>
    <x v="6"/>
    <x v="56"/>
    <x v="314"/>
    <x v="0"/>
    <x v="7"/>
    <x v="1"/>
    <x v="10"/>
    <x v="0"/>
    <x v="0"/>
  </r>
  <r>
    <x v="749"/>
    <x v="7"/>
    <x v="481"/>
    <x v="5"/>
    <x v="3"/>
    <x v="4"/>
    <x v="0"/>
    <x v="292"/>
    <x v="9"/>
    <x v="178"/>
    <x v="0"/>
    <x v="155"/>
    <x v="7"/>
    <x v="49"/>
    <x v="898"/>
    <x v="98"/>
    <x v="61"/>
    <x v="6"/>
    <x v="56"/>
    <x v="313"/>
    <x v="0"/>
    <x v="7"/>
    <x v="1"/>
    <x v="10"/>
    <x v="1"/>
    <x v="0"/>
  </r>
  <r>
    <x v="917"/>
    <x v="13"/>
    <x v="418"/>
    <x v="8"/>
    <x v="6"/>
    <x v="4"/>
    <x v="0"/>
    <x v="235"/>
    <x v="9"/>
    <x v="328"/>
    <x v="0"/>
    <x v="48"/>
    <x v="6"/>
    <x v="255"/>
    <x v="163"/>
    <x v="290"/>
    <x v="160"/>
    <x v="5"/>
    <x v="9"/>
    <x v="312"/>
    <x v="0"/>
    <x v="6"/>
    <x v="1"/>
    <x v="10"/>
    <x v="2"/>
    <x v="0"/>
  </r>
  <r>
    <x v="595"/>
    <x v="4"/>
    <x v="629"/>
    <x v="5"/>
    <x v="6"/>
    <x v="4"/>
    <x v="0"/>
    <x v="75"/>
    <x v="9"/>
    <x v="297"/>
    <x v="0"/>
    <x v="123"/>
    <x v="7"/>
    <x v="122"/>
    <x v="564"/>
    <x v="441"/>
    <x v="431"/>
    <x v="6"/>
    <x v="20"/>
    <x v="311"/>
    <x v="0"/>
    <x v="7"/>
    <x v="1"/>
    <x v="10"/>
    <x v="0"/>
    <x v="0"/>
  </r>
  <r>
    <x v="331"/>
    <x v="2"/>
    <x v="448"/>
    <x v="6"/>
    <x v="4"/>
    <x v="4"/>
    <x v="0"/>
    <x v="66"/>
    <x v="9"/>
    <x v="319"/>
    <x v="0"/>
    <x v="86"/>
    <x v="6"/>
    <x v="134"/>
    <x v="546"/>
    <x v="449"/>
    <x v="331"/>
    <x v="6"/>
    <x v="20"/>
    <x v="310"/>
    <x v="0"/>
    <x v="6"/>
    <x v="1"/>
    <x v="10"/>
    <x v="0"/>
    <x v="0"/>
  </r>
  <r>
    <x v="3"/>
    <x v="0"/>
    <x v="295"/>
    <x v="3"/>
    <x v="5"/>
    <x v="4"/>
    <x v="0"/>
    <x v="7"/>
    <x v="9"/>
    <x v="216"/>
    <x v="0"/>
    <x v="89"/>
    <x v="7"/>
    <x v="122"/>
    <x v="514"/>
    <x v="458"/>
    <x v="330"/>
    <x v="6"/>
    <x v="20"/>
    <x v="309"/>
    <x v="0"/>
    <x v="7"/>
    <x v="1"/>
    <x v="10"/>
    <x v="0"/>
    <x v="0"/>
  </r>
  <r>
    <x v="326"/>
    <x v="2"/>
    <x v="294"/>
    <x v="5"/>
    <x v="5"/>
    <x v="4"/>
    <x v="0"/>
    <x v="55"/>
    <x v="9"/>
    <x v="308"/>
    <x v="0"/>
    <x v="89"/>
    <x v="7"/>
    <x v="65"/>
    <x v="516"/>
    <x v="455"/>
    <x v="330"/>
    <x v="6"/>
    <x v="20"/>
    <x v="308"/>
    <x v="0"/>
    <x v="7"/>
    <x v="1"/>
    <x v="10"/>
    <x v="0"/>
    <x v="0"/>
  </r>
  <r>
    <x v="979"/>
    <x v="22"/>
    <x v="899"/>
    <x v="0"/>
    <x v="7"/>
    <x v="4"/>
    <x v="0"/>
    <x v="262"/>
    <x v="7"/>
    <x v="239"/>
    <x v="0"/>
    <x v="96"/>
    <x v="8"/>
    <x v="122"/>
    <x v="565"/>
    <x v="445"/>
    <x v="431"/>
    <x v="6"/>
    <x v="20"/>
    <x v="307"/>
    <x v="0"/>
    <x v="8"/>
    <x v="1"/>
    <x v="10"/>
    <x v="3"/>
    <x v="0"/>
  </r>
  <r>
    <x v="233"/>
    <x v="1"/>
    <x v="658"/>
    <x v="8"/>
    <x v="6"/>
    <x v="4"/>
    <x v="0"/>
    <x v="121"/>
    <x v="9"/>
    <x v="164"/>
    <x v="0"/>
    <x v="102"/>
    <x v="7"/>
    <x v="20"/>
    <x v="797"/>
    <x v="620"/>
    <x v="249"/>
    <x v="1"/>
    <x v="23"/>
    <x v="306"/>
    <x v="0"/>
    <x v="7"/>
    <x v="1"/>
    <x v="10"/>
    <x v="0"/>
    <x v="0"/>
  </r>
  <r>
    <x v="733"/>
    <x v="6"/>
    <x v="38"/>
    <x v="0"/>
    <x v="4"/>
    <x v="4"/>
    <x v="0"/>
    <x v="101"/>
    <x v="9"/>
    <x v="270"/>
    <x v="0"/>
    <x v="63"/>
    <x v="6"/>
    <x v="323"/>
    <x v="368"/>
    <x v="618"/>
    <x v="45"/>
    <x v="6"/>
    <x v="20"/>
    <x v="305"/>
    <x v="0"/>
    <x v="6"/>
    <x v="1"/>
    <x v="10"/>
    <x v="1"/>
    <x v="0"/>
  </r>
  <r>
    <x v="524"/>
    <x v="3"/>
    <x v="845"/>
    <x v="0"/>
    <x v="5"/>
    <x v="4"/>
    <x v="0"/>
    <x v="49"/>
    <x v="9"/>
    <x v="194"/>
    <x v="0"/>
    <x v="166"/>
    <x v="6"/>
    <x v="138"/>
    <x v="578"/>
    <x v="428"/>
    <x v="429"/>
    <x v="6"/>
    <x v="20"/>
    <x v="304"/>
    <x v="0"/>
    <x v="6"/>
    <x v="1"/>
    <x v="10"/>
    <x v="0"/>
    <x v="0"/>
  </r>
  <r>
    <x v="128"/>
    <x v="0"/>
    <x v="621"/>
    <x v="0"/>
    <x v="6"/>
    <x v="4"/>
    <x v="0"/>
    <x v="0"/>
    <x v="9"/>
    <x v="144"/>
    <x v="0"/>
    <x v="157"/>
    <x v="6"/>
    <x v="20"/>
    <x v="408"/>
    <x v="531"/>
    <x v="186"/>
    <x v="6"/>
    <x v="20"/>
    <x v="303"/>
    <x v="0"/>
    <x v="6"/>
    <x v="1"/>
    <x v="10"/>
    <x v="0"/>
    <x v="0"/>
  </r>
  <r>
    <x v="155"/>
    <x v="0"/>
    <x v="476"/>
    <x v="3"/>
    <x v="4"/>
    <x v="4"/>
    <x v="0"/>
    <x v="2"/>
    <x v="9"/>
    <x v="99"/>
    <x v="0"/>
    <x v="202"/>
    <x v="7"/>
    <x v="146"/>
    <x v="588"/>
    <x v="576"/>
    <x v="373"/>
    <x v="6"/>
    <x v="20"/>
    <x v="302"/>
    <x v="0"/>
    <x v="7"/>
    <x v="1"/>
    <x v="10"/>
    <x v="0"/>
    <x v="0"/>
  </r>
  <r>
    <x v="393"/>
    <x v="2"/>
    <x v="225"/>
    <x v="0"/>
    <x v="3"/>
    <x v="4"/>
    <x v="0"/>
    <x v="31"/>
    <x v="9"/>
    <x v="201"/>
    <x v="0"/>
    <x v="149"/>
    <x v="6"/>
    <x v="326"/>
    <x v="242"/>
    <x v="919"/>
    <x v="433"/>
    <x v="6"/>
    <x v="54"/>
    <x v="301"/>
    <x v="0"/>
    <x v="6"/>
    <x v="1"/>
    <x v="10"/>
    <x v="0"/>
    <x v="0"/>
  </r>
  <r>
    <x v="691"/>
    <x v="6"/>
    <x v="134"/>
    <x v="7"/>
    <x v="2"/>
    <x v="4"/>
    <x v="0"/>
    <x v="106"/>
    <x v="9"/>
    <x v="300"/>
    <x v="0"/>
    <x v="125"/>
    <x v="7"/>
    <x v="357"/>
    <x v="592"/>
    <x v="545"/>
    <x v="335"/>
    <x v="6"/>
    <x v="56"/>
    <x v="300"/>
    <x v="0"/>
    <x v="7"/>
    <x v="1"/>
    <x v="10"/>
    <x v="1"/>
    <x v="0"/>
  </r>
  <r>
    <x v="195"/>
    <x v="1"/>
    <x v="619"/>
    <x v="6"/>
    <x v="3"/>
    <x v="4"/>
    <x v="0"/>
    <x v="20"/>
    <x v="9"/>
    <x v="69"/>
    <x v="0"/>
    <x v="238"/>
    <x v="7"/>
    <x v="110"/>
    <x v="800"/>
    <x v="673"/>
    <x v="188"/>
    <x v="6"/>
    <x v="56"/>
    <x v="299"/>
    <x v="0"/>
    <x v="7"/>
    <x v="1"/>
    <x v="10"/>
    <x v="0"/>
    <x v="0"/>
  </r>
  <r>
    <x v="307"/>
    <x v="1"/>
    <x v="870"/>
    <x v="0"/>
    <x v="4"/>
    <x v="4"/>
    <x v="0"/>
    <x v="14"/>
    <x v="9"/>
    <x v="136"/>
    <x v="0"/>
    <x v="158"/>
    <x v="7"/>
    <x v="50"/>
    <x v="620"/>
    <x v="415"/>
    <x v="305"/>
    <x v="6"/>
    <x v="56"/>
    <x v="298"/>
    <x v="0"/>
    <x v="7"/>
    <x v="1"/>
    <x v="9"/>
    <x v="0"/>
    <x v="0"/>
  </r>
  <r>
    <x v="756"/>
    <x v="7"/>
    <x v="869"/>
    <x v="5"/>
    <x v="5"/>
    <x v="4"/>
    <x v="0"/>
    <x v="118"/>
    <x v="9"/>
    <x v="153"/>
    <x v="0"/>
    <x v="136"/>
    <x v="7"/>
    <x v="145"/>
    <x v="609"/>
    <x v="419"/>
    <x v="392"/>
    <x v="6"/>
    <x v="56"/>
    <x v="297"/>
    <x v="0"/>
    <x v="7"/>
    <x v="1"/>
    <x v="9"/>
    <x v="1"/>
    <x v="0"/>
  </r>
  <r>
    <x v="982"/>
    <x v="24"/>
    <x v="868"/>
    <x v="0"/>
    <x v="7"/>
    <x v="4"/>
    <x v="0"/>
    <x v="289"/>
    <x v="7"/>
    <x v="287"/>
    <x v="0"/>
    <x v="95"/>
    <x v="5"/>
    <x v="122"/>
    <x v="581"/>
    <x v="433"/>
    <x v="6"/>
    <x v="6"/>
    <x v="20"/>
    <x v="296"/>
    <x v="0"/>
    <x v="5"/>
    <x v="1"/>
    <x v="9"/>
    <x v="3"/>
    <x v="0"/>
  </r>
  <r>
    <x v="965"/>
    <x v="17"/>
    <x v="775"/>
    <x v="0"/>
    <x v="4"/>
    <x v="4"/>
    <x v="0"/>
    <x v="228"/>
    <x v="9"/>
    <x v="122"/>
    <x v="0"/>
    <x v="225"/>
    <x v="7"/>
    <x v="20"/>
    <x v="19"/>
    <x v="859"/>
    <x v="247"/>
    <x v="6"/>
    <x v="56"/>
    <x v="295"/>
    <x v="0"/>
    <x v="7"/>
    <x v="1"/>
    <x v="9"/>
    <x v="3"/>
    <x v="0"/>
  </r>
  <r>
    <x v="477"/>
    <x v="3"/>
    <x v="472"/>
    <x v="5"/>
    <x v="5"/>
    <x v="4"/>
    <x v="0"/>
    <x v="155"/>
    <x v="9"/>
    <x v="299"/>
    <x v="0"/>
    <x v="94"/>
    <x v="6"/>
    <x v="20"/>
    <x v="719"/>
    <x v="183"/>
    <x v="131"/>
    <x v="6"/>
    <x v="56"/>
    <x v="294"/>
    <x v="0"/>
    <x v="6"/>
    <x v="1"/>
    <x v="9"/>
    <x v="0"/>
    <x v="0"/>
  </r>
  <r>
    <x v="491"/>
    <x v="3"/>
    <x v="188"/>
    <x v="4"/>
    <x v="6"/>
    <x v="4"/>
    <x v="0"/>
    <x v="62"/>
    <x v="9"/>
    <x v="334"/>
    <x v="0"/>
    <x v="106"/>
    <x v="6"/>
    <x v="136"/>
    <x v="908"/>
    <x v="728"/>
    <x v="299"/>
    <x v="1"/>
    <x v="23"/>
    <x v="293"/>
    <x v="0"/>
    <x v="6"/>
    <x v="1"/>
    <x v="9"/>
    <x v="0"/>
    <x v="0"/>
  </r>
  <r>
    <x v="659"/>
    <x v="5"/>
    <x v="921"/>
    <x v="4"/>
    <x v="6"/>
    <x v="4"/>
    <x v="0"/>
    <x v="97"/>
    <x v="9"/>
    <x v="343"/>
    <x v="0"/>
    <x v="108"/>
    <x v="6"/>
    <x v="144"/>
    <x v="909"/>
    <x v="727"/>
    <x v="299"/>
    <x v="1"/>
    <x v="23"/>
    <x v="292"/>
    <x v="0"/>
    <x v="6"/>
    <x v="1"/>
    <x v="9"/>
    <x v="1"/>
    <x v="0"/>
  </r>
  <r>
    <x v="710"/>
    <x v="6"/>
    <x v="864"/>
    <x v="0"/>
    <x v="6"/>
    <x v="4"/>
    <x v="0"/>
    <x v="101"/>
    <x v="9"/>
    <x v="191"/>
    <x v="0"/>
    <x v="142"/>
    <x v="7"/>
    <x v="20"/>
    <x v="479"/>
    <x v="643"/>
    <x v="286"/>
    <x v="6"/>
    <x v="20"/>
    <x v="291"/>
    <x v="0"/>
    <x v="7"/>
    <x v="1"/>
    <x v="9"/>
    <x v="1"/>
    <x v="0"/>
  </r>
  <r>
    <x v="706"/>
    <x v="6"/>
    <x v="743"/>
    <x v="5"/>
    <x v="4"/>
    <x v="4"/>
    <x v="0"/>
    <x v="106"/>
    <x v="9"/>
    <x v="278"/>
    <x v="0"/>
    <x v="34"/>
    <x v="7"/>
    <x v="20"/>
    <x v="20"/>
    <x v="877"/>
    <x v="386"/>
    <x v="6"/>
    <x v="56"/>
    <x v="290"/>
    <x v="0"/>
    <x v="7"/>
    <x v="1"/>
    <x v="9"/>
    <x v="1"/>
    <x v="0"/>
  </r>
  <r>
    <x v="758"/>
    <x v="7"/>
    <x v="497"/>
    <x v="8"/>
    <x v="7"/>
    <x v="4"/>
    <x v="0"/>
    <x v="129"/>
    <x v="9"/>
    <x v="327"/>
    <x v="0"/>
    <x v="210"/>
    <x v="6"/>
    <x v="44"/>
    <x v="587"/>
    <x v="198"/>
    <x v="352"/>
    <x v="6"/>
    <x v="10"/>
    <x v="289"/>
    <x v="0"/>
    <x v="6"/>
    <x v="1"/>
    <x v="9"/>
    <x v="1"/>
    <x v="0"/>
  </r>
  <r>
    <x v="860"/>
    <x v="10"/>
    <x v="360"/>
    <x v="5"/>
    <x v="6"/>
    <x v="4"/>
    <x v="0"/>
    <x v="160"/>
    <x v="9"/>
    <x v="105"/>
    <x v="0"/>
    <x v="166"/>
    <x v="7"/>
    <x v="20"/>
    <x v="325"/>
    <x v="554"/>
    <x v="261"/>
    <x v="6"/>
    <x v="20"/>
    <x v="288"/>
    <x v="0"/>
    <x v="7"/>
    <x v="1"/>
    <x v="9"/>
    <x v="2"/>
    <x v="0"/>
  </r>
  <r>
    <x v="410"/>
    <x v="2"/>
    <x v="359"/>
    <x v="0"/>
    <x v="5"/>
    <x v="4"/>
    <x v="0"/>
    <x v="31"/>
    <x v="9"/>
    <x v="72"/>
    <x v="0"/>
    <x v="92"/>
    <x v="6"/>
    <x v="20"/>
    <x v="270"/>
    <x v="869"/>
    <x v="199"/>
    <x v="6"/>
    <x v="56"/>
    <x v="287"/>
    <x v="0"/>
    <x v="6"/>
    <x v="1"/>
    <x v="9"/>
    <x v="0"/>
    <x v="0"/>
  </r>
  <r>
    <x v="354"/>
    <x v="2"/>
    <x v="58"/>
    <x v="7"/>
    <x v="3"/>
    <x v="4"/>
    <x v="0"/>
    <x v="41"/>
    <x v="9"/>
    <x v="202"/>
    <x v="0"/>
    <x v="177"/>
    <x v="6"/>
    <x v="20"/>
    <x v="923"/>
    <x v="95"/>
    <x v="358"/>
    <x v="6"/>
    <x v="56"/>
    <x v="286"/>
    <x v="0"/>
    <x v="6"/>
    <x v="1"/>
    <x v="9"/>
    <x v="0"/>
    <x v="0"/>
  </r>
  <r>
    <x v="286"/>
    <x v="1"/>
    <x v="771"/>
    <x v="0"/>
    <x v="7"/>
    <x v="4"/>
    <x v="0"/>
    <x v="14"/>
    <x v="9"/>
    <x v="338"/>
    <x v="0"/>
    <x v="175"/>
    <x v="7"/>
    <x v="49"/>
    <x v="842"/>
    <x v="658"/>
    <x v="322"/>
    <x v="1"/>
    <x v="23"/>
    <x v="285"/>
    <x v="0"/>
    <x v="7"/>
    <x v="1"/>
    <x v="9"/>
    <x v="0"/>
    <x v="0"/>
  </r>
  <r>
    <x v="375"/>
    <x v="2"/>
    <x v="492"/>
    <x v="5"/>
    <x v="5"/>
    <x v="4"/>
    <x v="0"/>
    <x v="43"/>
    <x v="9"/>
    <x v="322"/>
    <x v="0"/>
    <x v="113"/>
    <x v="6"/>
    <x v="234"/>
    <x v="745"/>
    <x v="539"/>
    <x v="499"/>
    <x v="6"/>
    <x v="56"/>
    <x v="284"/>
    <x v="0"/>
    <x v="6"/>
    <x v="1"/>
    <x v="9"/>
    <x v="0"/>
    <x v="0"/>
  </r>
  <r>
    <x v="656"/>
    <x v="5"/>
    <x v="270"/>
    <x v="0"/>
    <x v="5"/>
    <x v="4"/>
    <x v="0"/>
    <x v="84"/>
    <x v="9"/>
    <x v="192"/>
    <x v="0"/>
    <x v="160"/>
    <x v="7"/>
    <x v="136"/>
    <x v="640"/>
    <x v="167"/>
    <x v="256"/>
    <x v="6"/>
    <x v="56"/>
    <x v="283"/>
    <x v="0"/>
    <x v="7"/>
    <x v="1"/>
    <x v="9"/>
    <x v="1"/>
    <x v="0"/>
  </r>
  <r>
    <x v="136"/>
    <x v="0"/>
    <x v="239"/>
    <x v="5"/>
    <x v="4"/>
    <x v="4"/>
    <x v="0"/>
    <x v="11"/>
    <x v="9"/>
    <x v="247"/>
    <x v="0"/>
    <x v="65"/>
    <x v="6"/>
    <x v="240"/>
    <x v="670"/>
    <x v="517"/>
    <x v="450"/>
    <x v="6"/>
    <x v="38"/>
    <x v="282"/>
    <x v="0"/>
    <x v="6"/>
    <x v="1"/>
    <x v="9"/>
    <x v="0"/>
    <x v="0"/>
  </r>
  <r>
    <x v="495"/>
    <x v="3"/>
    <x v="238"/>
    <x v="0"/>
    <x v="5"/>
    <x v="4"/>
    <x v="0"/>
    <x v="49"/>
    <x v="9"/>
    <x v="257"/>
    <x v="0"/>
    <x v="44"/>
    <x v="6"/>
    <x v="138"/>
    <x v="277"/>
    <x v="868"/>
    <x v="199"/>
    <x v="6"/>
    <x v="42"/>
    <x v="281"/>
    <x v="0"/>
    <x v="6"/>
    <x v="1"/>
    <x v="9"/>
    <x v="0"/>
    <x v="0"/>
  </r>
  <r>
    <x v="181"/>
    <x v="1"/>
    <x v="179"/>
    <x v="0"/>
    <x v="3"/>
    <x v="4"/>
    <x v="0"/>
    <x v="14"/>
    <x v="9"/>
    <x v="216"/>
    <x v="0"/>
    <x v="145"/>
    <x v="7"/>
    <x v="20"/>
    <x v="796"/>
    <x v="653"/>
    <x v="426"/>
    <x v="6"/>
    <x v="56"/>
    <x v="280"/>
    <x v="0"/>
    <x v="7"/>
    <x v="1"/>
    <x v="9"/>
    <x v="0"/>
    <x v="0"/>
  </r>
  <r>
    <x v="823"/>
    <x v="9"/>
    <x v="148"/>
    <x v="0"/>
    <x v="4"/>
    <x v="4"/>
    <x v="0"/>
    <x v="144"/>
    <x v="9"/>
    <x v="282"/>
    <x v="0"/>
    <x v="132"/>
    <x v="6"/>
    <x v="20"/>
    <x v="794"/>
    <x v="652"/>
    <x v="426"/>
    <x v="6"/>
    <x v="56"/>
    <x v="279"/>
    <x v="0"/>
    <x v="6"/>
    <x v="1"/>
    <x v="9"/>
    <x v="1"/>
    <x v="0"/>
  </r>
  <r>
    <x v="776"/>
    <x v="7"/>
    <x v="147"/>
    <x v="0"/>
    <x v="4"/>
    <x v="4"/>
    <x v="0"/>
    <x v="115"/>
    <x v="9"/>
    <x v="301"/>
    <x v="0"/>
    <x v="139"/>
    <x v="7"/>
    <x v="37"/>
    <x v="791"/>
    <x v="650"/>
    <x v="426"/>
    <x v="6"/>
    <x v="56"/>
    <x v="278"/>
    <x v="0"/>
    <x v="7"/>
    <x v="1"/>
    <x v="9"/>
    <x v="1"/>
    <x v="0"/>
  </r>
  <r>
    <x v="113"/>
    <x v="0"/>
    <x v="913"/>
    <x v="0"/>
    <x v="6"/>
    <x v="4"/>
    <x v="0"/>
    <x v="0"/>
    <x v="9"/>
    <x v="133"/>
    <x v="0"/>
    <x v="148"/>
    <x v="6"/>
    <x v="2"/>
    <x v="49"/>
    <x v="278"/>
    <x v="458"/>
    <x v="5"/>
    <x v="9"/>
    <x v="277"/>
    <x v="0"/>
    <x v="6"/>
    <x v="1"/>
    <x v="9"/>
    <x v="0"/>
    <x v="0"/>
  </r>
  <r>
    <x v="15"/>
    <x v="0"/>
    <x v="909"/>
    <x v="0"/>
    <x v="6"/>
    <x v="4"/>
    <x v="0"/>
    <x v="0"/>
    <x v="9"/>
    <x v="107"/>
    <x v="0"/>
    <x v="183"/>
    <x v="7"/>
    <x v="34"/>
    <x v="536"/>
    <x v="631"/>
    <x v="254"/>
    <x v="6"/>
    <x v="20"/>
    <x v="276"/>
    <x v="0"/>
    <x v="7"/>
    <x v="1"/>
    <x v="9"/>
    <x v="0"/>
    <x v="0"/>
  </r>
  <r>
    <x v="560"/>
    <x v="4"/>
    <x v="306"/>
    <x v="0"/>
    <x v="4"/>
    <x v="4"/>
    <x v="0"/>
    <x v="67"/>
    <x v="9"/>
    <x v="339"/>
    <x v="0"/>
    <x v="154"/>
    <x v="6"/>
    <x v="316"/>
    <x v="976"/>
    <x v="851"/>
    <x v="31"/>
    <x v="1"/>
    <x v="39"/>
    <x v="275"/>
    <x v="0"/>
    <x v="6"/>
    <x v="1"/>
    <x v="9"/>
    <x v="0"/>
    <x v="0"/>
  </r>
  <r>
    <x v="173"/>
    <x v="1"/>
    <x v="88"/>
    <x v="0"/>
    <x v="6"/>
    <x v="4"/>
    <x v="0"/>
    <x v="14"/>
    <x v="9"/>
    <x v="96"/>
    <x v="0"/>
    <x v="201"/>
    <x v="6"/>
    <x v="79"/>
    <x v="38"/>
    <x v="226"/>
    <x v="81"/>
    <x v="5"/>
    <x v="9"/>
    <x v="274"/>
    <x v="0"/>
    <x v="6"/>
    <x v="1"/>
    <x v="9"/>
    <x v="0"/>
    <x v="0"/>
  </r>
  <r>
    <x v="320"/>
    <x v="2"/>
    <x v="754"/>
    <x v="0"/>
    <x v="4"/>
    <x v="4"/>
    <x v="0"/>
    <x v="31"/>
    <x v="9"/>
    <x v="154"/>
    <x v="0"/>
    <x v="133"/>
    <x v="6"/>
    <x v="208"/>
    <x v="304"/>
    <x v="541"/>
    <x v="289"/>
    <x v="6"/>
    <x v="20"/>
    <x v="273"/>
    <x v="0"/>
    <x v="6"/>
    <x v="1"/>
    <x v="9"/>
    <x v="0"/>
    <x v="0"/>
  </r>
  <r>
    <x v="132"/>
    <x v="0"/>
    <x v="258"/>
    <x v="0"/>
    <x v="3"/>
    <x v="4"/>
    <x v="0"/>
    <x v="0"/>
    <x v="9"/>
    <x v="182"/>
    <x v="0"/>
    <x v="146"/>
    <x v="6"/>
    <x v="338"/>
    <x v="256"/>
    <x v="916"/>
    <x v="433"/>
    <x v="6"/>
    <x v="54"/>
    <x v="272"/>
    <x v="0"/>
    <x v="6"/>
    <x v="1"/>
    <x v="9"/>
    <x v="0"/>
    <x v="0"/>
  </r>
  <r>
    <x v="303"/>
    <x v="1"/>
    <x v="140"/>
    <x v="0"/>
    <x v="3"/>
    <x v="4"/>
    <x v="0"/>
    <x v="14"/>
    <x v="9"/>
    <x v="330"/>
    <x v="0"/>
    <x v="65"/>
    <x v="6"/>
    <x v="314"/>
    <x v="830"/>
    <x v="389"/>
    <x v="13"/>
    <x v="1"/>
    <x v="0"/>
    <x v="271"/>
    <x v="0"/>
    <x v="6"/>
    <x v="1"/>
    <x v="9"/>
    <x v="0"/>
    <x v="0"/>
  </r>
  <r>
    <x v="380"/>
    <x v="2"/>
    <x v="224"/>
    <x v="0"/>
    <x v="6"/>
    <x v="4"/>
    <x v="0"/>
    <x v="31"/>
    <x v="9"/>
    <x v="83"/>
    <x v="0"/>
    <x v="163"/>
    <x v="7"/>
    <x v="102"/>
    <x v="477"/>
    <x v="642"/>
    <x v="286"/>
    <x v="6"/>
    <x v="20"/>
    <x v="270"/>
    <x v="0"/>
    <x v="7"/>
    <x v="1"/>
    <x v="9"/>
    <x v="0"/>
    <x v="0"/>
  </r>
  <r>
    <x v="815"/>
    <x v="8"/>
    <x v="193"/>
    <x v="0"/>
    <x v="6"/>
    <x v="4"/>
    <x v="0"/>
    <x v="129"/>
    <x v="9"/>
    <x v="156"/>
    <x v="0"/>
    <x v="103"/>
    <x v="6"/>
    <x v="20"/>
    <x v="468"/>
    <x v="641"/>
    <x v="343"/>
    <x v="6"/>
    <x v="20"/>
    <x v="269"/>
    <x v="0"/>
    <x v="6"/>
    <x v="1"/>
    <x v="9"/>
    <x v="1"/>
    <x v="0"/>
  </r>
  <r>
    <x v="648"/>
    <x v="5"/>
    <x v="133"/>
    <x v="0"/>
    <x v="6"/>
    <x v="4"/>
    <x v="0"/>
    <x v="84"/>
    <x v="9"/>
    <x v="140"/>
    <x v="0"/>
    <x v="162"/>
    <x v="7"/>
    <x v="54"/>
    <x v="478"/>
    <x v="644"/>
    <x v="286"/>
    <x v="6"/>
    <x v="20"/>
    <x v="268"/>
    <x v="0"/>
    <x v="7"/>
    <x v="1"/>
    <x v="9"/>
    <x v="1"/>
    <x v="0"/>
  </r>
  <r>
    <x v="321"/>
    <x v="2"/>
    <x v="893"/>
    <x v="0"/>
    <x v="5"/>
    <x v="4"/>
    <x v="0"/>
    <x v="31"/>
    <x v="9"/>
    <x v="76"/>
    <x v="0"/>
    <x v="190"/>
    <x v="6"/>
    <x v="57"/>
    <x v="489"/>
    <x v="596"/>
    <x v="22"/>
    <x v="6"/>
    <x v="20"/>
    <x v="267"/>
    <x v="0"/>
    <x v="6"/>
    <x v="1"/>
    <x v="9"/>
    <x v="0"/>
    <x v="0"/>
  </r>
  <r>
    <x v="798"/>
    <x v="8"/>
    <x v="888"/>
    <x v="0"/>
    <x v="3"/>
    <x v="4"/>
    <x v="0"/>
    <x v="129"/>
    <x v="9"/>
    <x v="74"/>
    <x v="0"/>
    <x v="200"/>
    <x v="7"/>
    <x v="20"/>
    <x v="132"/>
    <x v="956"/>
    <x v="448"/>
    <x v="6"/>
    <x v="56"/>
    <x v="266"/>
    <x v="0"/>
    <x v="7"/>
    <x v="1"/>
    <x v="8"/>
    <x v="1"/>
    <x v="0"/>
  </r>
  <r>
    <x v="184"/>
    <x v="1"/>
    <x v="867"/>
    <x v="0"/>
    <x v="8"/>
    <x v="4"/>
    <x v="0"/>
    <x v="14"/>
    <x v="9"/>
    <x v="261"/>
    <x v="0"/>
    <x v="194"/>
    <x v="7"/>
    <x v="20"/>
    <x v="773"/>
    <x v="373"/>
    <x v="43"/>
    <x v="1"/>
    <x v="21"/>
    <x v="265"/>
    <x v="0"/>
    <x v="7"/>
    <x v="1"/>
    <x v="8"/>
    <x v="0"/>
    <x v="0"/>
  </r>
  <r>
    <x v="64"/>
    <x v="0"/>
    <x v="841"/>
    <x v="0"/>
    <x v="5"/>
    <x v="4"/>
    <x v="0"/>
    <x v="0"/>
    <x v="9"/>
    <x v="167"/>
    <x v="0"/>
    <x v="206"/>
    <x v="6"/>
    <x v="130"/>
    <x v="619"/>
    <x v="177"/>
    <x v="366"/>
    <x v="6"/>
    <x v="34"/>
    <x v="264"/>
    <x v="0"/>
    <x v="6"/>
    <x v="1"/>
    <x v="8"/>
    <x v="0"/>
    <x v="0"/>
  </r>
  <r>
    <x v="0"/>
    <x v="0"/>
    <x v="748"/>
    <x v="7"/>
    <x v="8"/>
    <x v="4"/>
    <x v="0"/>
    <x v="300"/>
    <x v="5"/>
    <x v="12"/>
    <x v="2"/>
    <x v="234"/>
    <x v="5"/>
    <x v="12"/>
    <x v="815"/>
    <x v="102"/>
    <x v="407"/>
    <x v="3"/>
    <x v="53"/>
    <x v="263"/>
    <x v="0"/>
    <x v="5"/>
    <x v="1"/>
    <x v="8"/>
    <x v="0"/>
    <x v="0"/>
  </r>
  <r>
    <x v="517"/>
    <x v="3"/>
    <x v="320"/>
    <x v="0"/>
    <x v="6"/>
    <x v="4"/>
    <x v="0"/>
    <x v="49"/>
    <x v="9"/>
    <x v="197"/>
    <x v="0"/>
    <x v="134"/>
    <x v="6"/>
    <x v="20"/>
    <x v="735"/>
    <x v="526"/>
    <x v="500"/>
    <x v="1"/>
    <x v="44"/>
    <x v="262"/>
    <x v="0"/>
    <x v="6"/>
    <x v="1"/>
    <x v="8"/>
    <x v="0"/>
    <x v="0"/>
  </r>
  <r>
    <x v="292"/>
    <x v="1"/>
    <x v="836"/>
    <x v="0"/>
    <x v="5"/>
    <x v="4"/>
    <x v="0"/>
    <x v="14"/>
    <x v="9"/>
    <x v="152"/>
    <x v="0"/>
    <x v="116"/>
    <x v="6"/>
    <x v="136"/>
    <x v="407"/>
    <x v="763"/>
    <x v="197"/>
    <x v="6"/>
    <x v="35"/>
    <x v="261"/>
    <x v="0"/>
    <x v="6"/>
    <x v="1"/>
    <x v="8"/>
    <x v="0"/>
    <x v="0"/>
  </r>
  <r>
    <x v="80"/>
    <x v="0"/>
    <x v="613"/>
    <x v="0"/>
    <x v="5"/>
    <x v="4"/>
    <x v="0"/>
    <x v="0"/>
    <x v="9"/>
    <x v="223"/>
    <x v="0"/>
    <x v="196"/>
    <x v="6"/>
    <x v="136"/>
    <x v="648"/>
    <x v="565"/>
    <x v="80"/>
    <x v="6"/>
    <x v="38"/>
    <x v="260"/>
    <x v="0"/>
    <x v="6"/>
    <x v="1"/>
    <x v="8"/>
    <x v="0"/>
    <x v="0"/>
  </r>
  <r>
    <x v="262"/>
    <x v="1"/>
    <x v="184"/>
    <x v="0"/>
    <x v="4"/>
    <x v="4"/>
    <x v="0"/>
    <x v="14"/>
    <x v="9"/>
    <x v="214"/>
    <x v="0"/>
    <x v="124"/>
    <x v="6"/>
    <x v="252"/>
    <x v="176"/>
    <x v="948"/>
    <x v="161"/>
    <x v="6"/>
    <x v="56"/>
    <x v="259"/>
    <x v="0"/>
    <x v="6"/>
    <x v="1"/>
    <x v="8"/>
    <x v="0"/>
    <x v="0"/>
  </r>
  <r>
    <x v="627"/>
    <x v="5"/>
    <x v="986"/>
    <x v="0"/>
    <x v="4"/>
    <x v="4"/>
    <x v="0"/>
    <x v="84"/>
    <x v="9"/>
    <x v="269"/>
    <x v="0"/>
    <x v="228"/>
    <x v="6"/>
    <x v="20"/>
    <x v="856"/>
    <x v="699"/>
    <x v="164"/>
    <x v="6"/>
    <x v="56"/>
    <x v="258"/>
    <x v="0"/>
    <x v="6"/>
    <x v="1"/>
    <x v="8"/>
    <x v="1"/>
    <x v="0"/>
  </r>
  <r>
    <x v="382"/>
    <x v="2"/>
    <x v="237"/>
    <x v="0"/>
    <x v="5"/>
    <x v="4"/>
    <x v="0"/>
    <x v="31"/>
    <x v="9"/>
    <x v="264"/>
    <x v="0"/>
    <x v="219"/>
    <x v="7"/>
    <x v="127"/>
    <x v="904"/>
    <x v="719"/>
    <x v="213"/>
    <x v="1"/>
    <x v="56"/>
    <x v="257"/>
    <x v="0"/>
    <x v="7"/>
    <x v="1"/>
    <x v="8"/>
    <x v="0"/>
    <x v="0"/>
  </r>
  <r>
    <x v="413"/>
    <x v="2"/>
    <x v="27"/>
    <x v="0"/>
    <x v="6"/>
    <x v="4"/>
    <x v="0"/>
    <x v="31"/>
    <x v="9"/>
    <x v="301"/>
    <x v="0"/>
    <x v="112"/>
    <x v="6"/>
    <x v="20"/>
    <x v="930"/>
    <x v="408"/>
    <x v="17"/>
    <x v="1"/>
    <x v="39"/>
    <x v="256"/>
    <x v="0"/>
    <x v="6"/>
    <x v="1"/>
    <x v="8"/>
    <x v="0"/>
    <x v="0"/>
  </r>
  <r>
    <x v="105"/>
    <x v="0"/>
    <x v="939"/>
    <x v="0"/>
    <x v="4"/>
    <x v="4"/>
    <x v="0"/>
    <x v="0"/>
    <x v="9"/>
    <x v="279"/>
    <x v="0"/>
    <x v="235"/>
    <x v="7"/>
    <x v="98"/>
    <x v="903"/>
    <x v="717"/>
    <x v="213"/>
    <x v="6"/>
    <x v="56"/>
    <x v="255"/>
    <x v="0"/>
    <x v="7"/>
    <x v="1"/>
    <x v="8"/>
    <x v="0"/>
    <x v="0"/>
  </r>
  <r>
    <x v="802"/>
    <x v="8"/>
    <x v="885"/>
    <x v="0"/>
    <x v="6"/>
    <x v="4"/>
    <x v="0"/>
    <x v="129"/>
    <x v="9"/>
    <x v="311"/>
    <x v="0"/>
    <x v="112"/>
    <x v="6"/>
    <x v="49"/>
    <x v="929"/>
    <x v="409"/>
    <x v="17"/>
    <x v="1"/>
    <x v="39"/>
    <x v="254"/>
    <x v="0"/>
    <x v="6"/>
    <x v="1"/>
    <x v="8"/>
    <x v="1"/>
    <x v="0"/>
  </r>
  <r>
    <x v="824"/>
    <x v="9"/>
    <x v="826"/>
    <x v="0"/>
    <x v="6"/>
    <x v="4"/>
    <x v="0"/>
    <x v="144"/>
    <x v="9"/>
    <x v="240"/>
    <x v="0"/>
    <x v="239"/>
    <x v="7"/>
    <x v="130"/>
    <x v="899"/>
    <x v="711"/>
    <x v="427"/>
    <x v="1"/>
    <x v="56"/>
    <x v="253"/>
    <x v="0"/>
    <x v="7"/>
    <x v="1"/>
    <x v="8"/>
    <x v="1"/>
    <x v="0"/>
  </r>
  <r>
    <x v="967"/>
    <x v="18"/>
    <x v="825"/>
    <x v="0"/>
    <x v="8"/>
    <x v="4"/>
    <x v="0"/>
    <x v="238"/>
    <x v="7"/>
    <x v="0"/>
    <x v="0"/>
    <x v="0"/>
    <x v="8"/>
    <x v="107"/>
    <x v="900"/>
    <x v="714"/>
    <x v="213"/>
    <x v="6"/>
    <x v="56"/>
    <x v="252"/>
    <x v="0"/>
    <x v="8"/>
    <x v="1"/>
    <x v="8"/>
    <x v="3"/>
    <x v="0"/>
  </r>
  <r>
    <x v="193"/>
    <x v="1"/>
    <x v="707"/>
    <x v="0"/>
    <x v="6"/>
    <x v="4"/>
    <x v="0"/>
    <x v="14"/>
    <x v="9"/>
    <x v="243"/>
    <x v="0"/>
    <x v="113"/>
    <x v="6"/>
    <x v="20"/>
    <x v="724"/>
    <x v="429"/>
    <x v="455"/>
    <x v="1"/>
    <x v="29"/>
    <x v="251"/>
    <x v="0"/>
    <x v="6"/>
    <x v="1"/>
    <x v="8"/>
    <x v="0"/>
    <x v="0"/>
  </r>
  <r>
    <x v="767"/>
    <x v="7"/>
    <x v="703"/>
    <x v="0"/>
    <x v="6"/>
    <x v="4"/>
    <x v="0"/>
    <x v="115"/>
    <x v="9"/>
    <x v="185"/>
    <x v="0"/>
    <x v="58"/>
    <x v="7"/>
    <x v="111"/>
    <x v="22"/>
    <x v="913"/>
    <x v="456"/>
    <x v="6"/>
    <x v="31"/>
    <x v="250"/>
    <x v="0"/>
    <x v="7"/>
    <x v="1"/>
    <x v="8"/>
    <x v="1"/>
    <x v="0"/>
  </r>
  <r>
    <x v="894"/>
    <x v="11"/>
    <x v="119"/>
    <x v="0"/>
    <x v="5"/>
    <x v="4"/>
    <x v="0"/>
    <x v="171"/>
    <x v="9"/>
    <x v="113"/>
    <x v="0"/>
    <x v="117"/>
    <x v="7"/>
    <x v="20"/>
    <x v="2"/>
    <x v="313"/>
    <x v="420"/>
    <x v="6"/>
    <x v="52"/>
    <x v="249"/>
    <x v="0"/>
    <x v="7"/>
    <x v="1"/>
    <x v="8"/>
    <x v="2"/>
    <x v="0"/>
  </r>
  <r>
    <x v="83"/>
    <x v="0"/>
    <x v="486"/>
    <x v="0"/>
    <x v="5"/>
    <x v="4"/>
    <x v="0"/>
    <x v="0"/>
    <x v="9"/>
    <x v="54"/>
    <x v="0"/>
    <x v="155"/>
    <x v="6"/>
    <x v="130"/>
    <x v="473"/>
    <x v="782"/>
    <x v="382"/>
    <x v="6"/>
    <x v="35"/>
    <x v="248"/>
    <x v="0"/>
    <x v="6"/>
    <x v="1"/>
    <x v="8"/>
    <x v="0"/>
    <x v="0"/>
  </r>
  <r>
    <x v="483"/>
    <x v="3"/>
    <x v="666"/>
    <x v="0"/>
    <x v="6"/>
    <x v="4"/>
    <x v="0"/>
    <x v="49"/>
    <x v="9"/>
    <x v="161"/>
    <x v="0"/>
    <x v="184"/>
    <x v="7"/>
    <x v="130"/>
    <x v="70"/>
    <x v="251"/>
    <x v="326"/>
    <x v="5"/>
    <x v="9"/>
    <x v="247"/>
    <x v="0"/>
    <x v="7"/>
    <x v="1"/>
    <x v="8"/>
    <x v="0"/>
    <x v="0"/>
  </r>
  <r>
    <x v="563"/>
    <x v="4"/>
    <x v="519"/>
    <x v="0"/>
    <x v="4"/>
    <x v="4"/>
    <x v="0"/>
    <x v="67"/>
    <x v="9"/>
    <x v="331"/>
    <x v="0"/>
    <x v="128"/>
    <x v="6"/>
    <x v="305"/>
    <x v="975"/>
    <x v="850"/>
    <x v="31"/>
    <x v="1"/>
    <x v="39"/>
    <x v="246"/>
    <x v="0"/>
    <x v="6"/>
    <x v="1"/>
    <x v="8"/>
    <x v="0"/>
    <x v="0"/>
  </r>
  <r>
    <x v="294"/>
    <x v="1"/>
    <x v="203"/>
    <x v="0"/>
    <x v="5"/>
    <x v="4"/>
    <x v="0"/>
    <x v="14"/>
    <x v="9"/>
    <x v="177"/>
    <x v="0"/>
    <x v="135"/>
    <x v="7"/>
    <x v="130"/>
    <x v="429"/>
    <x v="784"/>
    <x v="204"/>
    <x v="6"/>
    <x v="35"/>
    <x v="245"/>
    <x v="0"/>
    <x v="7"/>
    <x v="1"/>
    <x v="8"/>
    <x v="0"/>
    <x v="0"/>
  </r>
  <r>
    <x v="622"/>
    <x v="5"/>
    <x v="852"/>
    <x v="0"/>
    <x v="5"/>
    <x v="4"/>
    <x v="0"/>
    <x v="84"/>
    <x v="9"/>
    <x v="212"/>
    <x v="0"/>
    <x v="150"/>
    <x v="7"/>
    <x v="124"/>
    <x v="571"/>
    <x v="608"/>
    <x v="470"/>
    <x v="6"/>
    <x v="20"/>
    <x v="244"/>
    <x v="0"/>
    <x v="7"/>
    <x v="1"/>
    <x v="8"/>
    <x v="1"/>
    <x v="0"/>
  </r>
  <r>
    <x v="646"/>
    <x v="5"/>
    <x v="851"/>
    <x v="0"/>
    <x v="6"/>
    <x v="4"/>
    <x v="0"/>
    <x v="84"/>
    <x v="9"/>
    <x v="316"/>
    <x v="0"/>
    <x v="72"/>
    <x v="6"/>
    <x v="212"/>
    <x v="876"/>
    <x v="676"/>
    <x v="2"/>
    <x v="1"/>
    <x v="23"/>
    <x v="243"/>
    <x v="0"/>
    <x v="6"/>
    <x v="1"/>
    <x v="8"/>
    <x v="1"/>
    <x v="0"/>
  </r>
  <r>
    <x v="465"/>
    <x v="3"/>
    <x v="696"/>
    <x v="0"/>
    <x v="8"/>
    <x v="4"/>
    <x v="0"/>
    <x v="49"/>
    <x v="9"/>
    <x v="252"/>
    <x v="0"/>
    <x v="75"/>
    <x v="7"/>
    <x v="26"/>
    <x v="836"/>
    <x v="333"/>
    <x v="109"/>
    <x v="6"/>
    <x v="1"/>
    <x v="242"/>
    <x v="0"/>
    <x v="7"/>
    <x v="1"/>
    <x v="8"/>
    <x v="0"/>
    <x v="0"/>
  </r>
  <r>
    <x v="90"/>
    <x v="0"/>
    <x v="814"/>
    <x v="0"/>
    <x v="6"/>
    <x v="4"/>
    <x v="0"/>
    <x v="0"/>
    <x v="9"/>
    <x v="77"/>
    <x v="0"/>
    <x v="141"/>
    <x v="7"/>
    <x v="130"/>
    <x v="319"/>
    <x v="520"/>
    <x v="390"/>
    <x v="6"/>
    <x v="20"/>
    <x v="241"/>
    <x v="0"/>
    <x v="7"/>
    <x v="1"/>
    <x v="8"/>
    <x v="0"/>
    <x v="0"/>
  </r>
  <r>
    <x v="436"/>
    <x v="3"/>
    <x v="332"/>
    <x v="0"/>
    <x v="6"/>
    <x v="4"/>
    <x v="0"/>
    <x v="49"/>
    <x v="9"/>
    <x v="188"/>
    <x v="0"/>
    <x v="181"/>
    <x v="7"/>
    <x v="148"/>
    <x v="444"/>
    <x v="799"/>
    <x v="204"/>
    <x v="6"/>
    <x v="35"/>
    <x v="240"/>
    <x v="0"/>
    <x v="7"/>
    <x v="1"/>
    <x v="8"/>
    <x v="0"/>
    <x v="0"/>
  </r>
  <r>
    <x v="873"/>
    <x v="11"/>
    <x v="716"/>
    <x v="0"/>
    <x v="6"/>
    <x v="4"/>
    <x v="0"/>
    <x v="171"/>
    <x v="9"/>
    <x v="260"/>
    <x v="0"/>
    <x v="0"/>
    <x v="6"/>
    <x v="94"/>
    <x v="717"/>
    <x v="117"/>
    <x v="107"/>
    <x v="3"/>
    <x v="26"/>
    <x v="239"/>
    <x v="0"/>
    <x v="6"/>
    <x v="1"/>
    <x v="8"/>
    <x v="2"/>
    <x v="0"/>
  </r>
  <r>
    <x v="74"/>
    <x v="0"/>
    <x v="683"/>
    <x v="0"/>
    <x v="5"/>
    <x v="4"/>
    <x v="0"/>
    <x v="0"/>
    <x v="9"/>
    <x v="114"/>
    <x v="0"/>
    <x v="0"/>
    <x v="7"/>
    <x v="94"/>
    <x v="662"/>
    <x v="151"/>
    <x v="370"/>
    <x v="6"/>
    <x v="56"/>
    <x v="238"/>
    <x v="0"/>
    <x v="7"/>
    <x v="1"/>
    <x v="8"/>
    <x v="0"/>
    <x v="0"/>
  </r>
  <r>
    <x v="790"/>
    <x v="8"/>
    <x v="652"/>
    <x v="0"/>
    <x v="5"/>
    <x v="4"/>
    <x v="0"/>
    <x v="129"/>
    <x v="9"/>
    <x v="201"/>
    <x v="0"/>
    <x v="0"/>
    <x v="7"/>
    <x v="130"/>
    <x v="293"/>
    <x v="852"/>
    <x v="199"/>
    <x v="6"/>
    <x v="56"/>
    <x v="237"/>
    <x v="0"/>
    <x v="7"/>
    <x v="1"/>
    <x v="8"/>
    <x v="1"/>
    <x v="0"/>
  </r>
  <r>
    <x v="358"/>
    <x v="2"/>
    <x v="285"/>
    <x v="0"/>
    <x v="4"/>
    <x v="4"/>
    <x v="0"/>
    <x v="31"/>
    <x v="9"/>
    <x v="118"/>
    <x v="0"/>
    <x v="0"/>
    <x v="6"/>
    <x v="216"/>
    <x v="420"/>
    <x v="806"/>
    <x v="204"/>
    <x v="6"/>
    <x v="56"/>
    <x v="236"/>
    <x v="0"/>
    <x v="6"/>
    <x v="1"/>
    <x v="8"/>
    <x v="0"/>
    <x v="0"/>
  </r>
  <r>
    <x v="424"/>
    <x v="2"/>
    <x v="399"/>
    <x v="0"/>
    <x v="5"/>
    <x v="4"/>
    <x v="0"/>
    <x v="31"/>
    <x v="9"/>
    <x v="198"/>
    <x v="0"/>
    <x v="0"/>
    <x v="6"/>
    <x v="134"/>
    <x v="439"/>
    <x v="802"/>
    <x v="304"/>
    <x v="6"/>
    <x v="35"/>
    <x v="235"/>
    <x v="0"/>
    <x v="6"/>
    <x v="1"/>
    <x v="7"/>
    <x v="0"/>
    <x v="0"/>
  </r>
  <r>
    <x v="947"/>
    <x v="14"/>
    <x v="99"/>
    <x v="8"/>
    <x v="8"/>
    <x v="4"/>
    <x v="0"/>
    <x v="334"/>
    <x v="0"/>
    <x v="0"/>
    <x v="0"/>
    <x v="0"/>
    <x v="5"/>
    <x v="1"/>
    <x v="990"/>
    <x v="89"/>
    <x v="82"/>
    <x v="3"/>
    <x v="53"/>
    <x v="234"/>
    <x v="0"/>
    <x v="5"/>
    <x v="1"/>
    <x v="7"/>
    <x v="2"/>
    <x v="0"/>
  </r>
  <r>
    <x v="832"/>
    <x v="9"/>
    <x v="57"/>
    <x v="0"/>
    <x v="6"/>
    <x v="4"/>
    <x v="0"/>
    <x v="144"/>
    <x v="9"/>
    <x v="176"/>
    <x v="0"/>
    <x v="0"/>
    <x v="6"/>
    <x v="122"/>
    <x v="576"/>
    <x v="436"/>
    <x v="429"/>
    <x v="6"/>
    <x v="20"/>
    <x v="233"/>
    <x v="0"/>
    <x v="6"/>
    <x v="1"/>
    <x v="7"/>
    <x v="1"/>
    <x v="0"/>
  </r>
  <r>
    <x v="265"/>
    <x v="1"/>
    <x v="770"/>
    <x v="0"/>
    <x v="6"/>
    <x v="4"/>
    <x v="0"/>
    <x v="14"/>
    <x v="0"/>
    <x v="0"/>
    <x v="0"/>
    <x v="0"/>
    <x v="5"/>
    <x v="1"/>
    <x v="991"/>
    <x v="88"/>
    <x v="82"/>
    <x v="3"/>
    <x v="53"/>
    <x v="232"/>
    <x v="0"/>
    <x v="5"/>
    <x v="1"/>
    <x v="7"/>
    <x v="0"/>
    <x v="0"/>
  </r>
  <r>
    <x v="405"/>
    <x v="2"/>
    <x v="316"/>
    <x v="0"/>
    <x v="6"/>
    <x v="4"/>
    <x v="0"/>
    <x v="31"/>
    <x v="9"/>
    <x v="78"/>
    <x v="0"/>
    <x v="0"/>
    <x v="4"/>
    <x v="20"/>
    <x v="518"/>
    <x v="636"/>
    <x v="254"/>
    <x v="6"/>
    <x v="20"/>
    <x v="231"/>
    <x v="0"/>
    <x v="4"/>
    <x v="1"/>
    <x v="7"/>
    <x v="0"/>
    <x v="0"/>
  </r>
  <r>
    <x v="869"/>
    <x v="11"/>
    <x v="315"/>
    <x v="0"/>
    <x v="6"/>
    <x v="4"/>
    <x v="0"/>
    <x v="171"/>
    <x v="9"/>
    <x v="147"/>
    <x v="0"/>
    <x v="0"/>
    <x v="7"/>
    <x v="20"/>
    <x v="513"/>
    <x v="639"/>
    <x v="254"/>
    <x v="6"/>
    <x v="20"/>
    <x v="230"/>
    <x v="0"/>
    <x v="7"/>
    <x v="1"/>
    <x v="7"/>
    <x v="2"/>
    <x v="0"/>
  </r>
  <r>
    <x v="33"/>
    <x v="0"/>
    <x v="424"/>
    <x v="0"/>
    <x v="5"/>
    <x v="4"/>
    <x v="0"/>
    <x v="0"/>
    <x v="9"/>
    <x v="303"/>
    <x v="0"/>
    <x v="0"/>
    <x v="7"/>
    <x v="79"/>
    <x v="656"/>
    <x v="421"/>
    <x v="44"/>
    <x v="6"/>
    <x v="19"/>
    <x v="229"/>
    <x v="0"/>
    <x v="7"/>
    <x v="1"/>
    <x v="7"/>
    <x v="0"/>
    <x v="0"/>
  </r>
  <r>
    <x v="884"/>
    <x v="11"/>
    <x v="233"/>
    <x v="0"/>
    <x v="6"/>
    <x v="4"/>
    <x v="0"/>
    <x v="171"/>
    <x v="9"/>
    <x v="185"/>
    <x v="0"/>
    <x v="0"/>
    <x v="7"/>
    <x v="32"/>
    <x v="486"/>
    <x v="707"/>
    <x v="16"/>
    <x v="6"/>
    <x v="35"/>
    <x v="228"/>
    <x v="0"/>
    <x v="7"/>
    <x v="1"/>
    <x v="7"/>
    <x v="2"/>
    <x v="0"/>
  </r>
  <r>
    <x v="14"/>
    <x v="0"/>
    <x v="457"/>
    <x v="0"/>
    <x v="3"/>
    <x v="4"/>
    <x v="0"/>
    <x v="0"/>
    <x v="9"/>
    <x v="85"/>
    <x v="0"/>
    <x v="0"/>
    <x v="7"/>
    <x v="122"/>
    <x v="674"/>
    <x v="733"/>
    <x v="400"/>
    <x v="6"/>
    <x v="56"/>
    <x v="227"/>
    <x v="0"/>
    <x v="7"/>
    <x v="1"/>
    <x v="7"/>
    <x v="0"/>
    <x v="0"/>
  </r>
  <r>
    <x v="30"/>
    <x v="0"/>
    <x v="980"/>
    <x v="0"/>
    <x v="6"/>
    <x v="4"/>
    <x v="0"/>
    <x v="0"/>
    <x v="9"/>
    <x v="251"/>
    <x v="0"/>
    <x v="0"/>
    <x v="7"/>
    <x v="20"/>
    <x v="617"/>
    <x v="178"/>
    <x v="376"/>
    <x v="6"/>
    <x v="34"/>
    <x v="226"/>
    <x v="0"/>
    <x v="7"/>
    <x v="1"/>
    <x v="7"/>
    <x v="0"/>
    <x v="0"/>
  </r>
  <r>
    <x v="107"/>
    <x v="0"/>
    <x v="729"/>
    <x v="0"/>
    <x v="7"/>
    <x v="4"/>
    <x v="0"/>
    <x v="0"/>
    <x v="9"/>
    <x v="263"/>
    <x v="0"/>
    <x v="0"/>
    <x v="7"/>
    <x v="20"/>
    <x v="814"/>
    <x v="366"/>
    <x v="9"/>
    <x v="1"/>
    <x v="21"/>
    <x v="225"/>
    <x v="0"/>
    <x v="7"/>
    <x v="1"/>
    <x v="7"/>
    <x v="0"/>
    <x v="0"/>
  </r>
  <r>
    <x v="210"/>
    <x v="1"/>
    <x v="596"/>
    <x v="0"/>
    <x v="6"/>
    <x v="4"/>
    <x v="0"/>
    <x v="14"/>
    <x v="9"/>
    <x v="178"/>
    <x v="0"/>
    <x v="0"/>
    <x v="6"/>
    <x v="184"/>
    <x v="68"/>
    <x v="266"/>
    <x v="281"/>
    <x v="5"/>
    <x v="9"/>
    <x v="224"/>
    <x v="0"/>
    <x v="6"/>
    <x v="1"/>
    <x v="7"/>
    <x v="0"/>
    <x v="0"/>
  </r>
  <r>
    <x v="357"/>
    <x v="2"/>
    <x v="564"/>
    <x v="0"/>
    <x v="4"/>
    <x v="4"/>
    <x v="0"/>
    <x v="31"/>
    <x v="9"/>
    <x v="91"/>
    <x v="0"/>
    <x v="0"/>
    <x v="7"/>
    <x v="130"/>
    <x v="260"/>
    <x v="892"/>
    <x v="433"/>
    <x v="6"/>
    <x v="56"/>
    <x v="223"/>
    <x v="0"/>
    <x v="7"/>
    <x v="1"/>
    <x v="7"/>
    <x v="0"/>
    <x v="0"/>
  </r>
  <r>
    <x v="701"/>
    <x v="6"/>
    <x v="849"/>
    <x v="0"/>
    <x v="6"/>
    <x v="4"/>
    <x v="0"/>
    <x v="101"/>
    <x v="9"/>
    <x v="84"/>
    <x v="0"/>
    <x v="0"/>
    <x v="7"/>
    <x v="227"/>
    <x v="658"/>
    <x v="721"/>
    <x v="266"/>
    <x v="6"/>
    <x v="53"/>
    <x v="222"/>
    <x v="0"/>
    <x v="7"/>
    <x v="1"/>
    <x v="7"/>
    <x v="1"/>
    <x v="0"/>
  </r>
  <r>
    <x v="374"/>
    <x v="2"/>
    <x v="590"/>
    <x v="0"/>
    <x v="6"/>
    <x v="4"/>
    <x v="0"/>
    <x v="31"/>
    <x v="9"/>
    <x v="205"/>
    <x v="0"/>
    <x v="0"/>
    <x v="6"/>
    <x v="203"/>
    <x v="94"/>
    <x v="276"/>
    <x v="101"/>
    <x v="5"/>
    <x v="9"/>
    <x v="221"/>
    <x v="0"/>
    <x v="6"/>
    <x v="1"/>
    <x v="7"/>
    <x v="0"/>
    <x v="0"/>
  </r>
  <r>
    <x v="469"/>
    <x v="3"/>
    <x v="589"/>
    <x v="0"/>
    <x v="5"/>
    <x v="4"/>
    <x v="0"/>
    <x v="49"/>
    <x v="9"/>
    <x v="102"/>
    <x v="0"/>
    <x v="0"/>
    <x v="7"/>
    <x v="97"/>
    <x v="698"/>
    <x v="126"/>
    <x v="317"/>
    <x v="3"/>
    <x v="56"/>
    <x v="220"/>
    <x v="0"/>
    <x v="7"/>
    <x v="1"/>
    <x v="7"/>
    <x v="0"/>
    <x v="0"/>
  </r>
  <r>
    <x v="725"/>
    <x v="6"/>
    <x v="977"/>
    <x v="0"/>
    <x v="5"/>
    <x v="4"/>
    <x v="0"/>
    <x v="101"/>
    <x v="9"/>
    <x v="259"/>
    <x v="0"/>
    <x v="0"/>
    <x v="7"/>
    <x v="129"/>
    <x v="744"/>
    <x v="532"/>
    <x v="150"/>
    <x v="1"/>
    <x v="56"/>
    <x v="219"/>
    <x v="0"/>
    <x v="7"/>
    <x v="1"/>
    <x v="7"/>
    <x v="1"/>
    <x v="0"/>
  </r>
  <r>
    <x v="4"/>
    <x v="0"/>
    <x v="898"/>
    <x v="0"/>
    <x v="4"/>
    <x v="4"/>
    <x v="0"/>
    <x v="0"/>
    <x v="9"/>
    <x v="222"/>
    <x v="0"/>
    <x v="0"/>
    <x v="7"/>
    <x v="266"/>
    <x v="139"/>
    <x v="293"/>
    <x v="78"/>
    <x v="5"/>
    <x v="9"/>
    <x v="218"/>
    <x v="0"/>
    <x v="7"/>
    <x v="1"/>
    <x v="7"/>
    <x v="0"/>
    <x v="0"/>
  </r>
  <r>
    <x v="865"/>
    <x v="10"/>
    <x v="135"/>
    <x v="0"/>
    <x v="6"/>
    <x v="4"/>
    <x v="0"/>
    <x v="157"/>
    <x v="9"/>
    <x v="116"/>
    <x v="0"/>
    <x v="0"/>
    <x v="7"/>
    <x v="124"/>
    <x v="599"/>
    <x v="552"/>
    <x v="273"/>
    <x v="6"/>
    <x v="38"/>
    <x v="217"/>
    <x v="0"/>
    <x v="7"/>
    <x v="1"/>
    <x v="7"/>
    <x v="2"/>
    <x v="0"/>
  </r>
  <r>
    <x v="833"/>
    <x v="9"/>
    <x v="78"/>
    <x v="0"/>
    <x v="4"/>
    <x v="4"/>
    <x v="0"/>
    <x v="144"/>
    <x v="9"/>
    <x v="45"/>
    <x v="0"/>
    <x v="0"/>
    <x v="7"/>
    <x v="336"/>
    <x v="829"/>
    <x v="385"/>
    <x v="174"/>
    <x v="1"/>
    <x v="0"/>
    <x v="216"/>
    <x v="0"/>
    <x v="7"/>
    <x v="1"/>
    <x v="7"/>
    <x v="1"/>
    <x v="0"/>
  </r>
  <r>
    <x v="179"/>
    <x v="1"/>
    <x v="132"/>
    <x v="0"/>
    <x v="5"/>
    <x v="4"/>
    <x v="0"/>
    <x v="14"/>
    <x v="9"/>
    <x v="194"/>
    <x v="0"/>
    <x v="0"/>
    <x v="7"/>
    <x v="144"/>
    <x v="419"/>
    <x v="769"/>
    <x v="197"/>
    <x v="6"/>
    <x v="35"/>
    <x v="215"/>
    <x v="0"/>
    <x v="7"/>
    <x v="1"/>
    <x v="7"/>
    <x v="0"/>
    <x v="0"/>
  </r>
  <r>
    <x v="97"/>
    <x v="0"/>
    <x v="73"/>
    <x v="0"/>
    <x v="6"/>
    <x v="4"/>
    <x v="0"/>
    <x v="0"/>
    <x v="9"/>
    <x v="219"/>
    <x v="0"/>
    <x v="0"/>
    <x v="7"/>
    <x v="2"/>
    <x v="873"/>
    <x v="354"/>
    <x v="442"/>
    <x v="1"/>
    <x v="49"/>
    <x v="214"/>
    <x v="0"/>
    <x v="7"/>
    <x v="1"/>
    <x v="7"/>
    <x v="0"/>
    <x v="0"/>
  </r>
  <r>
    <x v="323"/>
    <x v="2"/>
    <x v="284"/>
    <x v="0"/>
    <x v="7"/>
    <x v="4"/>
    <x v="0"/>
    <x v="31"/>
    <x v="9"/>
    <x v="123"/>
    <x v="0"/>
    <x v="0"/>
    <x v="7"/>
    <x v="22"/>
    <x v="488"/>
    <x v="693"/>
    <x v="16"/>
    <x v="6"/>
    <x v="35"/>
    <x v="213"/>
    <x v="0"/>
    <x v="7"/>
    <x v="1"/>
    <x v="7"/>
    <x v="0"/>
    <x v="0"/>
  </r>
  <r>
    <x v="240"/>
    <x v="1"/>
    <x v="64"/>
    <x v="0"/>
    <x v="5"/>
    <x v="4"/>
    <x v="0"/>
    <x v="14"/>
    <x v="9"/>
    <x v="154"/>
    <x v="0"/>
    <x v="0"/>
    <x v="7"/>
    <x v="20"/>
    <x v="193"/>
    <x v="934"/>
    <x v="360"/>
    <x v="6"/>
    <x v="54"/>
    <x v="212"/>
    <x v="0"/>
    <x v="7"/>
    <x v="1"/>
    <x v="7"/>
    <x v="0"/>
    <x v="0"/>
  </r>
  <r>
    <x v="764"/>
    <x v="7"/>
    <x v="33"/>
    <x v="0"/>
    <x v="5"/>
    <x v="4"/>
    <x v="0"/>
    <x v="115"/>
    <x v="9"/>
    <x v="184"/>
    <x v="0"/>
    <x v="0"/>
    <x v="7"/>
    <x v="79"/>
    <x v="194"/>
    <x v="931"/>
    <x v="360"/>
    <x v="6"/>
    <x v="54"/>
    <x v="211"/>
    <x v="0"/>
    <x v="7"/>
    <x v="1"/>
    <x v="7"/>
    <x v="1"/>
    <x v="0"/>
  </r>
  <r>
    <x v="463"/>
    <x v="3"/>
    <x v="774"/>
    <x v="0"/>
    <x v="6"/>
    <x v="4"/>
    <x v="0"/>
    <x v="49"/>
    <x v="9"/>
    <x v="153"/>
    <x v="0"/>
    <x v="0"/>
    <x v="7"/>
    <x v="49"/>
    <x v="302"/>
    <x v="847"/>
    <x v="252"/>
    <x v="6"/>
    <x v="42"/>
    <x v="210"/>
    <x v="0"/>
    <x v="7"/>
    <x v="1"/>
    <x v="6"/>
    <x v="0"/>
    <x v="0"/>
  </r>
  <r>
    <x v="496"/>
    <x v="3"/>
    <x v="617"/>
    <x v="0"/>
    <x v="4"/>
    <x v="4"/>
    <x v="0"/>
    <x v="49"/>
    <x v="9"/>
    <x v="230"/>
    <x v="0"/>
    <x v="0"/>
    <x v="7"/>
    <x v="37"/>
    <x v="743"/>
    <x v="540"/>
    <x v="499"/>
    <x v="6"/>
    <x v="56"/>
    <x v="209"/>
    <x v="0"/>
    <x v="7"/>
    <x v="1"/>
    <x v="6"/>
    <x v="0"/>
    <x v="0"/>
  </r>
  <r>
    <x v="63"/>
    <x v="0"/>
    <x v="60"/>
    <x v="0"/>
    <x v="4"/>
    <x v="4"/>
    <x v="0"/>
    <x v="0"/>
    <x v="9"/>
    <x v="288"/>
    <x v="0"/>
    <x v="0"/>
    <x v="7"/>
    <x v="265"/>
    <x v="882"/>
    <x v="669"/>
    <x v="138"/>
    <x v="1"/>
    <x v="23"/>
    <x v="208"/>
    <x v="0"/>
    <x v="7"/>
    <x v="1"/>
    <x v="6"/>
    <x v="0"/>
    <x v="0"/>
  </r>
  <r>
    <x v="935"/>
    <x v="13"/>
    <x v="468"/>
    <x v="0"/>
    <x v="8"/>
    <x v="4"/>
    <x v="0"/>
    <x v="197"/>
    <x v="9"/>
    <x v="141"/>
    <x v="0"/>
    <x v="0"/>
    <x v="7"/>
    <x v="20"/>
    <x v="818"/>
    <x v="411"/>
    <x v="438"/>
    <x v="1"/>
    <x v="36"/>
    <x v="207"/>
    <x v="0"/>
    <x v="7"/>
    <x v="1"/>
    <x v="6"/>
    <x v="2"/>
    <x v="0"/>
  </r>
  <r>
    <x v="655"/>
    <x v="5"/>
    <x v="985"/>
    <x v="0"/>
    <x v="6"/>
    <x v="4"/>
    <x v="0"/>
    <x v="84"/>
    <x v="9"/>
    <x v="81"/>
    <x v="0"/>
    <x v="0"/>
    <x v="7"/>
    <x v="130"/>
    <x v="393"/>
    <x v="757"/>
    <x v="197"/>
    <x v="6"/>
    <x v="35"/>
    <x v="206"/>
    <x v="0"/>
    <x v="7"/>
    <x v="1"/>
    <x v="6"/>
    <x v="1"/>
    <x v="0"/>
  </r>
  <r>
    <x v="847"/>
    <x v="10"/>
    <x v="642"/>
    <x v="0"/>
    <x v="5"/>
    <x v="4"/>
    <x v="0"/>
    <x v="157"/>
    <x v="9"/>
    <x v="73"/>
    <x v="0"/>
    <x v="0"/>
    <x v="7"/>
    <x v="130"/>
    <x v="464"/>
    <x v="549"/>
    <x v="190"/>
    <x v="6"/>
    <x v="20"/>
    <x v="205"/>
    <x v="0"/>
    <x v="7"/>
    <x v="1"/>
    <x v="6"/>
    <x v="2"/>
    <x v="0"/>
  </r>
  <r>
    <x v="666"/>
    <x v="5"/>
    <x v="392"/>
    <x v="0"/>
    <x v="5"/>
    <x v="4"/>
    <x v="0"/>
    <x v="84"/>
    <x v="9"/>
    <x v="219"/>
    <x v="0"/>
    <x v="0"/>
    <x v="7"/>
    <x v="140"/>
    <x v="654"/>
    <x v="725"/>
    <x v="156"/>
    <x v="6"/>
    <x v="56"/>
    <x v="204"/>
    <x v="0"/>
    <x v="7"/>
    <x v="1"/>
    <x v="6"/>
    <x v="1"/>
    <x v="0"/>
  </r>
  <r>
    <x v="8"/>
    <x v="0"/>
    <x v="355"/>
    <x v="0"/>
    <x v="5"/>
    <x v="4"/>
    <x v="0"/>
    <x v="0"/>
    <x v="9"/>
    <x v="59"/>
    <x v="0"/>
    <x v="0"/>
    <x v="7"/>
    <x v="130"/>
    <x v="533"/>
    <x v="632"/>
    <x v="254"/>
    <x v="6"/>
    <x v="20"/>
    <x v="203"/>
    <x v="0"/>
    <x v="7"/>
    <x v="1"/>
    <x v="6"/>
    <x v="0"/>
    <x v="0"/>
  </r>
  <r>
    <x v="281"/>
    <x v="1"/>
    <x v="908"/>
    <x v="6"/>
    <x v="5"/>
    <x v="4"/>
    <x v="0"/>
    <x v="84"/>
    <x v="0"/>
    <x v="0"/>
    <x v="0"/>
    <x v="0"/>
    <x v="5"/>
    <x v="272"/>
    <x v="984"/>
    <x v="81"/>
    <x v="203"/>
    <x v="3"/>
    <x v="53"/>
    <x v="202"/>
    <x v="0"/>
    <x v="5"/>
    <x v="1"/>
    <x v="6"/>
    <x v="0"/>
    <x v="0"/>
  </r>
  <r>
    <x v="72"/>
    <x v="0"/>
    <x v="857"/>
    <x v="0"/>
    <x v="7"/>
    <x v="4"/>
    <x v="0"/>
    <x v="0"/>
    <x v="9"/>
    <x v="220"/>
    <x v="0"/>
    <x v="0"/>
    <x v="7"/>
    <x v="20"/>
    <x v="879"/>
    <x v="344"/>
    <x v="432"/>
    <x v="2"/>
    <x v="15"/>
    <x v="201"/>
    <x v="0"/>
    <x v="7"/>
    <x v="1"/>
    <x v="6"/>
    <x v="0"/>
    <x v="0"/>
  </r>
  <r>
    <x v="882"/>
    <x v="11"/>
    <x v="204"/>
    <x v="0"/>
    <x v="6"/>
    <x v="4"/>
    <x v="0"/>
    <x v="171"/>
    <x v="9"/>
    <x v="161"/>
    <x v="0"/>
    <x v="0"/>
    <x v="7"/>
    <x v="130"/>
    <x v="195"/>
    <x v="239"/>
    <x v="375"/>
    <x v="6"/>
    <x v="37"/>
    <x v="200"/>
    <x v="0"/>
    <x v="7"/>
    <x v="1"/>
    <x v="6"/>
    <x v="2"/>
    <x v="0"/>
  </r>
  <r>
    <x v="237"/>
    <x v="1"/>
    <x v="143"/>
    <x v="0"/>
    <x v="6"/>
    <x v="4"/>
    <x v="0"/>
    <x v="14"/>
    <x v="9"/>
    <x v="119"/>
    <x v="0"/>
    <x v="0"/>
    <x v="7"/>
    <x v="203"/>
    <x v="210"/>
    <x v="221"/>
    <x v="11"/>
    <x v="6"/>
    <x v="37"/>
    <x v="199"/>
    <x v="0"/>
    <x v="7"/>
    <x v="1"/>
    <x v="6"/>
    <x v="0"/>
    <x v="0"/>
  </r>
  <r>
    <x v="378"/>
    <x v="2"/>
    <x v="855"/>
    <x v="0"/>
    <x v="5"/>
    <x v="4"/>
    <x v="0"/>
    <x v="31"/>
    <x v="9"/>
    <x v="180"/>
    <x v="0"/>
    <x v="0"/>
    <x v="7"/>
    <x v="94"/>
    <x v="191"/>
    <x v="250"/>
    <x v="329"/>
    <x v="6"/>
    <x v="37"/>
    <x v="198"/>
    <x v="0"/>
    <x v="7"/>
    <x v="1"/>
    <x v="6"/>
    <x v="0"/>
    <x v="0"/>
  </r>
  <r>
    <x v="978"/>
    <x v="21"/>
    <x v="758"/>
    <x v="0"/>
    <x v="7"/>
    <x v="4"/>
    <x v="0"/>
    <x v="252"/>
    <x v="7"/>
    <x v="243"/>
    <x v="0"/>
    <x v="0"/>
    <x v="8"/>
    <x v="130"/>
    <x v="207"/>
    <x v="223"/>
    <x v="28"/>
    <x v="6"/>
    <x v="37"/>
    <x v="197"/>
    <x v="0"/>
    <x v="8"/>
    <x v="1"/>
    <x v="6"/>
    <x v="3"/>
    <x v="0"/>
  </r>
  <r>
    <x v="334"/>
    <x v="2"/>
    <x v="625"/>
    <x v="0"/>
    <x v="5"/>
    <x v="4"/>
    <x v="0"/>
    <x v="31"/>
    <x v="9"/>
    <x v="96"/>
    <x v="0"/>
    <x v="0"/>
    <x v="7"/>
    <x v="56"/>
    <x v="339"/>
    <x v="828"/>
    <x v="341"/>
    <x v="6"/>
    <x v="42"/>
    <x v="196"/>
    <x v="0"/>
    <x v="7"/>
    <x v="1"/>
    <x v="6"/>
    <x v="0"/>
    <x v="0"/>
  </r>
  <r>
    <x v="456"/>
    <x v="3"/>
    <x v="781"/>
    <x v="0"/>
    <x v="6"/>
    <x v="4"/>
    <x v="0"/>
    <x v="49"/>
    <x v="9"/>
    <x v="283"/>
    <x v="0"/>
    <x v="0"/>
    <x v="7"/>
    <x v="178"/>
    <x v="801"/>
    <x v="629"/>
    <x v="210"/>
    <x v="1"/>
    <x v="23"/>
    <x v="195"/>
    <x v="0"/>
    <x v="7"/>
    <x v="1"/>
    <x v="6"/>
    <x v="0"/>
    <x v="0"/>
  </r>
  <r>
    <x v="85"/>
    <x v="0"/>
    <x v="622"/>
    <x v="0"/>
    <x v="5"/>
    <x v="4"/>
    <x v="0"/>
    <x v="0"/>
    <x v="9"/>
    <x v="64"/>
    <x v="0"/>
    <x v="0"/>
    <x v="7"/>
    <x v="130"/>
    <x v="466"/>
    <x v="602"/>
    <x v="22"/>
    <x v="6"/>
    <x v="20"/>
    <x v="194"/>
    <x v="0"/>
    <x v="7"/>
    <x v="1"/>
    <x v="6"/>
    <x v="0"/>
    <x v="0"/>
  </r>
  <r>
    <x v="501"/>
    <x v="3"/>
    <x v="895"/>
    <x v="7"/>
    <x v="6"/>
    <x v="4"/>
    <x v="0"/>
    <x v="307"/>
    <x v="10"/>
    <x v="14"/>
    <x v="0"/>
    <x v="153"/>
    <x v="1"/>
    <x v="181"/>
    <x v="919"/>
    <x v="101"/>
    <x v="238"/>
    <x v="3"/>
    <x v="53"/>
    <x v="193"/>
    <x v="0"/>
    <x v="1"/>
    <x v="1"/>
    <x v="6"/>
    <x v="0"/>
    <x v="0"/>
  </r>
  <r>
    <x v="690"/>
    <x v="6"/>
    <x v="778"/>
    <x v="0"/>
    <x v="6"/>
    <x v="4"/>
    <x v="0"/>
    <x v="101"/>
    <x v="9"/>
    <x v="183"/>
    <x v="0"/>
    <x v="0"/>
    <x v="7"/>
    <x v="136"/>
    <x v="557"/>
    <x v="570"/>
    <x v="459"/>
    <x v="6"/>
    <x v="20"/>
    <x v="192"/>
    <x v="0"/>
    <x v="7"/>
    <x v="1"/>
    <x v="6"/>
    <x v="1"/>
    <x v="0"/>
  </r>
  <r>
    <x v="821"/>
    <x v="9"/>
    <x v="405"/>
    <x v="0"/>
    <x v="5"/>
    <x v="4"/>
    <x v="0"/>
    <x v="144"/>
    <x v="9"/>
    <x v="68"/>
    <x v="0"/>
    <x v="0"/>
    <x v="7"/>
    <x v="138"/>
    <x v="445"/>
    <x v="486"/>
    <x v="57"/>
    <x v="6"/>
    <x v="20"/>
    <x v="191"/>
    <x v="0"/>
    <x v="7"/>
    <x v="1"/>
    <x v="6"/>
    <x v="1"/>
    <x v="0"/>
  </r>
  <r>
    <x v="259"/>
    <x v="1"/>
    <x v="404"/>
    <x v="0"/>
    <x v="7"/>
    <x v="4"/>
    <x v="0"/>
    <x v="14"/>
    <x v="9"/>
    <x v="92"/>
    <x v="0"/>
    <x v="0"/>
    <x v="7"/>
    <x v="20"/>
    <x v="664"/>
    <x v="154"/>
    <x v="97"/>
    <x v="6"/>
    <x v="13"/>
    <x v="190"/>
    <x v="0"/>
    <x v="7"/>
    <x v="1"/>
    <x v="6"/>
    <x v="0"/>
    <x v="0"/>
  </r>
  <r>
    <x v="901"/>
    <x v="12"/>
    <x v="844"/>
    <x v="0"/>
    <x v="8"/>
    <x v="4"/>
    <x v="0"/>
    <x v="183"/>
    <x v="9"/>
    <x v="211"/>
    <x v="0"/>
    <x v="0"/>
    <x v="7"/>
    <x v="49"/>
    <x v="739"/>
    <x v="383"/>
    <x v="58"/>
    <x v="1"/>
    <x v="19"/>
    <x v="189"/>
    <x v="0"/>
    <x v="7"/>
    <x v="1"/>
    <x v="6"/>
    <x v="2"/>
    <x v="0"/>
  </r>
  <r>
    <x v="583"/>
    <x v="4"/>
    <x v="503"/>
    <x v="0"/>
    <x v="5"/>
    <x v="4"/>
    <x v="0"/>
    <x v="67"/>
    <x v="9"/>
    <x v="35"/>
    <x v="0"/>
    <x v="0"/>
    <x v="6"/>
    <x v="111"/>
    <x v="467"/>
    <x v="481"/>
    <x v="57"/>
    <x v="6"/>
    <x v="20"/>
    <x v="188"/>
    <x v="0"/>
    <x v="6"/>
    <x v="1"/>
    <x v="6"/>
    <x v="0"/>
    <x v="0"/>
  </r>
  <r>
    <x v="908"/>
    <x v="12"/>
    <x v="401"/>
    <x v="0"/>
    <x v="7"/>
    <x v="4"/>
    <x v="0"/>
    <x v="183"/>
    <x v="9"/>
    <x v="184"/>
    <x v="0"/>
    <x v="0"/>
    <x v="7"/>
    <x v="196"/>
    <x v="657"/>
    <x v="157"/>
    <x v="368"/>
    <x v="6"/>
    <x v="56"/>
    <x v="187"/>
    <x v="0"/>
    <x v="7"/>
    <x v="1"/>
    <x v="6"/>
    <x v="2"/>
    <x v="0"/>
  </r>
  <r>
    <x v="580"/>
    <x v="4"/>
    <x v="283"/>
    <x v="5"/>
    <x v="6"/>
    <x v="4"/>
    <x v="0"/>
    <x v="80"/>
    <x v="0"/>
    <x v="0"/>
    <x v="0"/>
    <x v="0"/>
    <x v="5"/>
    <x v="139"/>
    <x v="980"/>
    <x v="85"/>
    <x v="324"/>
    <x v="3"/>
    <x v="56"/>
    <x v="186"/>
    <x v="0"/>
    <x v="5"/>
    <x v="1"/>
    <x v="6"/>
    <x v="0"/>
    <x v="0"/>
  </r>
  <r>
    <x v="696"/>
    <x v="6"/>
    <x v="253"/>
    <x v="0"/>
    <x v="6"/>
    <x v="4"/>
    <x v="0"/>
    <x v="101"/>
    <x v="9"/>
    <x v="145"/>
    <x v="0"/>
    <x v="0"/>
    <x v="6"/>
    <x v="239"/>
    <x v="231"/>
    <x v="915"/>
    <x v="359"/>
    <x v="6"/>
    <x v="54"/>
    <x v="185"/>
    <x v="0"/>
    <x v="6"/>
    <x v="1"/>
    <x v="6"/>
    <x v="1"/>
    <x v="0"/>
  </r>
  <r>
    <x v="526"/>
    <x v="3"/>
    <x v="3"/>
    <x v="0"/>
    <x v="4"/>
    <x v="4"/>
    <x v="0"/>
    <x v="49"/>
    <x v="9"/>
    <x v="11"/>
    <x v="0"/>
    <x v="0"/>
    <x v="7"/>
    <x v="130"/>
    <x v="603"/>
    <x v="587"/>
    <x v="273"/>
    <x v="6"/>
    <x v="56"/>
    <x v="184"/>
    <x v="0"/>
    <x v="7"/>
    <x v="1"/>
    <x v="6"/>
    <x v="0"/>
    <x v="0"/>
  </r>
  <r>
    <x v="850"/>
    <x v="10"/>
    <x v="2"/>
    <x v="0"/>
    <x v="6"/>
    <x v="4"/>
    <x v="0"/>
    <x v="157"/>
    <x v="9"/>
    <x v="119"/>
    <x v="0"/>
    <x v="0"/>
    <x v="7"/>
    <x v="130"/>
    <x v="607"/>
    <x v="580"/>
    <x v="243"/>
    <x v="6"/>
    <x v="38"/>
    <x v="183"/>
    <x v="0"/>
    <x v="7"/>
    <x v="1"/>
    <x v="6"/>
    <x v="2"/>
    <x v="0"/>
  </r>
  <r>
    <x v="101"/>
    <x v="0"/>
    <x v="187"/>
    <x v="0"/>
    <x v="6"/>
    <x v="4"/>
    <x v="0"/>
    <x v="0"/>
    <x v="9"/>
    <x v="164"/>
    <x v="0"/>
    <x v="0"/>
    <x v="7"/>
    <x v="124"/>
    <x v="461"/>
    <x v="787"/>
    <x v="204"/>
    <x v="6"/>
    <x v="35"/>
    <x v="182"/>
    <x v="0"/>
    <x v="7"/>
    <x v="1"/>
    <x v="5"/>
    <x v="0"/>
    <x v="0"/>
  </r>
  <r>
    <x v="654"/>
    <x v="5"/>
    <x v="186"/>
    <x v="0"/>
    <x v="6"/>
    <x v="4"/>
    <x v="0"/>
    <x v="84"/>
    <x v="9"/>
    <x v="227"/>
    <x v="0"/>
    <x v="0"/>
    <x v="7"/>
    <x v="122"/>
    <x v="884"/>
    <x v="369"/>
    <x v="42"/>
    <x v="1"/>
    <x v="51"/>
    <x v="181"/>
    <x v="0"/>
    <x v="7"/>
    <x v="1"/>
    <x v="5"/>
    <x v="1"/>
    <x v="0"/>
  </r>
  <r>
    <x v="52"/>
    <x v="0"/>
    <x v="835"/>
    <x v="0"/>
    <x v="5"/>
    <x v="4"/>
    <x v="0"/>
    <x v="0"/>
    <x v="9"/>
    <x v="88"/>
    <x v="0"/>
    <x v="0"/>
    <x v="7"/>
    <x v="130"/>
    <x v="889"/>
    <x v="368"/>
    <x v="37"/>
    <x v="1"/>
    <x v="4"/>
    <x v="180"/>
    <x v="0"/>
    <x v="7"/>
    <x v="1"/>
    <x v="5"/>
    <x v="0"/>
    <x v="0"/>
  </r>
  <r>
    <x v="450"/>
    <x v="3"/>
    <x v="834"/>
    <x v="0"/>
    <x v="5"/>
    <x v="4"/>
    <x v="0"/>
    <x v="49"/>
    <x v="9"/>
    <x v="196"/>
    <x v="0"/>
    <x v="0"/>
    <x v="7"/>
    <x v="179"/>
    <x v="890"/>
    <x v="367"/>
    <x v="41"/>
    <x v="1"/>
    <x v="4"/>
    <x v="179"/>
    <x v="0"/>
    <x v="7"/>
    <x v="1"/>
    <x v="5"/>
    <x v="0"/>
    <x v="0"/>
  </r>
  <r>
    <x v="435"/>
    <x v="3"/>
    <x v="612"/>
    <x v="0"/>
    <x v="5"/>
    <x v="4"/>
    <x v="0"/>
    <x v="49"/>
    <x v="9"/>
    <x v="165"/>
    <x v="0"/>
    <x v="0"/>
    <x v="6"/>
    <x v="130"/>
    <x v="422"/>
    <x v="775"/>
    <x v="204"/>
    <x v="6"/>
    <x v="35"/>
    <x v="178"/>
    <x v="0"/>
    <x v="6"/>
    <x v="1"/>
    <x v="5"/>
    <x v="0"/>
    <x v="0"/>
  </r>
  <r>
    <x v="186"/>
    <x v="1"/>
    <x v="611"/>
    <x v="0"/>
    <x v="5"/>
    <x v="4"/>
    <x v="0"/>
    <x v="14"/>
    <x v="9"/>
    <x v="87"/>
    <x v="0"/>
    <x v="0"/>
    <x v="7"/>
    <x v="130"/>
    <x v="428"/>
    <x v="794"/>
    <x v="204"/>
    <x v="6"/>
    <x v="35"/>
    <x v="177"/>
    <x v="0"/>
    <x v="7"/>
    <x v="1"/>
    <x v="5"/>
    <x v="0"/>
    <x v="0"/>
  </r>
  <r>
    <x v="919"/>
    <x v="13"/>
    <x v="579"/>
    <x v="0"/>
    <x v="6"/>
    <x v="4"/>
    <x v="0"/>
    <x v="197"/>
    <x v="9"/>
    <x v="131"/>
    <x v="0"/>
    <x v="0"/>
    <x v="7"/>
    <x v="130"/>
    <x v="411"/>
    <x v="777"/>
    <x v="204"/>
    <x v="6"/>
    <x v="35"/>
    <x v="176"/>
    <x v="0"/>
    <x v="7"/>
    <x v="1"/>
    <x v="5"/>
    <x v="2"/>
    <x v="0"/>
  </r>
  <r>
    <x v="16"/>
    <x v="0"/>
    <x v="548"/>
    <x v="0"/>
    <x v="5"/>
    <x v="4"/>
    <x v="0"/>
    <x v="0"/>
    <x v="9"/>
    <x v="17"/>
    <x v="0"/>
    <x v="0"/>
    <x v="0"/>
    <x v="130"/>
    <x v="437"/>
    <x v="797"/>
    <x v="204"/>
    <x v="6"/>
    <x v="35"/>
    <x v="175"/>
    <x v="0"/>
    <x v="0"/>
    <x v="1"/>
    <x v="5"/>
    <x v="0"/>
    <x v="0"/>
  </r>
  <r>
    <x v="918"/>
    <x v="13"/>
    <x v="547"/>
    <x v="0"/>
    <x v="6"/>
    <x v="4"/>
    <x v="0"/>
    <x v="197"/>
    <x v="9"/>
    <x v="103"/>
    <x v="0"/>
    <x v="0"/>
    <x v="7"/>
    <x v="122"/>
    <x v="421"/>
    <x v="792"/>
    <x v="204"/>
    <x v="6"/>
    <x v="56"/>
    <x v="174"/>
    <x v="0"/>
    <x v="7"/>
    <x v="1"/>
    <x v="5"/>
    <x v="2"/>
    <x v="0"/>
  </r>
  <r>
    <x v="952"/>
    <x v="15"/>
    <x v="546"/>
    <x v="0"/>
    <x v="6"/>
    <x v="4"/>
    <x v="0"/>
    <x v="218"/>
    <x v="9"/>
    <x v="81"/>
    <x v="0"/>
    <x v="0"/>
    <x v="7"/>
    <x v="130"/>
    <x v="469"/>
    <x v="781"/>
    <x v="382"/>
    <x v="6"/>
    <x v="35"/>
    <x v="173"/>
    <x v="0"/>
    <x v="7"/>
    <x v="1"/>
    <x v="5"/>
    <x v="3"/>
    <x v="0"/>
  </r>
  <r>
    <x v="1"/>
    <x v="0"/>
    <x v="245"/>
    <x v="0"/>
    <x v="6"/>
    <x v="4"/>
    <x v="0"/>
    <x v="0"/>
    <x v="9"/>
    <x v="205"/>
    <x v="0"/>
    <x v="0"/>
    <x v="7"/>
    <x v="56"/>
    <x v="610"/>
    <x v="197"/>
    <x v="173"/>
    <x v="6"/>
    <x v="10"/>
    <x v="172"/>
    <x v="0"/>
    <x v="7"/>
    <x v="1"/>
    <x v="5"/>
    <x v="0"/>
    <x v="0"/>
  </r>
  <r>
    <x v="636"/>
    <x v="5"/>
    <x v="944"/>
    <x v="0"/>
    <x v="6"/>
    <x v="4"/>
    <x v="0"/>
    <x v="84"/>
    <x v="9"/>
    <x v="9"/>
    <x v="0"/>
    <x v="0"/>
    <x v="7"/>
    <x v="178"/>
    <x v="440"/>
    <x v="810"/>
    <x v="204"/>
    <x v="6"/>
    <x v="35"/>
    <x v="171"/>
    <x v="0"/>
    <x v="7"/>
    <x v="1"/>
    <x v="5"/>
    <x v="1"/>
    <x v="0"/>
  </r>
  <r>
    <x v="472"/>
    <x v="3"/>
    <x v="829"/>
    <x v="0"/>
    <x v="5"/>
    <x v="4"/>
    <x v="0"/>
    <x v="49"/>
    <x v="9"/>
    <x v="174"/>
    <x v="0"/>
    <x v="0"/>
    <x v="7"/>
    <x v="141"/>
    <x v="366"/>
    <x v="493"/>
    <x v="221"/>
    <x v="6"/>
    <x v="20"/>
    <x v="170"/>
    <x v="0"/>
    <x v="7"/>
    <x v="1"/>
    <x v="5"/>
    <x v="0"/>
    <x v="0"/>
  </r>
  <r>
    <x v="408"/>
    <x v="2"/>
    <x v="183"/>
    <x v="0"/>
    <x v="7"/>
    <x v="4"/>
    <x v="0"/>
    <x v="31"/>
    <x v="9"/>
    <x v="156"/>
    <x v="0"/>
    <x v="0"/>
    <x v="7"/>
    <x v="20"/>
    <x v="811"/>
    <x v="633"/>
    <x v="259"/>
    <x v="1"/>
    <x v="23"/>
    <x v="169"/>
    <x v="0"/>
    <x v="7"/>
    <x v="1"/>
    <x v="5"/>
    <x v="0"/>
    <x v="0"/>
  </r>
  <r>
    <x v="649"/>
    <x v="5"/>
    <x v="124"/>
    <x v="0"/>
    <x v="6"/>
    <x v="4"/>
    <x v="0"/>
    <x v="84"/>
    <x v="9"/>
    <x v="137"/>
    <x v="0"/>
    <x v="0"/>
    <x v="7"/>
    <x v="92"/>
    <x v="222"/>
    <x v="907"/>
    <x v="241"/>
    <x v="6"/>
    <x v="54"/>
    <x v="168"/>
    <x v="0"/>
    <x v="7"/>
    <x v="1"/>
    <x v="5"/>
    <x v="1"/>
    <x v="0"/>
  </r>
  <r>
    <x v="32"/>
    <x v="0"/>
    <x v="55"/>
    <x v="0"/>
    <x v="5"/>
    <x v="4"/>
    <x v="0"/>
    <x v="0"/>
    <x v="9"/>
    <x v="174"/>
    <x v="0"/>
    <x v="0"/>
    <x v="6"/>
    <x v="134"/>
    <x v="328"/>
    <x v="352"/>
    <x v="309"/>
    <x v="0"/>
    <x v="46"/>
    <x v="167"/>
    <x v="0"/>
    <x v="6"/>
    <x v="1"/>
    <x v="5"/>
    <x v="0"/>
    <x v="0"/>
  </r>
  <r>
    <x v="521"/>
    <x v="3"/>
    <x v="912"/>
    <x v="0"/>
    <x v="5"/>
    <x v="4"/>
    <x v="0"/>
    <x v="49"/>
    <x v="9"/>
    <x v="126"/>
    <x v="0"/>
    <x v="0"/>
    <x v="7"/>
    <x v="49"/>
    <x v="462"/>
    <x v="595"/>
    <x v="22"/>
    <x v="6"/>
    <x v="20"/>
    <x v="166"/>
    <x v="0"/>
    <x v="7"/>
    <x v="1"/>
    <x v="5"/>
    <x v="0"/>
    <x v="0"/>
  </r>
  <r>
    <x v="55"/>
    <x v="0"/>
    <x v="264"/>
    <x v="0"/>
    <x v="5"/>
    <x v="4"/>
    <x v="0"/>
    <x v="0"/>
    <x v="9"/>
    <x v="218"/>
    <x v="0"/>
    <x v="0"/>
    <x v="7"/>
    <x v="167"/>
    <x v="705"/>
    <x v="122"/>
    <x v="121"/>
    <x v="3"/>
    <x v="26"/>
    <x v="165"/>
    <x v="0"/>
    <x v="7"/>
    <x v="1"/>
    <x v="5"/>
    <x v="0"/>
    <x v="0"/>
  </r>
  <r>
    <x v="476"/>
    <x v="3"/>
    <x v="118"/>
    <x v="0"/>
    <x v="6"/>
    <x v="4"/>
    <x v="0"/>
    <x v="49"/>
    <x v="9"/>
    <x v="281"/>
    <x v="0"/>
    <x v="0"/>
    <x v="7"/>
    <x v="20"/>
    <x v="920"/>
    <x v="690"/>
    <x v="481"/>
    <x v="1"/>
    <x v="39"/>
    <x v="164"/>
    <x v="0"/>
    <x v="7"/>
    <x v="1"/>
    <x v="5"/>
    <x v="0"/>
    <x v="0"/>
  </r>
  <r>
    <x v="196"/>
    <x v="1"/>
    <x v="91"/>
    <x v="0"/>
    <x v="5"/>
    <x v="4"/>
    <x v="0"/>
    <x v="14"/>
    <x v="9"/>
    <x v="67"/>
    <x v="0"/>
    <x v="0"/>
    <x v="7"/>
    <x v="130"/>
    <x v="264"/>
    <x v="894"/>
    <x v="226"/>
    <x v="6"/>
    <x v="56"/>
    <x v="163"/>
    <x v="0"/>
    <x v="7"/>
    <x v="1"/>
    <x v="5"/>
    <x v="0"/>
    <x v="0"/>
  </r>
  <r>
    <x v="141"/>
    <x v="0"/>
    <x v="964"/>
    <x v="0"/>
    <x v="6"/>
    <x v="4"/>
    <x v="0"/>
    <x v="0"/>
    <x v="9"/>
    <x v="185"/>
    <x v="0"/>
    <x v="0"/>
    <x v="7"/>
    <x v="20"/>
    <x v="799"/>
    <x v="662"/>
    <x v="425"/>
    <x v="6"/>
    <x v="23"/>
    <x v="162"/>
    <x v="0"/>
    <x v="7"/>
    <x v="1"/>
    <x v="5"/>
    <x v="0"/>
    <x v="0"/>
  </r>
  <r>
    <x v="220"/>
    <x v="1"/>
    <x v="524"/>
    <x v="0"/>
    <x v="4"/>
    <x v="4"/>
    <x v="0"/>
    <x v="14"/>
    <x v="9"/>
    <x v="140"/>
    <x v="0"/>
    <x v="0"/>
    <x v="7"/>
    <x v="20"/>
    <x v="331"/>
    <x v="764"/>
    <x v="182"/>
    <x v="6"/>
    <x v="56"/>
    <x v="161"/>
    <x v="0"/>
    <x v="7"/>
    <x v="1"/>
    <x v="5"/>
    <x v="0"/>
    <x v="0"/>
  </r>
  <r>
    <x v="56"/>
    <x v="0"/>
    <x v="351"/>
    <x v="0"/>
    <x v="5"/>
    <x v="4"/>
    <x v="0"/>
    <x v="0"/>
    <x v="0"/>
    <x v="0"/>
    <x v="0"/>
    <x v="0"/>
    <x v="5"/>
    <x v="156"/>
    <x v="983"/>
    <x v="83"/>
    <x v="225"/>
    <x v="3"/>
    <x v="53"/>
    <x v="160"/>
    <x v="0"/>
    <x v="5"/>
    <x v="1"/>
    <x v="5"/>
    <x v="0"/>
    <x v="0"/>
  </r>
  <r>
    <x v="19"/>
    <x v="0"/>
    <x v="699"/>
    <x v="0"/>
    <x v="8"/>
    <x v="4"/>
    <x v="0"/>
    <x v="0"/>
    <x v="9"/>
    <x v="134"/>
    <x v="0"/>
    <x v="0"/>
    <x v="7"/>
    <x v="20"/>
    <x v="993"/>
    <x v="329"/>
    <x v="422"/>
    <x v="6"/>
    <x v="18"/>
    <x v="159"/>
    <x v="0"/>
    <x v="7"/>
    <x v="1"/>
    <x v="5"/>
    <x v="0"/>
    <x v="0"/>
  </r>
  <r>
    <x v="951"/>
    <x v="14"/>
    <x v="595"/>
    <x v="0"/>
    <x v="4"/>
    <x v="4"/>
    <x v="0"/>
    <x v="208"/>
    <x v="9"/>
    <x v="167"/>
    <x v="0"/>
    <x v="0"/>
    <x v="7"/>
    <x v="20"/>
    <x v="247"/>
    <x v="446"/>
    <x v="435"/>
    <x v="6"/>
    <x v="56"/>
    <x v="158"/>
    <x v="0"/>
    <x v="7"/>
    <x v="1"/>
    <x v="5"/>
    <x v="2"/>
    <x v="0"/>
  </r>
  <r>
    <x v="58"/>
    <x v="0"/>
    <x v="563"/>
    <x v="0"/>
    <x v="7"/>
    <x v="4"/>
    <x v="0"/>
    <x v="0"/>
    <x v="9"/>
    <x v="168"/>
    <x v="0"/>
    <x v="0"/>
    <x v="7"/>
    <x v="20"/>
    <x v="992"/>
    <x v="330"/>
    <x v="422"/>
    <x v="6"/>
    <x v="18"/>
    <x v="157"/>
    <x v="0"/>
    <x v="7"/>
    <x v="1"/>
    <x v="5"/>
    <x v="0"/>
    <x v="0"/>
  </r>
  <r>
    <x v="419"/>
    <x v="2"/>
    <x v="202"/>
    <x v="0"/>
    <x v="4"/>
    <x v="4"/>
    <x v="0"/>
    <x v="31"/>
    <x v="9"/>
    <x v="135"/>
    <x v="0"/>
    <x v="0"/>
    <x v="7"/>
    <x v="130"/>
    <x v="448"/>
    <x v="482"/>
    <x v="57"/>
    <x v="6"/>
    <x v="20"/>
    <x v="156"/>
    <x v="0"/>
    <x v="7"/>
    <x v="1"/>
    <x v="5"/>
    <x v="0"/>
    <x v="0"/>
  </r>
  <r>
    <x v="416"/>
    <x v="2"/>
    <x v="115"/>
    <x v="0"/>
    <x v="4"/>
    <x v="4"/>
    <x v="0"/>
    <x v="31"/>
    <x v="9"/>
    <x v="51"/>
    <x v="0"/>
    <x v="0"/>
    <x v="0"/>
    <x v="130"/>
    <x v="447"/>
    <x v="484"/>
    <x v="57"/>
    <x v="6"/>
    <x v="20"/>
    <x v="155"/>
    <x v="0"/>
    <x v="0"/>
    <x v="1"/>
    <x v="5"/>
    <x v="0"/>
    <x v="0"/>
  </r>
  <r>
    <x v="937"/>
    <x v="14"/>
    <x v="114"/>
    <x v="0"/>
    <x v="7"/>
    <x v="4"/>
    <x v="0"/>
    <x v="208"/>
    <x v="9"/>
    <x v="149"/>
    <x v="0"/>
    <x v="0"/>
    <x v="7"/>
    <x v="130"/>
    <x v="443"/>
    <x v="483"/>
    <x v="57"/>
    <x v="6"/>
    <x v="20"/>
    <x v="154"/>
    <x v="0"/>
    <x v="7"/>
    <x v="1"/>
    <x v="5"/>
    <x v="2"/>
    <x v="0"/>
  </r>
  <r>
    <x v="771"/>
    <x v="7"/>
    <x v="377"/>
    <x v="0"/>
    <x v="4"/>
    <x v="4"/>
    <x v="0"/>
    <x v="115"/>
    <x v="9"/>
    <x v="0"/>
    <x v="0"/>
    <x v="0"/>
    <x v="7"/>
    <x v="335"/>
    <x v="107"/>
    <x v="298"/>
    <x v="395"/>
    <x v="5"/>
    <x v="3"/>
    <x v="153"/>
    <x v="0"/>
    <x v="7"/>
    <x v="1"/>
    <x v="5"/>
    <x v="1"/>
    <x v="0"/>
  </r>
  <r>
    <x v="887"/>
    <x v="11"/>
    <x v="112"/>
    <x v="0"/>
    <x v="6"/>
    <x v="4"/>
    <x v="0"/>
    <x v="171"/>
    <x v="9"/>
    <x v="0"/>
    <x v="0"/>
    <x v="0"/>
    <x v="7"/>
    <x v="103"/>
    <x v="522"/>
    <x v="548"/>
    <x v="244"/>
    <x v="6"/>
    <x v="20"/>
    <x v="152"/>
    <x v="0"/>
    <x v="7"/>
    <x v="1"/>
    <x v="5"/>
    <x v="2"/>
    <x v="0"/>
  </r>
  <r>
    <x v="271"/>
    <x v="1"/>
    <x v="77"/>
    <x v="0"/>
    <x v="7"/>
    <x v="4"/>
    <x v="0"/>
    <x v="14"/>
    <x v="9"/>
    <x v="0"/>
    <x v="0"/>
    <x v="0"/>
    <x v="7"/>
    <x v="20"/>
    <x v="356"/>
    <x v="713"/>
    <x v="152"/>
    <x v="6"/>
    <x v="35"/>
    <x v="151"/>
    <x v="0"/>
    <x v="7"/>
    <x v="1"/>
    <x v="5"/>
    <x v="0"/>
    <x v="0"/>
  </r>
  <r>
    <x v="293"/>
    <x v="1"/>
    <x v="160"/>
    <x v="0"/>
    <x v="5"/>
    <x v="4"/>
    <x v="0"/>
    <x v="14"/>
    <x v="9"/>
    <x v="0"/>
    <x v="0"/>
    <x v="0"/>
    <x v="7"/>
    <x v="130"/>
    <x v="396"/>
    <x v="762"/>
    <x v="197"/>
    <x v="6"/>
    <x v="35"/>
    <x v="150"/>
    <x v="0"/>
    <x v="7"/>
    <x v="1"/>
    <x v="5"/>
    <x v="0"/>
    <x v="0"/>
  </r>
  <r>
    <x v="511"/>
    <x v="3"/>
    <x v="892"/>
    <x v="0"/>
    <x v="5"/>
    <x v="4"/>
    <x v="0"/>
    <x v="49"/>
    <x v="9"/>
    <x v="0"/>
    <x v="0"/>
    <x v="0"/>
    <x v="7"/>
    <x v="201"/>
    <x v="910"/>
    <x v="738"/>
    <x v="424"/>
    <x v="6"/>
    <x v="56"/>
    <x v="149"/>
    <x v="0"/>
    <x v="7"/>
    <x v="1"/>
    <x v="5"/>
    <x v="0"/>
    <x v="0"/>
  </r>
  <r>
    <x v="745"/>
    <x v="7"/>
    <x v="221"/>
    <x v="0"/>
    <x v="5"/>
    <x v="4"/>
    <x v="0"/>
    <x v="115"/>
    <x v="9"/>
    <x v="0"/>
    <x v="0"/>
    <x v="0"/>
    <x v="7"/>
    <x v="311"/>
    <x v="201"/>
    <x v="54"/>
    <x v="145"/>
    <x v="6"/>
    <x v="56"/>
    <x v="148"/>
    <x v="0"/>
    <x v="7"/>
    <x v="1"/>
    <x v="5"/>
    <x v="1"/>
    <x v="0"/>
  </r>
  <r>
    <x v="581"/>
    <x v="4"/>
    <x v="948"/>
    <x v="0"/>
    <x v="5"/>
    <x v="4"/>
    <x v="0"/>
    <x v="67"/>
    <x v="9"/>
    <x v="0"/>
    <x v="0"/>
    <x v="0"/>
    <x v="6"/>
    <x v="130"/>
    <x v="282"/>
    <x v="881"/>
    <x v="226"/>
    <x v="6"/>
    <x v="56"/>
    <x v="147"/>
    <x v="0"/>
    <x v="6"/>
    <x v="1"/>
    <x v="4"/>
    <x v="0"/>
    <x v="0"/>
  </r>
  <r>
    <x v="108"/>
    <x v="0"/>
    <x v="713"/>
    <x v="0"/>
    <x v="5"/>
    <x v="4"/>
    <x v="0"/>
    <x v="0"/>
    <x v="9"/>
    <x v="0"/>
    <x v="0"/>
    <x v="0"/>
    <x v="6"/>
    <x v="188"/>
    <x v="355"/>
    <x v="492"/>
    <x v="221"/>
    <x v="6"/>
    <x v="20"/>
    <x v="146"/>
    <x v="0"/>
    <x v="6"/>
    <x v="1"/>
    <x v="4"/>
    <x v="0"/>
    <x v="0"/>
  </r>
  <r>
    <x v="791"/>
    <x v="8"/>
    <x v="366"/>
    <x v="0"/>
    <x v="6"/>
    <x v="4"/>
    <x v="0"/>
    <x v="129"/>
    <x v="9"/>
    <x v="0"/>
    <x v="0"/>
    <x v="0"/>
    <x v="7"/>
    <x v="130"/>
    <x v="684"/>
    <x v="508"/>
    <x v="66"/>
    <x v="6"/>
    <x v="38"/>
    <x v="145"/>
    <x v="0"/>
    <x v="7"/>
    <x v="1"/>
    <x v="4"/>
    <x v="1"/>
    <x v="0"/>
  </r>
  <r>
    <x v="643"/>
    <x v="5"/>
    <x v="185"/>
    <x v="0"/>
    <x v="6"/>
    <x v="4"/>
    <x v="0"/>
    <x v="84"/>
    <x v="0"/>
    <x v="0"/>
    <x v="0"/>
    <x v="0"/>
    <x v="5"/>
    <x v="161"/>
    <x v="982"/>
    <x v="82"/>
    <x v="184"/>
    <x v="3"/>
    <x v="53"/>
    <x v="144"/>
    <x v="0"/>
    <x v="5"/>
    <x v="1"/>
    <x v="4"/>
    <x v="1"/>
    <x v="0"/>
  </r>
  <r>
    <x v="180"/>
    <x v="1"/>
    <x v="975"/>
    <x v="0"/>
    <x v="4"/>
    <x v="4"/>
    <x v="0"/>
    <x v="14"/>
    <x v="9"/>
    <x v="0"/>
    <x v="0"/>
    <x v="0"/>
    <x v="6"/>
    <x v="270"/>
    <x v="178"/>
    <x v="291"/>
    <x v="26"/>
    <x v="5"/>
    <x v="9"/>
    <x v="143"/>
    <x v="0"/>
    <x v="6"/>
    <x v="1"/>
    <x v="4"/>
    <x v="0"/>
    <x v="0"/>
  </r>
  <r>
    <x v="863"/>
    <x v="10"/>
    <x v="863"/>
    <x v="0"/>
    <x v="6"/>
    <x v="4"/>
    <x v="0"/>
    <x v="157"/>
    <x v="9"/>
    <x v="0"/>
    <x v="0"/>
    <x v="0"/>
    <x v="7"/>
    <x v="130"/>
    <x v="206"/>
    <x v="939"/>
    <x v="224"/>
    <x v="6"/>
    <x v="54"/>
    <x v="142"/>
    <x v="0"/>
    <x v="7"/>
    <x v="1"/>
    <x v="4"/>
    <x v="2"/>
    <x v="0"/>
  </r>
  <r>
    <x v="671"/>
    <x v="5"/>
    <x v="647"/>
    <x v="0"/>
    <x v="5"/>
    <x v="4"/>
    <x v="0"/>
    <x v="84"/>
    <x v="9"/>
    <x v="0"/>
    <x v="0"/>
    <x v="0"/>
    <x v="7"/>
    <x v="130"/>
    <x v="376"/>
    <x v="747"/>
    <x v="182"/>
    <x v="6"/>
    <x v="35"/>
    <x v="141"/>
    <x v="0"/>
    <x v="7"/>
    <x v="1"/>
    <x v="4"/>
    <x v="1"/>
    <x v="0"/>
  </r>
  <r>
    <x v="593"/>
    <x v="4"/>
    <x v="578"/>
    <x v="0"/>
    <x v="5"/>
    <x v="4"/>
    <x v="0"/>
    <x v="67"/>
    <x v="9"/>
    <x v="0"/>
    <x v="0"/>
    <x v="0"/>
    <x v="7"/>
    <x v="173"/>
    <x v="390"/>
    <x v="748"/>
    <x v="182"/>
    <x v="6"/>
    <x v="35"/>
    <x v="140"/>
    <x v="0"/>
    <x v="7"/>
    <x v="1"/>
    <x v="4"/>
    <x v="0"/>
    <x v="0"/>
  </r>
  <r>
    <x v="772"/>
    <x v="7"/>
    <x v="396"/>
    <x v="0"/>
    <x v="8"/>
    <x v="4"/>
    <x v="0"/>
    <x v="115"/>
    <x v="9"/>
    <x v="0"/>
    <x v="0"/>
    <x v="0"/>
    <x v="7"/>
    <x v="20"/>
    <x v="896"/>
    <x v="353"/>
    <x v="114"/>
    <x v="1"/>
    <x v="49"/>
    <x v="139"/>
    <x v="0"/>
    <x v="7"/>
    <x v="1"/>
    <x v="4"/>
    <x v="1"/>
    <x v="0"/>
  </r>
  <r>
    <x v="66"/>
    <x v="0"/>
    <x v="244"/>
    <x v="0"/>
    <x v="3"/>
    <x v="4"/>
    <x v="0"/>
    <x v="0"/>
    <x v="9"/>
    <x v="0"/>
    <x v="0"/>
    <x v="0"/>
    <x v="7"/>
    <x v="338"/>
    <x v="831"/>
    <x v="392"/>
    <x v="27"/>
    <x v="1"/>
    <x v="0"/>
    <x v="138"/>
    <x v="0"/>
    <x v="7"/>
    <x v="1"/>
    <x v="4"/>
    <x v="0"/>
    <x v="0"/>
  </r>
  <r>
    <x v="736"/>
    <x v="6"/>
    <x v="542"/>
    <x v="8"/>
    <x v="7"/>
    <x v="4"/>
    <x v="0"/>
    <x v="324"/>
    <x v="2"/>
    <x v="18"/>
    <x v="0"/>
    <x v="222"/>
    <x v="5"/>
    <x v="36"/>
    <x v="806"/>
    <x v="105"/>
    <x v="142"/>
    <x v="3"/>
    <x v="53"/>
    <x v="137"/>
    <x v="0"/>
    <x v="5"/>
    <x v="1"/>
    <x v="4"/>
    <x v="1"/>
    <x v="0"/>
  </r>
  <r>
    <x v="846"/>
    <x v="10"/>
    <x v="967"/>
    <x v="0"/>
    <x v="7"/>
    <x v="4"/>
    <x v="0"/>
    <x v="157"/>
    <x v="9"/>
    <x v="0"/>
    <x v="0"/>
    <x v="0"/>
    <x v="7"/>
    <x v="200"/>
    <x v="689"/>
    <x v="136"/>
    <x v="397"/>
    <x v="3"/>
    <x v="26"/>
    <x v="136"/>
    <x v="0"/>
    <x v="7"/>
    <x v="1"/>
    <x v="4"/>
    <x v="2"/>
    <x v="0"/>
  </r>
  <r>
    <x v="65"/>
    <x v="0"/>
    <x v="824"/>
    <x v="0"/>
    <x v="6"/>
    <x v="4"/>
    <x v="0"/>
    <x v="0"/>
    <x v="9"/>
    <x v="0"/>
    <x v="0"/>
    <x v="0"/>
    <x v="7"/>
    <x v="56"/>
    <x v="741"/>
    <x v="523"/>
    <x v="374"/>
    <x v="1"/>
    <x v="44"/>
    <x v="135"/>
    <x v="0"/>
    <x v="7"/>
    <x v="1"/>
    <x v="4"/>
    <x v="0"/>
    <x v="0"/>
  </r>
  <r>
    <x v="903"/>
    <x v="12"/>
    <x v="675"/>
    <x v="0"/>
    <x v="8"/>
    <x v="4"/>
    <x v="0"/>
    <x v="183"/>
    <x v="9"/>
    <x v="0"/>
    <x v="0"/>
    <x v="0"/>
    <x v="7"/>
    <x v="130"/>
    <x v="742"/>
    <x v="522"/>
    <x v="374"/>
    <x v="1"/>
    <x v="44"/>
    <x v="134"/>
    <x v="0"/>
    <x v="7"/>
    <x v="1"/>
    <x v="4"/>
    <x v="2"/>
    <x v="0"/>
  </r>
  <r>
    <x v="274"/>
    <x v="1"/>
    <x v="734"/>
    <x v="0"/>
    <x v="5"/>
    <x v="4"/>
    <x v="0"/>
    <x v="14"/>
    <x v="9"/>
    <x v="0"/>
    <x v="0"/>
    <x v="0"/>
    <x v="7"/>
    <x v="130"/>
    <x v="209"/>
    <x v="935"/>
    <x v="224"/>
    <x v="6"/>
    <x v="54"/>
    <x v="133"/>
    <x v="0"/>
    <x v="7"/>
    <x v="1"/>
    <x v="4"/>
    <x v="0"/>
    <x v="0"/>
  </r>
  <r>
    <x v="578"/>
    <x v="4"/>
    <x v="669"/>
    <x v="0"/>
    <x v="5"/>
    <x v="4"/>
    <x v="0"/>
    <x v="67"/>
    <x v="9"/>
    <x v="0"/>
    <x v="0"/>
    <x v="0"/>
    <x v="7"/>
    <x v="72"/>
    <x v="622"/>
    <x v="174"/>
    <x v="380"/>
    <x v="6"/>
    <x v="56"/>
    <x v="132"/>
    <x v="0"/>
    <x v="7"/>
    <x v="1"/>
    <x v="4"/>
    <x v="0"/>
    <x v="0"/>
  </r>
  <r>
    <x v="879"/>
    <x v="11"/>
    <x v="570"/>
    <x v="0"/>
    <x v="8"/>
    <x v="4"/>
    <x v="0"/>
    <x v="171"/>
    <x v="9"/>
    <x v="0"/>
    <x v="0"/>
    <x v="0"/>
    <x v="7"/>
    <x v="56"/>
    <x v="895"/>
    <x v="351"/>
    <x v="111"/>
    <x v="1"/>
    <x v="49"/>
    <x v="131"/>
    <x v="0"/>
    <x v="7"/>
    <x v="1"/>
    <x v="4"/>
    <x v="2"/>
    <x v="0"/>
  </r>
  <r>
    <x v="347"/>
    <x v="2"/>
    <x v="350"/>
    <x v="0"/>
    <x v="7"/>
    <x v="4"/>
    <x v="0"/>
    <x v="31"/>
    <x v="9"/>
    <x v="0"/>
    <x v="0"/>
    <x v="0"/>
    <x v="7"/>
    <x v="20"/>
    <x v="685"/>
    <x v="159"/>
    <x v="362"/>
    <x v="6"/>
    <x v="16"/>
    <x v="130"/>
    <x v="0"/>
    <x v="7"/>
    <x v="1"/>
    <x v="4"/>
    <x v="0"/>
    <x v="0"/>
  </r>
  <r>
    <x v="615"/>
    <x v="5"/>
    <x v="480"/>
    <x v="0"/>
    <x v="6"/>
    <x v="4"/>
    <x v="0"/>
    <x v="84"/>
    <x v="9"/>
    <x v="0"/>
    <x v="0"/>
    <x v="0"/>
    <x v="7"/>
    <x v="215"/>
    <x v="711"/>
    <x v="135"/>
    <x v="460"/>
    <x v="3"/>
    <x v="26"/>
    <x v="129"/>
    <x v="0"/>
    <x v="7"/>
    <x v="1"/>
    <x v="4"/>
    <x v="1"/>
    <x v="0"/>
  </r>
  <r>
    <x v="175"/>
    <x v="1"/>
    <x v="561"/>
    <x v="0"/>
    <x v="4"/>
    <x v="4"/>
    <x v="0"/>
    <x v="14"/>
    <x v="9"/>
    <x v="0"/>
    <x v="0"/>
    <x v="0"/>
    <x v="7"/>
    <x v="107"/>
    <x v="424"/>
    <x v="791"/>
    <x v="204"/>
    <x v="6"/>
    <x v="35"/>
    <x v="128"/>
    <x v="0"/>
    <x v="7"/>
    <x v="1"/>
    <x v="4"/>
    <x v="0"/>
    <x v="0"/>
  </r>
  <r>
    <x v="721"/>
    <x v="6"/>
    <x v="517"/>
    <x v="0"/>
    <x v="6"/>
    <x v="4"/>
    <x v="0"/>
    <x v="101"/>
    <x v="9"/>
    <x v="0"/>
    <x v="0"/>
    <x v="0"/>
    <x v="7"/>
    <x v="219"/>
    <x v="441"/>
    <x v="783"/>
    <x v="204"/>
    <x v="6"/>
    <x v="35"/>
    <x v="127"/>
    <x v="0"/>
    <x v="7"/>
    <x v="1"/>
    <x v="4"/>
    <x v="1"/>
    <x v="0"/>
  </r>
  <r>
    <x v="731"/>
    <x v="6"/>
    <x v="298"/>
    <x v="0"/>
    <x v="6"/>
    <x v="4"/>
    <x v="0"/>
    <x v="101"/>
    <x v="9"/>
    <x v="0"/>
    <x v="0"/>
    <x v="0"/>
    <x v="6"/>
    <x v="278"/>
    <x v="425"/>
    <x v="763"/>
    <x v="197"/>
    <x v="6"/>
    <x v="35"/>
    <x v="126"/>
    <x v="0"/>
    <x v="6"/>
    <x v="1"/>
    <x v="4"/>
    <x v="1"/>
    <x v="0"/>
  </r>
  <r>
    <x v="444"/>
    <x v="3"/>
    <x v="409"/>
    <x v="0"/>
    <x v="4"/>
    <x v="4"/>
    <x v="0"/>
    <x v="49"/>
    <x v="9"/>
    <x v="0"/>
    <x v="0"/>
    <x v="0"/>
    <x v="7"/>
    <x v="293"/>
    <x v="144"/>
    <x v="41"/>
    <x v="141"/>
    <x v="6"/>
    <x v="56"/>
    <x v="125"/>
    <x v="0"/>
    <x v="7"/>
    <x v="1"/>
    <x v="4"/>
    <x v="0"/>
    <x v="0"/>
  </r>
  <r>
    <x v="836"/>
    <x v="9"/>
    <x v="139"/>
    <x v="0"/>
    <x v="6"/>
    <x v="4"/>
    <x v="0"/>
    <x v="144"/>
    <x v="9"/>
    <x v="0"/>
    <x v="0"/>
    <x v="0"/>
    <x v="7"/>
    <x v="287"/>
    <x v="406"/>
    <x v="753"/>
    <x v="197"/>
    <x v="6"/>
    <x v="35"/>
    <x v="124"/>
    <x v="0"/>
    <x v="7"/>
    <x v="1"/>
    <x v="4"/>
    <x v="1"/>
    <x v="0"/>
  </r>
  <r>
    <x v="494"/>
    <x v="3"/>
    <x v="81"/>
    <x v="0"/>
    <x v="6"/>
    <x v="4"/>
    <x v="0"/>
    <x v="49"/>
    <x v="9"/>
    <x v="0"/>
    <x v="0"/>
    <x v="0"/>
    <x v="7"/>
    <x v="228"/>
    <x v="202"/>
    <x v="235"/>
    <x v="79"/>
    <x v="5"/>
    <x v="37"/>
    <x v="123"/>
    <x v="0"/>
    <x v="7"/>
    <x v="1"/>
    <x v="4"/>
    <x v="0"/>
    <x v="0"/>
  </r>
  <r>
    <x v="295"/>
    <x v="1"/>
    <x v="897"/>
    <x v="0"/>
    <x v="6"/>
    <x v="4"/>
    <x v="0"/>
    <x v="14"/>
    <x v="9"/>
    <x v="0"/>
    <x v="0"/>
    <x v="0"/>
    <x v="6"/>
    <x v="44"/>
    <x v="781"/>
    <x v="399"/>
    <x v="328"/>
    <x v="1"/>
    <x v="19"/>
    <x v="122"/>
    <x v="0"/>
    <x v="6"/>
    <x v="1"/>
    <x v="4"/>
    <x v="0"/>
    <x v="0"/>
  </r>
  <r>
    <x v="589"/>
    <x v="4"/>
    <x v="657"/>
    <x v="0"/>
    <x v="5"/>
    <x v="4"/>
    <x v="0"/>
    <x v="67"/>
    <x v="9"/>
    <x v="0"/>
    <x v="0"/>
    <x v="0"/>
    <x v="7"/>
    <x v="130"/>
    <x v="940"/>
    <x v="27"/>
    <x v="12"/>
    <x v="3"/>
    <x v="53"/>
    <x v="121"/>
    <x v="0"/>
    <x v="7"/>
    <x v="1"/>
    <x v="4"/>
    <x v="0"/>
    <x v="0"/>
  </r>
  <r>
    <x v="536"/>
    <x v="4"/>
    <x v="228"/>
    <x v="0"/>
    <x v="4"/>
    <x v="4"/>
    <x v="0"/>
    <x v="67"/>
    <x v="9"/>
    <x v="0"/>
    <x v="0"/>
    <x v="0"/>
    <x v="7"/>
    <x v="189"/>
    <x v="944"/>
    <x v="846"/>
    <x v="492"/>
    <x v="6"/>
    <x v="56"/>
    <x v="120"/>
    <x v="0"/>
    <x v="7"/>
    <x v="1"/>
    <x v="4"/>
    <x v="0"/>
    <x v="0"/>
  </r>
  <r>
    <x v="726"/>
    <x v="6"/>
    <x v="104"/>
    <x v="0"/>
    <x v="5"/>
    <x v="4"/>
    <x v="0"/>
    <x v="101"/>
    <x v="9"/>
    <x v="0"/>
    <x v="0"/>
    <x v="0"/>
    <x v="7"/>
    <x v="130"/>
    <x v="593"/>
    <x v="529"/>
    <x v="446"/>
    <x v="6"/>
    <x v="56"/>
    <x v="119"/>
    <x v="0"/>
    <x v="7"/>
    <x v="1"/>
    <x v="4"/>
    <x v="1"/>
    <x v="0"/>
  </r>
  <r>
    <x v="174"/>
    <x v="1"/>
    <x v="103"/>
    <x v="0"/>
    <x v="6"/>
    <x v="4"/>
    <x v="0"/>
    <x v="14"/>
    <x v="9"/>
    <x v="0"/>
    <x v="0"/>
    <x v="0"/>
    <x v="7"/>
    <x v="130"/>
    <x v="767"/>
    <x v="370"/>
    <x v="175"/>
    <x v="1"/>
    <x v="21"/>
    <x v="118"/>
    <x v="0"/>
    <x v="7"/>
    <x v="1"/>
    <x v="4"/>
    <x v="0"/>
    <x v="0"/>
  </r>
  <r>
    <x v="793"/>
    <x v="8"/>
    <x v="159"/>
    <x v="0"/>
    <x v="6"/>
    <x v="4"/>
    <x v="0"/>
    <x v="129"/>
    <x v="9"/>
    <x v="0"/>
    <x v="0"/>
    <x v="0"/>
    <x v="7"/>
    <x v="230"/>
    <x v="259"/>
    <x v="903"/>
    <x v="433"/>
    <x v="6"/>
    <x v="56"/>
    <x v="117"/>
    <x v="0"/>
    <x v="7"/>
    <x v="1"/>
    <x v="4"/>
    <x v="1"/>
    <x v="0"/>
  </r>
  <r>
    <x v="204"/>
    <x v="1"/>
    <x v="891"/>
    <x v="0"/>
    <x v="5"/>
    <x v="4"/>
    <x v="0"/>
    <x v="14"/>
    <x v="9"/>
    <x v="0"/>
    <x v="0"/>
    <x v="0"/>
    <x v="7"/>
    <x v="211"/>
    <x v="956"/>
    <x v="64"/>
    <x v="306"/>
    <x v="3"/>
    <x v="53"/>
    <x v="116"/>
    <x v="0"/>
    <x v="7"/>
    <x v="1"/>
    <x v="4"/>
    <x v="0"/>
    <x v="0"/>
  </r>
  <r>
    <x v="620"/>
    <x v="5"/>
    <x v="618"/>
    <x v="0"/>
    <x v="6"/>
    <x v="4"/>
    <x v="0"/>
    <x v="84"/>
    <x v="9"/>
    <x v="0"/>
    <x v="0"/>
    <x v="0"/>
    <x v="7"/>
    <x v="253"/>
    <x v="449"/>
    <x v="798"/>
    <x v="204"/>
    <x v="6"/>
    <x v="35"/>
    <x v="115"/>
    <x v="0"/>
    <x v="7"/>
    <x v="1"/>
    <x v="4"/>
    <x v="1"/>
    <x v="0"/>
  </r>
  <r>
    <x v="443"/>
    <x v="3"/>
    <x v="887"/>
    <x v="0"/>
    <x v="4"/>
    <x v="4"/>
    <x v="0"/>
    <x v="49"/>
    <x v="9"/>
    <x v="0"/>
    <x v="0"/>
    <x v="0"/>
    <x v="7"/>
    <x v="282"/>
    <x v="141"/>
    <x v="42"/>
    <x v="141"/>
    <x v="6"/>
    <x v="56"/>
    <x v="114"/>
    <x v="0"/>
    <x v="7"/>
    <x v="1"/>
    <x v="3"/>
    <x v="0"/>
    <x v="0"/>
  </r>
  <r>
    <x v="906"/>
    <x v="12"/>
    <x v="946"/>
    <x v="0"/>
    <x v="6"/>
    <x v="4"/>
    <x v="0"/>
    <x v="183"/>
    <x v="9"/>
    <x v="0"/>
    <x v="0"/>
    <x v="0"/>
    <x v="7"/>
    <x v="130"/>
    <x v="509"/>
    <x v="556"/>
    <x v="244"/>
    <x v="6"/>
    <x v="20"/>
    <x v="113"/>
    <x v="0"/>
    <x v="7"/>
    <x v="1"/>
    <x v="3"/>
    <x v="2"/>
    <x v="0"/>
  </r>
  <r>
    <x v="647"/>
    <x v="5"/>
    <x v="274"/>
    <x v="0"/>
    <x v="6"/>
    <x v="4"/>
    <x v="0"/>
    <x v="84"/>
    <x v="9"/>
    <x v="0"/>
    <x v="0"/>
    <x v="0"/>
    <x v="7"/>
    <x v="130"/>
    <x v="353"/>
    <x v="610"/>
    <x v="239"/>
    <x v="6"/>
    <x v="20"/>
    <x v="112"/>
    <x v="0"/>
    <x v="7"/>
    <x v="1"/>
    <x v="3"/>
    <x v="1"/>
    <x v="0"/>
  </r>
  <r>
    <x v="370"/>
    <x v="2"/>
    <x v="273"/>
    <x v="0"/>
    <x v="5"/>
    <x v="4"/>
    <x v="0"/>
    <x v="31"/>
    <x v="9"/>
    <x v="0"/>
    <x v="0"/>
    <x v="0"/>
    <x v="7"/>
    <x v="130"/>
    <x v="351"/>
    <x v="611"/>
    <x v="239"/>
    <x v="6"/>
    <x v="20"/>
    <x v="111"/>
    <x v="0"/>
    <x v="7"/>
    <x v="1"/>
    <x v="3"/>
    <x v="0"/>
    <x v="0"/>
  </r>
  <r>
    <x v="287"/>
    <x v="1"/>
    <x v="914"/>
    <x v="0"/>
    <x v="4"/>
    <x v="4"/>
    <x v="0"/>
    <x v="14"/>
    <x v="9"/>
    <x v="0"/>
    <x v="0"/>
    <x v="0"/>
    <x v="6"/>
    <x v="288"/>
    <x v="324"/>
    <x v="501"/>
    <x v="444"/>
    <x v="6"/>
    <x v="20"/>
    <x v="110"/>
    <x v="0"/>
    <x v="6"/>
    <x v="1"/>
    <x v="3"/>
    <x v="0"/>
    <x v="0"/>
  </r>
  <r>
    <x v="275"/>
    <x v="1"/>
    <x v="94"/>
    <x v="0"/>
    <x v="5"/>
    <x v="4"/>
    <x v="0"/>
    <x v="14"/>
    <x v="9"/>
    <x v="0"/>
    <x v="0"/>
    <x v="0"/>
    <x v="7"/>
    <x v="107"/>
    <x v="88"/>
    <x v="247"/>
    <x v="102"/>
    <x v="6"/>
    <x v="9"/>
    <x v="109"/>
    <x v="0"/>
    <x v="7"/>
    <x v="1"/>
    <x v="3"/>
    <x v="0"/>
    <x v="0"/>
  </r>
  <r>
    <x v="439"/>
    <x v="3"/>
    <x v="52"/>
    <x v="0"/>
    <x v="4"/>
    <x v="4"/>
    <x v="0"/>
    <x v="49"/>
    <x v="9"/>
    <x v="0"/>
    <x v="0"/>
    <x v="0"/>
    <x v="7"/>
    <x v="178"/>
    <x v="594"/>
    <x v="584"/>
    <x v="355"/>
    <x v="6"/>
    <x v="20"/>
    <x v="108"/>
    <x v="0"/>
    <x v="7"/>
    <x v="1"/>
    <x v="3"/>
    <x v="0"/>
    <x v="0"/>
  </r>
  <r>
    <x v="757"/>
    <x v="7"/>
    <x v="117"/>
    <x v="0"/>
    <x v="6"/>
    <x v="4"/>
    <x v="0"/>
    <x v="115"/>
    <x v="9"/>
    <x v="0"/>
    <x v="0"/>
    <x v="0"/>
    <x v="7"/>
    <x v="130"/>
    <x v="531"/>
    <x v="184"/>
    <x v="38"/>
    <x v="5"/>
    <x v="12"/>
    <x v="107"/>
    <x v="0"/>
    <x v="7"/>
    <x v="1"/>
    <x v="3"/>
    <x v="1"/>
    <x v="0"/>
  </r>
  <r>
    <x v="359"/>
    <x v="2"/>
    <x v="934"/>
    <x v="0"/>
    <x v="5"/>
    <x v="4"/>
    <x v="0"/>
    <x v="31"/>
    <x v="9"/>
    <x v="0"/>
    <x v="0"/>
    <x v="0"/>
    <x v="7"/>
    <x v="130"/>
    <x v="494"/>
    <x v="660"/>
    <x v="8"/>
    <x v="6"/>
    <x v="20"/>
    <x v="106"/>
    <x v="0"/>
    <x v="7"/>
    <x v="1"/>
    <x v="3"/>
    <x v="0"/>
    <x v="0"/>
  </r>
  <r>
    <x v="658"/>
    <x v="5"/>
    <x v="565"/>
    <x v="0"/>
    <x v="6"/>
    <x v="4"/>
    <x v="0"/>
    <x v="84"/>
    <x v="9"/>
    <x v="0"/>
    <x v="0"/>
    <x v="0"/>
    <x v="7"/>
    <x v="20"/>
    <x v="490"/>
    <x v="682"/>
    <x v="16"/>
    <x v="6"/>
    <x v="35"/>
    <x v="105"/>
    <x v="0"/>
    <x v="7"/>
    <x v="1"/>
    <x v="3"/>
    <x v="1"/>
    <x v="0"/>
  </r>
  <r>
    <x v="661"/>
    <x v="5"/>
    <x v="523"/>
    <x v="0"/>
    <x v="6"/>
    <x v="4"/>
    <x v="0"/>
    <x v="84"/>
    <x v="9"/>
    <x v="0"/>
    <x v="0"/>
    <x v="0"/>
    <x v="7"/>
    <x v="249"/>
    <x v="273"/>
    <x v="890"/>
    <x v="226"/>
    <x v="6"/>
    <x v="42"/>
    <x v="104"/>
    <x v="0"/>
    <x v="7"/>
    <x v="1"/>
    <x v="3"/>
    <x v="1"/>
    <x v="0"/>
  </r>
  <r>
    <x v="224"/>
    <x v="1"/>
    <x v="960"/>
    <x v="0"/>
    <x v="5"/>
    <x v="4"/>
    <x v="0"/>
    <x v="14"/>
    <x v="9"/>
    <x v="0"/>
    <x v="0"/>
    <x v="0"/>
    <x v="6"/>
    <x v="130"/>
    <x v="839"/>
    <x v="382"/>
    <x v="389"/>
    <x v="1"/>
    <x v="0"/>
    <x v="103"/>
    <x v="0"/>
    <x v="6"/>
    <x v="1"/>
    <x v="3"/>
    <x v="0"/>
    <x v="0"/>
  </r>
  <r>
    <x v="228"/>
    <x v="1"/>
    <x v="725"/>
    <x v="0"/>
    <x v="7"/>
    <x v="4"/>
    <x v="0"/>
    <x v="14"/>
    <x v="9"/>
    <x v="0"/>
    <x v="0"/>
    <x v="0"/>
    <x v="6"/>
    <x v="94"/>
    <x v="192"/>
    <x v="299"/>
    <x v="276"/>
    <x v="5"/>
    <x v="5"/>
    <x v="102"/>
    <x v="0"/>
    <x v="6"/>
    <x v="1"/>
    <x v="3"/>
    <x v="0"/>
    <x v="0"/>
  </r>
  <r>
    <x v="333"/>
    <x v="2"/>
    <x v="695"/>
    <x v="0"/>
    <x v="5"/>
    <x v="4"/>
    <x v="0"/>
    <x v="31"/>
    <x v="9"/>
    <x v="0"/>
    <x v="0"/>
    <x v="0"/>
    <x v="6"/>
    <x v="130"/>
    <x v="541"/>
    <x v="507"/>
    <x v="337"/>
    <x v="6"/>
    <x v="20"/>
    <x v="101"/>
    <x v="0"/>
    <x v="6"/>
    <x v="1"/>
    <x v="3"/>
    <x v="0"/>
    <x v="0"/>
  </r>
  <r>
    <x v="170"/>
    <x v="1"/>
    <x v="416"/>
    <x v="0"/>
    <x v="5"/>
    <x v="4"/>
    <x v="0"/>
    <x v="14"/>
    <x v="9"/>
    <x v="0"/>
    <x v="0"/>
    <x v="0"/>
    <x v="7"/>
    <x v="202"/>
    <x v="427"/>
    <x v="774"/>
    <x v="204"/>
    <x v="6"/>
    <x v="35"/>
    <x v="100"/>
    <x v="0"/>
    <x v="7"/>
    <x v="1"/>
    <x v="3"/>
    <x v="0"/>
    <x v="0"/>
  </r>
  <r>
    <x v="852"/>
    <x v="10"/>
    <x v="87"/>
    <x v="0"/>
    <x v="4"/>
    <x v="4"/>
    <x v="0"/>
    <x v="157"/>
    <x v="9"/>
    <x v="0"/>
    <x v="0"/>
    <x v="0"/>
    <x v="6"/>
    <x v="130"/>
    <x v="732"/>
    <x v="564"/>
    <x v="162"/>
    <x v="6"/>
    <x v="56"/>
    <x v="99"/>
    <x v="0"/>
    <x v="6"/>
    <x v="1"/>
    <x v="3"/>
    <x v="2"/>
    <x v="0"/>
  </r>
  <r>
    <x v="249"/>
    <x v="1"/>
    <x v="80"/>
    <x v="0"/>
    <x v="4"/>
    <x v="4"/>
    <x v="0"/>
    <x v="14"/>
    <x v="9"/>
    <x v="0"/>
    <x v="0"/>
    <x v="0"/>
    <x v="7"/>
    <x v="295"/>
    <x v="326"/>
    <x v="220"/>
    <x v="398"/>
    <x v="5"/>
    <x v="37"/>
    <x v="98"/>
    <x v="0"/>
    <x v="7"/>
    <x v="1"/>
    <x v="3"/>
    <x v="0"/>
    <x v="0"/>
  </r>
  <r>
    <x v="673"/>
    <x v="5"/>
    <x v="9"/>
    <x v="0"/>
    <x v="5"/>
    <x v="4"/>
    <x v="0"/>
    <x v="84"/>
    <x v="9"/>
    <x v="0"/>
    <x v="0"/>
    <x v="0"/>
    <x v="7"/>
    <x v="187"/>
    <x v="535"/>
    <x v="453"/>
    <x v="345"/>
    <x v="6"/>
    <x v="20"/>
    <x v="97"/>
    <x v="0"/>
    <x v="7"/>
    <x v="1"/>
    <x v="3"/>
    <x v="1"/>
    <x v="0"/>
  </r>
  <r>
    <x v="264"/>
    <x v="1"/>
    <x v="442"/>
    <x v="0"/>
    <x v="7"/>
    <x v="4"/>
    <x v="0"/>
    <x v="14"/>
    <x v="9"/>
    <x v="0"/>
    <x v="0"/>
    <x v="0"/>
    <x v="7"/>
    <x v="16"/>
    <x v="779"/>
    <x v="372"/>
    <x v="194"/>
    <x v="1"/>
    <x v="21"/>
    <x v="96"/>
    <x v="0"/>
    <x v="7"/>
    <x v="1"/>
    <x v="3"/>
    <x v="0"/>
    <x v="0"/>
  </r>
  <r>
    <x v="716"/>
    <x v="6"/>
    <x v="951"/>
    <x v="0"/>
    <x v="6"/>
    <x v="4"/>
    <x v="0"/>
    <x v="101"/>
    <x v="9"/>
    <x v="0"/>
    <x v="0"/>
    <x v="0"/>
    <x v="7"/>
    <x v="154"/>
    <x v="104"/>
    <x v="285"/>
    <x v="25"/>
    <x v="5"/>
    <x v="9"/>
    <x v="95"/>
    <x v="0"/>
    <x v="7"/>
    <x v="1"/>
    <x v="3"/>
    <x v="1"/>
    <x v="0"/>
  </r>
  <r>
    <x v="342"/>
    <x v="2"/>
    <x v="370"/>
    <x v="0"/>
    <x v="5"/>
    <x v="4"/>
    <x v="0"/>
    <x v="31"/>
    <x v="9"/>
    <x v="0"/>
    <x v="0"/>
    <x v="0"/>
    <x v="7"/>
    <x v="93"/>
    <x v="214"/>
    <x v="2"/>
    <x v="218"/>
    <x v="6"/>
    <x v="14"/>
    <x v="94"/>
    <x v="0"/>
    <x v="7"/>
    <x v="1"/>
    <x v="3"/>
    <x v="0"/>
    <x v="0"/>
  </r>
  <r>
    <x v="255"/>
    <x v="1"/>
    <x v="369"/>
    <x v="0"/>
    <x v="6"/>
    <x v="4"/>
    <x v="0"/>
    <x v="14"/>
    <x v="9"/>
    <x v="0"/>
    <x v="0"/>
    <x v="0"/>
    <x v="7"/>
    <x v="135"/>
    <x v="64"/>
    <x v="257"/>
    <x v="326"/>
    <x v="5"/>
    <x v="9"/>
    <x v="93"/>
    <x v="0"/>
    <x v="7"/>
    <x v="1"/>
    <x v="3"/>
    <x v="0"/>
    <x v="0"/>
  </r>
  <r>
    <x v="164"/>
    <x v="1"/>
    <x v="282"/>
    <x v="0"/>
    <x v="5"/>
    <x v="4"/>
    <x v="0"/>
    <x v="14"/>
    <x v="9"/>
    <x v="0"/>
    <x v="0"/>
    <x v="0"/>
    <x v="7"/>
    <x v="130"/>
    <x v="676"/>
    <x v="149"/>
    <x v="399"/>
    <x v="6"/>
    <x v="16"/>
    <x v="92"/>
    <x v="0"/>
    <x v="7"/>
    <x v="1"/>
    <x v="3"/>
    <x v="0"/>
    <x v="0"/>
  </r>
  <r>
    <x v="744"/>
    <x v="7"/>
    <x v="747"/>
    <x v="0"/>
    <x v="5"/>
    <x v="4"/>
    <x v="0"/>
    <x v="115"/>
    <x v="9"/>
    <x v="0"/>
    <x v="0"/>
    <x v="0"/>
    <x v="7"/>
    <x v="309"/>
    <x v="412"/>
    <x v="743"/>
    <x v="126"/>
    <x v="6"/>
    <x v="35"/>
    <x v="91"/>
    <x v="0"/>
    <x v="7"/>
    <x v="1"/>
    <x v="2"/>
    <x v="1"/>
    <x v="0"/>
  </r>
  <r>
    <x v="921"/>
    <x v="13"/>
    <x v="154"/>
    <x v="0"/>
    <x v="6"/>
    <x v="4"/>
    <x v="0"/>
    <x v="197"/>
    <x v="9"/>
    <x v="0"/>
    <x v="0"/>
    <x v="0"/>
    <x v="7"/>
    <x v="130"/>
    <x v="966"/>
    <x v="863"/>
    <x v="482"/>
    <x v="1"/>
    <x v="39"/>
    <x v="90"/>
    <x v="0"/>
    <x v="7"/>
    <x v="1"/>
    <x v="2"/>
    <x v="2"/>
    <x v="0"/>
  </r>
  <r>
    <x v="676"/>
    <x v="5"/>
    <x v="833"/>
    <x v="0"/>
    <x v="5"/>
    <x v="4"/>
    <x v="0"/>
    <x v="84"/>
    <x v="9"/>
    <x v="0"/>
    <x v="0"/>
    <x v="0"/>
    <x v="7"/>
    <x v="94"/>
    <x v="556"/>
    <x v="535"/>
    <x v="134"/>
    <x v="6"/>
    <x v="20"/>
    <x v="89"/>
    <x v="0"/>
    <x v="7"/>
    <x v="1"/>
    <x v="2"/>
    <x v="1"/>
    <x v="0"/>
  </r>
  <r>
    <x v="218"/>
    <x v="1"/>
    <x v="610"/>
    <x v="0"/>
    <x v="6"/>
    <x v="4"/>
    <x v="0"/>
    <x v="14"/>
    <x v="9"/>
    <x v="0"/>
    <x v="0"/>
    <x v="0"/>
    <x v="7"/>
    <x v="130"/>
    <x v="851"/>
    <x v="337"/>
    <x v="236"/>
    <x v="2"/>
    <x v="56"/>
    <x v="88"/>
    <x v="0"/>
    <x v="7"/>
    <x v="1"/>
    <x v="2"/>
    <x v="0"/>
    <x v="0"/>
  </r>
  <r>
    <x v="653"/>
    <x v="5"/>
    <x v="496"/>
    <x v="0"/>
    <x v="5"/>
    <x v="4"/>
    <x v="0"/>
    <x v="84"/>
    <x v="9"/>
    <x v="0"/>
    <x v="0"/>
    <x v="0"/>
    <x v="7"/>
    <x v="264"/>
    <x v="226"/>
    <x v="924"/>
    <x v="359"/>
    <x v="6"/>
    <x v="54"/>
    <x v="87"/>
    <x v="0"/>
    <x v="7"/>
    <x v="1"/>
    <x v="2"/>
    <x v="1"/>
    <x v="0"/>
  </r>
  <r>
    <x v="24"/>
    <x v="0"/>
    <x v="272"/>
    <x v="0"/>
    <x v="3"/>
    <x v="4"/>
    <x v="0"/>
    <x v="0"/>
    <x v="9"/>
    <x v="0"/>
    <x v="0"/>
    <x v="0"/>
    <x v="6"/>
    <x v="307"/>
    <x v="668"/>
    <x v="156"/>
    <x v="406"/>
    <x v="6"/>
    <x v="13"/>
    <x v="86"/>
    <x v="0"/>
    <x v="6"/>
    <x v="1"/>
    <x v="2"/>
    <x v="0"/>
    <x v="0"/>
  </r>
  <r>
    <x v="868"/>
    <x v="10"/>
    <x v="243"/>
    <x v="0"/>
    <x v="6"/>
    <x v="4"/>
    <x v="0"/>
    <x v="157"/>
    <x v="9"/>
    <x v="0"/>
    <x v="0"/>
    <x v="0"/>
    <x v="7"/>
    <x v="130"/>
    <x v="808"/>
    <x v="407"/>
    <x v="495"/>
    <x v="1"/>
    <x v="36"/>
    <x v="85"/>
    <x v="0"/>
    <x v="7"/>
    <x v="1"/>
    <x v="2"/>
    <x v="2"/>
    <x v="0"/>
  </r>
  <r>
    <x v="765"/>
    <x v="7"/>
    <x v="918"/>
    <x v="0"/>
    <x v="6"/>
    <x v="4"/>
    <x v="0"/>
    <x v="115"/>
    <x v="9"/>
    <x v="0"/>
    <x v="0"/>
    <x v="0"/>
    <x v="7"/>
    <x v="251"/>
    <x v="457"/>
    <x v="205"/>
    <x v="50"/>
    <x v="5"/>
    <x v="37"/>
    <x v="84"/>
    <x v="0"/>
    <x v="7"/>
    <x v="1"/>
    <x v="2"/>
    <x v="1"/>
    <x v="0"/>
  </r>
  <r>
    <x v="717"/>
    <x v="6"/>
    <x v="491"/>
    <x v="0"/>
    <x v="6"/>
    <x v="4"/>
    <x v="0"/>
    <x v="101"/>
    <x v="9"/>
    <x v="0"/>
    <x v="0"/>
    <x v="0"/>
    <x v="7"/>
    <x v="193"/>
    <x v="65"/>
    <x v="263"/>
    <x v="281"/>
    <x v="5"/>
    <x v="9"/>
    <x v="83"/>
    <x v="0"/>
    <x v="7"/>
    <x v="1"/>
    <x v="2"/>
    <x v="1"/>
    <x v="0"/>
  </r>
  <r>
    <x v="922"/>
    <x v="13"/>
    <x v="465"/>
    <x v="0"/>
    <x v="6"/>
    <x v="4"/>
    <x v="0"/>
    <x v="197"/>
    <x v="9"/>
    <x v="0"/>
    <x v="0"/>
    <x v="0"/>
    <x v="6"/>
    <x v="299"/>
    <x v="129"/>
    <x v="37"/>
    <x v="141"/>
    <x v="6"/>
    <x v="56"/>
    <x v="82"/>
    <x v="0"/>
    <x v="6"/>
    <x v="1"/>
    <x v="2"/>
    <x v="2"/>
    <x v="0"/>
  </r>
  <r>
    <x v="41"/>
    <x v="0"/>
    <x v="182"/>
    <x v="0"/>
    <x v="4"/>
    <x v="4"/>
    <x v="0"/>
    <x v="0"/>
    <x v="9"/>
    <x v="0"/>
    <x v="0"/>
    <x v="0"/>
    <x v="6"/>
    <x v="242"/>
    <x v="626"/>
    <x v="568"/>
    <x v="450"/>
    <x v="6"/>
    <x v="38"/>
    <x v="81"/>
    <x v="0"/>
    <x v="6"/>
    <x v="1"/>
    <x v="2"/>
    <x v="0"/>
    <x v="0"/>
  </r>
  <r>
    <x v="464"/>
    <x v="3"/>
    <x v="51"/>
    <x v="0"/>
    <x v="4"/>
    <x v="4"/>
    <x v="0"/>
    <x v="49"/>
    <x v="9"/>
    <x v="0"/>
    <x v="0"/>
    <x v="0"/>
    <x v="6"/>
    <x v="320"/>
    <x v="583"/>
    <x v="211"/>
    <x v="387"/>
    <x v="5"/>
    <x v="10"/>
    <x v="80"/>
    <x v="0"/>
    <x v="6"/>
    <x v="1"/>
    <x v="2"/>
    <x v="0"/>
    <x v="0"/>
  </r>
  <r>
    <x v="273"/>
    <x v="1"/>
    <x v="937"/>
    <x v="0"/>
    <x v="5"/>
    <x v="4"/>
    <x v="0"/>
    <x v="14"/>
    <x v="9"/>
    <x v="0"/>
    <x v="0"/>
    <x v="0"/>
    <x v="7"/>
    <x v="88"/>
    <x v="481"/>
    <x v="716"/>
    <x v="23"/>
    <x v="6"/>
    <x v="35"/>
    <x v="79"/>
    <x v="0"/>
    <x v="7"/>
    <x v="1"/>
    <x v="2"/>
    <x v="0"/>
    <x v="0"/>
  </r>
  <r>
    <x v="575"/>
    <x v="4"/>
    <x v="632"/>
    <x v="0"/>
    <x v="5"/>
    <x v="4"/>
    <x v="0"/>
    <x v="67"/>
    <x v="9"/>
    <x v="0"/>
    <x v="0"/>
    <x v="0"/>
    <x v="6"/>
    <x v="130"/>
    <x v="690"/>
    <x v="132"/>
    <x v="119"/>
    <x v="3"/>
    <x v="26"/>
    <x v="78"/>
    <x v="0"/>
    <x v="6"/>
    <x v="1"/>
    <x v="2"/>
    <x v="0"/>
    <x v="0"/>
  </r>
  <r>
    <x v="644"/>
    <x v="5"/>
    <x v="263"/>
    <x v="0"/>
    <x v="7"/>
    <x v="4"/>
    <x v="0"/>
    <x v="84"/>
    <x v="9"/>
    <x v="0"/>
    <x v="0"/>
    <x v="0"/>
    <x v="7"/>
    <x v="71"/>
    <x v="632"/>
    <x v="301"/>
    <x v="84"/>
    <x v="6"/>
    <x v="55"/>
    <x v="77"/>
    <x v="0"/>
    <x v="7"/>
    <x v="1"/>
    <x v="2"/>
    <x v="1"/>
    <x v="0"/>
  </r>
  <r>
    <x v="489"/>
    <x v="3"/>
    <x v="174"/>
    <x v="0"/>
    <x v="5"/>
    <x v="4"/>
    <x v="0"/>
    <x v="49"/>
    <x v="9"/>
    <x v="0"/>
    <x v="0"/>
    <x v="0"/>
    <x v="7"/>
    <x v="65"/>
    <x v="74"/>
    <x v="244"/>
    <x v="102"/>
    <x v="6"/>
    <x v="56"/>
    <x v="76"/>
    <x v="0"/>
    <x v="7"/>
    <x v="1"/>
    <x v="2"/>
    <x v="0"/>
    <x v="0"/>
  </r>
  <r>
    <x v="96"/>
    <x v="0"/>
    <x v="724"/>
    <x v="0"/>
    <x v="5"/>
    <x v="4"/>
    <x v="0"/>
    <x v="0"/>
    <x v="9"/>
    <x v="0"/>
    <x v="0"/>
    <x v="0"/>
    <x v="7"/>
    <x v="215"/>
    <x v="715"/>
    <x v="123"/>
    <x v="95"/>
    <x v="3"/>
    <x v="26"/>
    <x v="75"/>
    <x v="0"/>
    <x v="7"/>
    <x v="1"/>
    <x v="2"/>
    <x v="0"/>
    <x v="0"/>
  </r>
  <r>
    <x v="523"/>
    <x v="3"/>
    <x v="694"/>
    <x v="0"/>
    <x v="5"/>
    <x v="4"/>
    <x v="0"/>
    <x v="49"/>
    <x v="9"/>
    <x v="0"/>
    <x v="0"/>
    <x v="0"/>
    <x v="7"/>
    <x v="190"/>
    <x v="155"/>
    <x v="950"/>
    <x v="161"/>
    <x v="6"/>
    <x v="56"/>
    <x v="74"/>
    <x v="0"/>
    <x v="7"/>
    <x v="1"/>
    <x v="2"/>
    <x v="0"/>
    <x v="0"/>
  </r>
  <r>
    <x v="100"/>
    <x v="0"/>
    <x v="415"/>
    <x v="0"/>
    <x v="3"/>
    <x v="4"/>
    <x v="0"/>
    <x v="0"/>
    <x v="9"/>
    <x v="0"/>
    <x v="0"/>
    <x v="0"/>
    <x v="6"/>
    <x v="318"/>
    <x v="825"/>
    <x v="387"/>
    <x v="174"/>
    <x v="1"/>
    <x v="0"/>
    <x v="73"/>
    <x v="0"/>
    <x v="6"/>
    <x v="1"/>
    <x v="2"/>
    <x v="0"/>
    <x v="0"/>
  </r>
  <r>
    <x v="809"/>
    <x v="8"/>
    <x v="297"/>
    <x v="0"/>
    <x v="8"/>
    <x v="4"/>
    <x v="0"/>
    <x v="129"/>
    <x v="9"/>
    <x v="0"/>
    <x v="0"/>
    <x v="0"/>
    <x v="6"/>
    <x v="20"/>
    <x v="798"/>
    <x v="375"/>
    <x v="377"/>
    <x v="1"/>
    <x v="21"/>
    <x v="72"/>
    <x v="0"/>
    <x v="6"/>
    <x v="1"/>
    <x v="2"/>
    <x v="1"/>
    <x v="0"/>
  </r>
  <r>
    <x v="93"/>
    <x v="0"/>
    <x v="753"/>
    <x v="0"/>
    <x v="5"/>
    <x v="4"/>
    <x v="0"/>
    <x v="0"/>
    <x v="9"/>
    <x v="0"/>
    <x v="0"/>
    <x v="0"/>
    <x v="7"/>
    <x v="237"/>
    <x v="671"/>
    <x v="724"/>
    <x v="498"/>
    <x v="6"/>
    <x v="56"/>
    <x v="71"/>
    <x v="0"/>
    <x v="7"/>
    <x v="1"/>
    <x v="2"/>
    <x v="0"/>
    <x v="0"/>
  </r>
  <r>
    <x v="351"/>
    <x v="2"/>
    <x v="723"/>
    <x v="0"/>
    <x v="6"/>
    <x v="4"/>
    <x v="0"/>
    <x v="31"/>
    <x v="9"/>
    <x v="0"/>
    <x v="0"/>
    <x v="0"/>
    <x v="6"/>
    <x v="2"/>
    <x v="637"/>
    <x v="307"/>
    <x v="419"/>
    <x v="6"/>
    <x v="48"/>
    <x v="70"/>
    <x v="0"/>
    <x v="6"/>
    <x v="1"/>
    <x v="2"/>
    <x v="0"/>
    <x v="0"/>
  </r>
  <r>
    <x v="902"/>
    <x v="12"/>
    <x v="691"/>
    <x v="0"/>
    <x v="5"/>
    <x v="4"/>
    <x v="0"/>
    <x v="183"/>
    <x v="9"/>
    <x v="0"/>
    <x v="0"/>
    <x v="0"/>
    <x v="7"/>
    <x v="130"/>
    <x v="261"/>
    <x v="902"/>
    <x v="433"/>
    <x v="6"/>
    <x v="56"/>
    <x v="69"/>
    <x v="0"/>
    <x v="7"/>
    <x v="1"/>
    <x v="2"/>
    <x v="2"/>
    <x v="0"/>
  </r>
  <r>
    <x v="95"/>
    <x v="0"/>
    <x v="138"/>
    <x v="0"/>
    <x v="5"/>
    <x v="4"/>
    <x v="0"/>
    <x v="0"/>
    <x v="9"/>
    <x v="0"/>
    <x v="0"/>
    <x v="0"/>
    <x v="7"/>
    <x v="213"/>
    <x v="371"/>
    <x v="741"/>
    <x v="126"/>
    <x v="6"/>
    <x v="35"/>
    <x v="68"/>
    <x v="0"/>
    <x v="7"/>
    <x v="1"/>
    <x v="2"/>
    <x v="0"/>
    <x v="0"/>
  </r>
  <r>
    <x v="534"/>
    <x v="4"/>
    <x v="331"/>
    <x v="0"/>
    <x v="4"/>
    <x v="4"/>
    <x v="0"/>
    <x v="67"/>
    <x v="9"/>
    <x v="0"/>
    <x v="0"/>
    <x v="0"/>
    <x v="6"/>
    <x v="20"/>
    <x v="614"/>
    <x v="600"/>
    <x v="198"/>
    <x v="6"/>
    <x v="56"/>
    <x v="67"/>
    <x v="0"/>
    <x v="6"/>
    <x v="1"/>
    <x v="2"/>
    <x v="0"/>
    <x v="0"/>
  </r>
  <r>
    <x v="708"/>
    <x v="6"/>
    <x v="873"/>
    <x v="0"/>
    <x v="5"/>
    <x v="4"/>
    <x v="0"/>
    <x v="101"/>
    <x v="9"/>
    <x v="0"/>
    <x v="0"/>
    <x v="0"/>
    <x v="7"/>
    <x v="130"/>
    <x v="778"/>
    <x v="381"/>
    <x v="139"/>
    <x v="1"/>
    <x v="33"/>
    <x v="66"/>
    <x v="0"/>
    <x v="7"/>
    <x v="1"/>
    <x v="2"/>
    <x v="1"/>
    <x v="0"/>
  </r>
  <r>
    <x v="160"/>
    <x v="0"/>
    <x v="102"/>
    <x v="0"/>
    <x v="7"/>
    <x v="4"/>
    <x v="0"/>
    <x v="0"/>
    <x v="9"/>
    <x v="0"/>
    <x v="0"/>
    <x v="0"/>
    <x v="7"/>
    <x v="20"/>
    <x v="852"/>
    <x v="371"/>
    <x v="478"/>
    <x v="1"/>
    <x v="21"/>
    <x v="65"/>
    <x v="0"/>
    <x v="7"/>
    <x v="1"/>
    <x v="2"/>
    <x v="0"/>
    <x v="0"/>
  </r>
  <r>
    <x v="762"/>
    <x v="7"/>
    <x v="322"/>
    <x v="0"/>
    <x v="6"/>
    <x v="4"/>
    <x v="0"/>
    <x v="115"/>
    <x v="9"/>
    <x v="0"/>
    <x v="0"/>
    <x v="0"/>
    <x v="6"/>
    <x v="130"/>
    <x v="706"/>
    <x v="120"/>
    <x v="121"/>
    <x v="3"/>
    <x v="26"/>
    <x v="64"/>
    <x v="0"/>
    <x v="6"/>
    <x v="1"/>
    <x v="2"/>
    <x v="1"/>
    <x v="0"/>
  </r>
  <r>
    <x v="27"/>
    <x v="0"/>
    <x v="746"/>
    <x v="0"/>
    <x v="3"/>
    <x v="4"/>
    <x v="0"/>
    <x v="0"/>
    <x v="9"/>
    <x v="0"/>
    <x v="0"/>
    <x v="0"/>
    <x v="7"/>
    <x v="337"/>
    <x v="911"/>
    <x v="661"/>
    <x v="165"/>
    <x v="6"/>
    <x v="56"/>
    <x v="63"/>
    <x v="0"/>
    <x v="7"/>
    <x v="1"/>
    <x v="1"/>
    <x v="0"/>
    <x v="0"/>
  </r>
  <r>
    <x v="349"/>
    <x v="2"/>
    <x v="59"/>
    <x v="0"/>
    <x v="5"/>
    <x v="4"/>
    <x v="0"/>
    <x v="31"/>
    <x v="9"/>
    <x v="0"/>
    <x v="0"/>
    <x v="0"/>
    <x v="7"/>
    <x v="176"/>
    <x v="786"/>
    <x v="627"/>
    <x v="275"/>
    <x v="1"/>
    <x v="23"/>
    <x v="62"/>
    <x v="0"/>
    <x v="7"/>
    <x v="1"/>
    <x v="1"/>
    <x v="0"/>
    <x v="0"/>
  </r>
  <r>
    <x v="538"/>
    <x v="4"/>
    <x v="646"/>
    <x v="0"/>
    <x v="6"/>
    <x v="4"/>
    <x v="0"/>
    <x v="67"/>
    <x v="9"/>
    <x v="0"/>
    <x v="0"/>
    <x v="0"/>
    <x v="7"/>
    <x v="130"/>
    <x v="810"/>
    <x v="398"/>
    <x v="461"/>
    <x v="1"/>
    <x v="36"/>
    <x v="61"/>
    <x v="0"/>
    <x v="7"/>
    <x v="1"/>
    <x v="1"/>
    <x v="0"/>
    <x v="0"/>
  </r>
  <r>
    <x v="911"/>
    <x v="12"/>
    <x v="395"/>
    <x v="0"/>
    <x v="6"/>
    <x v="4"/>
    <x v="0"/>
    <x v="183"/>
    <x v="9"/>
    <x v="0"/>
    <x v="0"/>
    <x v="0"/>
    <x v="7"/>
    <x v="130"/>
    <x v="228"/>
    <x v="212"/>
    <x v="88"/>
    <x v="6"/>
    <x v="37"/>
    <x v="60"/>
    <x v="0"/>
    <x v="7"/>
    <x v="1"/>
    <x v="1"/>
    <x v="2"/>
    <x v="0"/>
  </r>
  <r>
    <x v="388"/>
    <x v="2"/>
    <x v="641"/>
    <x v="0"/>
    <x v="6"/>
    <x v="4"/>
    <x v="0"/>
    <x v="31"/>
    <x v="9"/>
    <x v="0"/>
    <x v="0"/>
    <x v="0"/>
    <x v="7"/>
    <x v="82"/>
    <x v="787"/>
    <x v="628"/>
    <x v="275"/>
    <x v="1"/>
    <x v="23"/>
    <x v="59"/>
    <x v="0"/>
    <x v="7"/>
    <x v="1"/>
    <x v="1"/>
    <x v="0"/>
    <x v="0"/>
  </r>
  <r>
    <x v="209"/>
    <x v="1"/>
    <x v="609"/>
    <x v="0"/>
    <x v="6"/>
    <x v="4"/>
    <x v="0"/>
    <x v="14"/>
    <x v="9"/>
    <x v="0"/>
    <x v="0"/>
    <x v="0"/>
    <x v="7"/>
    <x v="20"/>
    <x v="782"/>
    <x v="625"/>
    <x v="308"/>
    <x v="1"/>
    <x v="23"/>
    <x v="58"/>
    <x v="0"/>
    <x v="7"/>
    <x v="1"/>
    <x v="1"/>
    <x v="0"/>
    <x v="0"/>
  </r>
  <r>
    <x v="515"/>
    <x v="3"/>
    <x v="464"/>
    <x v="0"/>
    <x v="5"/>
    <x v="4"/>
    <x v="0"/>
    <x v="49"/>
    <x v="9"/>
    <x v="0"/>
    <x v="0"/>
    <x v="0"/>
    <x v="7"/>
    <x v="94"/>
    <x v="348"/>
    <x v="825"/>
    <x v="341"/>
    <x v="6"/>
    <x v="42"/>
    <x v="57"/>
    <x v="0"/>
    <x v="7"/>
    <x v="1"/>
    <x v="1"/>
    <x v="0"/>
    <x v="0"/>
  </r>
  <r>
    <x v="478"/>
    <x v="3"/>
    <x v="269"/>
    <x v="0"/>
    <x v="5"/>
    <x v="4"/>
    <x v="0"/>
    <x v="49"/>
    <x v="9"/>
    <x v="0"/>
    <x v="0"/>
    <x v="0"/>
    <x v="7"/>
    <x v="130"/>
    <x v="804"/>
    <x v="356"/>
    <x v="342"/>
    <x v="1"/>
    <x v="56"/>
    <x v="56"/>
    <x v="0"/>
    <x v="7"/>
    <x v="1"/>
    <x v="1"/>
    <x v="0"/>
    <x v="0"/>
  </r>
  <r>
    <x v="225"/>
    <x v="1"/>
    <x v="674"/>
    <x v="0"/>
    <x v="5"/>
    <x v="4"/>
    <x v="0"/>
    <x v="14"/>
    <x v="9"/>
    <x v="0"/>
    <x v="0"/>
    <x v="0"/>
    <x v="7"/>
    <x v="130"/>
    <x v="623"/>
    <x v="573"/>
    <x v="104"/>
    <x v="6"/>
    <x v="38"/>
    <x v="55"/>
    <x v="0"/>
    <x v="7"/>
    <x v="1"/>
    <x v="1"/>
    <x v="0"/>
    <x v="0"/>
  </r>
  <r>
    <x v="217"/>
    <x v="1"/>
    <x v="673"/>
    <x v="0"/>
    <x v="5"/>
    <x v="4"/>
    <x v="0"/>
    <x v="14"/>
    <x v="9"/>
    <x v="0"/>
    <x v="0"/>
    <x v="0"/>
    <x v="7"/>
    <x v="130"/>
    <x v="624"/>
    <x v="572"/>
    <x v="104"/>
    <x v="6"/>
    <x v="38"/>
    <x v="54"/>
    <x v="0"/>
    <x v="7"/>
    <x v="1"/>
    <x v="1"/>
    <x v="0"/>
    <x v="0"/>
  </r>
  <r>
    <x v="507"/>
    <x v="3"/>
    <x v="146"/>
    <x v="0"/>
    <x v="5"/>
    <x v="4"/>
    <x v="0"/>
    <x v="49"/>
    <x v="9"/>
    <x v="0"/>
    <x v="0"/>
    <x v="0"/>
    <x v="7"/>
    <x v="72"/>
    <x v="729"/>
    <x v="527"/>
    <x v="144"/>
    <x v="6"/>
    <x v="44"/>
    <x v="53"/>
    <x v="0"/>
    <x v="7"/>
    <x v="1"/>
    <x v="1"/>
    <x v="0"/>
    <x v="0"/>
  </r>
  <r>
    <x v="585"/>
    <x v="4"/>
    <x v="49"/>
    <x v="0"/>
    <x v="5"/>
    <x v="4"/>
    <x v="0"/>
    <x v="67"/>
    <x v="9"/>
    <x v="0"/>
    <x v="0"/>
    <x v="0"/>
    <x v="7"/>
    <x v="130"/>
    <x v="286"/>
    <x v="860"/>
    <x v="199"/>
    <x v="6"/>
    <x v="42"/>
    <x v="52"/>
    <x v="0"/>
    <x v="7"/>
    <x v="1"/>
    <x v="1"/>
    <x v="0"/>
    <x v="0"/>
  </r>
  <r>
    <x v="640"/>
    <x v="5"/>
    <x v="732"/>
    <x v="0"/>
    <x v="5"/>
    <x v="4"/>
    <x v="0"/>
    <x v="84"/>
    <x v="9"/>
    <x v="0"/>
    <x v="0"/>
    <x v="0"/>
    <x v="7"/>
    <x v="130"/>
    <x v="552"/>
    <x v="515"/>
    <x v="337"/>
    <x v="6"/>
    <x v="20"/>
    <x v="51"/>
    <x v="0"/>
    <x v="7"/>
    <x v="1"/>
    <x v="1"/>
    <x v="1"/>
    <x v="0"/>
  </r>
  <r>
    <x v="215"/>
    <x v="1"/>
    <x v="522"/>
    <x v="0"/>
    <x v="5"/>
    <x v="4"/>
    <x v="0"/>
    <x v="14"/>
    <x v="9"/>
    <x v="0"/>
    <x v="0"/>
    <x v="0"/>
    <x v="6"/>
    <x v="130"/>
    <x v="553"/>
    <x v="512"/>
    <x v="337"/>
    <x v="6"/>
    <x v="20"/>
    <x v="50"/>
    <x v="0"/>
    <x v="6"/>
    <x v="1"/>
    <x v="1"/>
    <x v="0"/>
    <x v="0"/>
  </r>
  <r>
    <x v="467"/>
    <x v="3"/>
    <x v="485"/>
    <x v="0"/>
    <x v="5"/>
    <x v="4"/>
    <x v="0"/>
    <x v="49"/>
    <x v="9"/>
    <x v="0"/>
    <x v="0"/>
    <x v="0"/>
    <x v="6"/>
    <x v="61"/>
    <x v="703"/>
    <x v="125"/>
    <x v="106"/>
    <x v="3"/>
    <x v="26"/>
    <x v="49"/>
    <x v="0"/>
    <x v="6"/>
    <x v="1"/>
    <x v="1"/>
    <x v="0"/>
    <x v="0"/>
  </r>
  <r>
    <x v="940"/>
    <x v="14"/>
    <x v="562"/>
    <x v="0"/>
    <x v="3"/>
    <x v="4"/>
    <x v="0"/>
    <x v="208"/>
    <x v="9"/>
    <x v="0"/>
    <x v="0"/>
    <x v="0"/>
    <x v="7"/>
    <x v="374"/>
    <x v="347"/>
    <x v="537"/>
    <x v="262"/>
    <x v="6"/>
    <x v="20"/>
    <x v="48"/>
    <x v="0"/>
    <x v="7"/>
    <x v="1"/>
    <x v="1"/>
    <x v="2"/>
    <x v="0"/>
  </r>
  <r>
    <x v="728"/>
    <x v="6"/>
    <x v="348"/>
    <x v="0"/>
    <x v="5"/>
    <x v="4"/>
    <x v="0"/>
    <x v="101"/>
    <x v="9"/>
    <x v="0"/>
    <x v="0"/>
    <x v="0"/>
    <x v="7"/>
    <x v="130"/>
    <x v="652"/>
    <x v="560"/>
    <x v="334"/>
    <x v="6"/>
    <x v="38"/>
    <x v="47"/>
    <x v="0"/>
    <x v="7"/>
    <x v="1"/>
    <x v="1"/>
    <x v="1"/>
    <x v="0"/>
  </r>
  <r>
    <x v="807"/>
    <x v="8"/>
    <x v="305"/>
    <x v="0"/>
    <x v="6"/>
    <x v="4"/>
    <x v="0"/>
    <x v="129"/>
    <x v="9"/>
    <x v="0"/>
    <x v="0"/>
    <x v="0"/>
    <x v="7"/>
    <x v="104"/>
    <x v="936"/>
    <x v="36"/>
    <x v="12"/>
    <x v="3"/>
    <x v="53"/>
    <x v="46"/>
    <x v="0"/>
    <x v="7"/>
    <x v="1"/>
    <x v="1"/>
    <x v="1"/>
    <x v="0"/>
  </r>
  <r>
    <x v="948"/>
    <x v="14"/>
    <x v="304"/>
    <x v="0"/>
    <x v="6"/>
    <x v="4"/>
    <x v="0"/>
    <x v="208"/>
    <x v="9"/>
    <x v="0"/>
    <x v="0"/>
    <x v="0"/>
    <x v="7"/>
    <x v="130"/>
    <x v="939"/>
    <x v="28"/>
    <x v="12"/>
    <x v="3"/>
    <x v="53"/>
    <x v="45"/>
    <x v="0"/>
    <x v="7"/>
    <x v="1"/>
    <x v="1"/>
    <x v="2"/>
    <x v="0"/>
  </r>
  <r>
    <x v="399"/>
    <x v="2"/>
    <x v="303"/>
    <x v="0"/>
    <x v="3"/>
    <x v="4"/>
    <x v="0"/>
    <x v="31"/>
    <x v="9"/>
    <x v="0"/>
    <x v="0"/>
    <x v="0"/>
    <x v="7"/>
    <x v="321"/>
    <x v="251"/>
    <x v="911"/>
    <x v="433"/>
    <x v="6"/>
    <x v="54"/>
    <x v="44"/>
    <x v="0"/>
    <x v="7"/>
    <x v="1"/>
    <x v="1"/>
    <x v="0"/>
    <x v="0"/>
  </r>
  <r>
    <x v="768"/>
    <x v="7"/>
    <x v="927"/>
    <x v="0"/>
    <x v="5"/>
    <x v="4"/>
    <x v="0"/>
    <x v="115"/>
    <x v="9"/>
    <x v="0"/>
    <x v="0"/>
    <x v="0"/>
    <x v="7"/>
    <x v="163"/>
    <x v="369"/>
    <x v="819"/>
    <x v="341"/>
    <x v="6"/>
    <x v="35"/>
    <x v="43"/>
    <x v="0"/>
    <x v="7"/>
    <x v="1"/>
    <x v="1"/>
    <x v="1"/>
    <x v="0"/>
  </r>
  <r>
    <x v="250"/>
    <x v="1"/>
    <x v="624"/>
    <x v="0"/>
    <x v="6"/>
    <x v="4"/>
    <x v="0"/>
    <x v="14"/>
    <x v="9"/>
    <x v="0"/>
    <x v="0"/>
    <x v="0"/>
    <x v="6"/>
    <x v="177"/>
    <x v="103"/>
    <x v="288"/>
    <x v="25"/>
    <x v="5"/>
    <x v="9"/>
    <x v="42"/>
    <x v="0"/>
    <x v="6"/>
    <x v="1"/>
    <x v="1"/>
    <x v="0"/>
    <x v="0"/>
  </r>
  <r>
    <x v="386"/>
    <x v="2"/>
    <x v="557"/>
    <x v="0"/>
    <x v="4"/>
    <x v="4"/>
    <x v="0"/>
    <x v="31"/>
    <x v="9"/>
    <x v="0"/>
    <x v="0"/>
    <x v="0"/>
    <x v="7"/>
    <x v="294"/>
    <x v="236"/>
    <x v="921"/>
    <x v="359"/>
    <x v="6"/>
    <x v="54"/>
    <x v="41"/>
    <x v="0"/>
    <x v="7"/>
    <x v="1"/>
    <x v="1"/>
    <x v="0"/>
    <x v="0"/>
  </r>
  <r>
    <x v="373"/>
    <x v="2"/>
    <x v="76"/>
    <x v="0"/>
    <x v="5"/>
    <x v="4"/>
    <x v="0"/>
    <x v="31"/>
    <x v="9"/>
    <x v="0"/>
    <x v="0"/>
    <x v="0"/>
    <x v="7"/>
    <x v="130"/>
    <x v="645"/>
    <x v="166"/>
    <x v="491"/>
    <x v="6"/>
    <x v="32"/>
    <x v="40"/>
    <x v="0"/>
    <x v="7"/>
    <x v="1"/>
    <x v="1"/>
    <x v="0"/>
    <x v="0"/>
  </r>
  <r>
    <x v="244"/>
    <x v="1"/>
    <x v="75"/>
    <x v="0"/>
    <x v="5"/>
    <x v="4"/>
    <x v="0"/>
    <x v="14"/>
    <x v="9"/>
    <x v="0"/>
    <x v="0"/>
    <x v="0"/>
    <x v="7"/>
    <x v="130"/>
    <x v="643"/>
    <x v="165"/>
    <x v="256"/>
    <x v="6"/>
    <x v="56"/>
    <x v="39"/>
    <x v="0"/>
    <x v="7"/>
    <x v="1"/>
    <x v="1"/>
    <x v="0"/>
    <x v="0"/>
  </r>
  <r>
    <x v="704"/>
    <x v="6"/>
    <x v="809"/>
    <x v="0"/>
    <x v="6"/>
    <x v="4"/>
    <x v="0"/>
    <x v="101"/>
    <x v="9"/>
    <x v="0"/>
    <x v="0"/>
    <x v="0"/>
    <x v="5"/>
    <x v="80"/>
    <x v="688"/>
    <x v="133"/>
    <x v="412"/>
    <x v="3"/>
    <x v="26"/>
    <x v="38"/>
    <x v="0"/>
    <x v="5"/>
    <x v="1"/>
    <x v="1"/>
    <x v="1"/>
    <x v="0"/>
  </r>
  <r>
    <x v="843"/>
    <x v="10"/>
    <x v="687"/>
    <x v="0"/>
    <x v="5"/>
    <x v="4"/>
    <x v="0"/>
    <x v="157"/>
    <x v="9"/>
    <x v="0"/>
    <x v="0"/>
    <x v="0"/>
    <x v="5"/>
    <x v="20"/>
    <x v="303"/>
    <x v="189"/>
    <x v="371"/>
    <x v="6"/>
    <x v="37"/>
    <x v="37"/>
    <x v="0"/>
    <x v="5"/>
    <x v="1"/>
    <x v="1"/>
    <x v="2"/>
    <x v="0"/>
  </r>
  <r>
    <x v="69"/>
    <x v="0"/>
    <x v="556"/>
    <x v="0"/>
    <x v="5"/>
    <x v="4"/>
    <x v="0"/>
    <x v="0"/>
    <x v="9"/>
    <x v="0"/>
    <x v="0"/>
    <x v="0"/>
    <x v="5"/>
    <x v="126"/>
    <x v="524"/>
    <x v="646"/>
    <x v="60"/>
    <x v="6"/>
    <x v="20"/>
    <x v="36"/>
    <x v="0"/>
    <x v="5"/>
    <x v="1"/>
    <x v="1"/>
    <x v="0"/>
    <x v="0"/>
  </r>
  <r>
    <x v="114"/>
    <x v="0"/>
    <x v="555"/>
    <x v="0"/>
    <x v="5"/>
    <x v="4"/>
    <x v="0"/>
    <x v="0"/>
    <x v="9"/>
    <x v="0"/>
    <x v="0"/>
    <x v="0"/>
    <x v="5"/>
    <x v="67"/>
    <x v="534"/>
    <x v="645"/>
    <x v="158"/>
    <x v="6"/>
    <x v="20"/>
    <x v="35"/>
    <x v="0"/>
    <x v="5"/>
    <x v="1"/>
    <x v="1"/>
    <x v="0"/>
    <x v="0"/>
  </r>
  <r>
    <x v="960"/>
    <x v="16"/>
    <x v="554"/>
    <x v="0"/>
    <x v="7"/>
    <x v="4"/>
    <x v="0"/>
    <x v="227"/>
    <x v="7"/>
    <x v="0"/>
    <x v="0"/>
    <x v="0"/>
    <x v="8"/>
    <x v="130"/>
    <x v="525"/>
    <x v="651"/>
    <x v="60"/>
    <x v="6"/>
    <x v="56"/>
    <x v="34"/>
    <x v="0"/>
    <x v="8"/>
    <x v="1"/>
    <x v="1"/>
    <x v="3"/>
    <x v="0"/>
  </r>
  <r>
    <x v="329"/>
    <x v="2"/>
    <x v="504"/>
    <x v="0"/>
    <x v="3"/>
    <x v="4"/>
    <x v="0"/>
    <x v="31"/>
    <x v="9"/>
    <x v="0"/>
    <x v="0"/>
    <x v="0"/>
    <x v="5"/>
    <x v="151"/>
    <x v="844"/>
    <x v="692"/>
    <x v="291"/>
    <x v="6"/>
    <x v="56"/>
    <x v="33"/>
    <x v="0"/>
    <x v="5"/>
    <x v="1"/>
    <x v="1"/>
    <x v="0"/>
    <x v="0"/>
  </r>
  <r>
    <x v="750"/>
    <x v="7"/>
    <x v="192"/>
    <x v="0"/>
    <x v="5"/>
    <x v="4"/>
    <x v="0"/>
    <x v="115"/>
    <x v="9"/>
    <x v="0"/>
    <x v="0"/>
    <x v="0"/>
    <x v="5"/>
    <x v="155"/>
    <x v="914"/>
    <x v="755"/>
    <x v="212"/>
    <x v="6"/>
    <x v="56"/>
    <x v="32"/>
    <x v="0"/>
    <x v="5"/>
    <x v="1"/>
    <x v="1"/>
    <x v="1"/>
    <x v="0"/>
  </r>
  <r>
    <x v="254"/>
    <x v="1"/>
    <x v="72"/>
    <x v="0"/>
    <x v="9"/>
    <x v="4"/>
    <x v="0"/>
    <x v="14"/>
    <x v="9"/>
    <x v="0"/>
    <x v="0"/>
    <x v="0"/>
    <x v="5"/>
    <x v="23"/>
    <x v="754"/>
    <x v="468"/>
    <x v="233"/>
    <x v="1"/>
    <x v="36"/>
    <x v="31"/>
    <x v="0"/>
    <x v="5"/>
    <x v="1"/>
    <x v="1"/>
    <x v="0"/>
    <x v="0"/>
  </r>
  <r>
    <x v="168"/>
    <x v="1"/>
    <x v="1"/>
    <x v="0"/>
    <x v="6"/>
    <x v="4"/>
    <x v="0"/>
    <x v="14"/>
    <x v="9"/>
    <x v="0"/>
    <x v="0"/>
    <x v="0"/>
    <x v="4"/>
    <x v="130"/>
    <x v="958"/>
    <x v="848"/>
    <x v="497"/>
    <x v="1"/>
    <x v="39"/>
    <x v="30"/>
    <x v="0"/>
    <x v="4"/>
    <x v="1"/>
    <x v="1"/>
    <x v="0"/>
    <x v="0"/>
  </r>
  <r>
    <x v="941"/>
    <x v="14"/>
    <x v="0"/>
    <x v="0"/>
    <x v="7"/>
    <x v="4"/>
    <x v="0"/>
    <x v="208"/>
    <x v="9"/>
    <x v="0"/>
    <x v="0"/>
    <x v="0"/>
    <x v="5"/>
    <x v="94"/>
    <x v="547"/>
    <x v="511"/>
    <x v="337"/>
    <x v="6"/>
    <x v="20"/>
    <x v="29"/>
    <x v="0"/>
    <x v="5"/>
    <x v="1"/>
    <x v="1"/>
    <x v="2"/>
    <x v="0"/>
  </r>
  <r>
    <x v="711"/>
    <x v="6"/>
    <x v="840"/>
    <x v="0"/>
    <x v="5"/>
    <x v="4"/>
    <x v="0"/>
    <x v="101"/>
    <x v="9"/>
    <x v="0"/>
    <x v="0"/>
    <x v="0"/>
    <x v="5"/>
    <x v="280"/>
    <x v="354"/>
    <x v="612"/>
    <x v="239"/>
    <x v="6"/>
    <x v="20"/>
    <x v="28"/>
    <x v="0"/>
    <x v="5"/>
    <x v="1"/>
    <x v="0"/>
    <x v="1"/>
    <x v="0"/>
  </r>
  <r>
    <x v="26"/>
    <x v="0"/>
    <x v="651"/>
    <x v="0"/>
    <x v="5"/>
    <x v="4"/>
    <x v="0"/>
    <x v="0"/>
    <x v="9"/>
    <x v="0"/>
    <x v="0"/>
    <x v="0"/>
    <x v="6"/>
    <x v="206"/>
    <x v="475"/>
    <x v="664"/>
    <x v="8"/>
    <x v="6"/>
    <x v="20"/>
    <x v="27"/>
    <x v="0"/>
    <x v="6"/>
    <x v="1"/>
    <x v="0"/>
    <x v="0"/>
    <x v="0"/>
  </r>
  <r>
    <x v="938"/>
    <x v="14"/>
    <x v="100"/>
    <x v="0"/>
    <x v="5"/>
    <x v="4"/>
    <x v="0"/>
    <x v="208"/>
    <x v="9"/>
    <x v="0"/>
    <x v="0"/>
    <x v="0"/>
    <x v="5"/>
    <x v="130"/>
    <x v="913"/>
    <x v="751"/>
    <x v="212"/>
    <x v="6"/>
    <x v="56"/>
    <x v="26"/>
    <x v="0"/>
    <x v="5"/>
    <x v="1"/>
    <x v="0"/>
    <x v="2"/>
    <x v="0"/>
  </r>
  <r>
    <x v="755"/>
    <x v="7"/>
    <x v="742"/>
    <x v="0"/>
    <x v="8"/>
    <x v="4"/>
    <x v="0"/>
    <x v="115"/>
    <x v="9"/>
    <x v="0"/>
    <x v="0"/>
    <x v="0"/>
    <x v="5"/>
    <x v="20"/>
    <x v="771"/>
    <x v="358"/>
    <x v="316"/>
    <x v="1"/>
    <x v="41"/>
    <x v="25"/>
    <x v="0"/>
    <x v="5"/>
    <x v="1"/>
    <x v="0"/>
    <x v="1"/>
    <x v="0"/>
  </r>
  <r>
    <x v="406"/>
    <x v="2"/>
    <x v="30"/>
    <x v="0"/>
    <x v="6"/>
    <x v="4"/>
    <x v="0"/>
    <x v="31"/>
    <x v="9"/>
    <x v="0"/>
    <x v="0"/>
    <x v="0"/>
    <x v="5"/>
    <x v="71"/>
    <x v="89"/>
    <x v="256"/>
    <x v="484"/>
    <x v="6"/>
    <x v="9"/>
    <x v="24"/>
    <x v="0"/>
    <x v="5"/>
    <x v="1"/>
    <x v="0"/>
    <x v="0"/>
    <x v="0"/>
  </r>
  <r>
    <x v="747"/>
    <x v="7"/>
    <x v="709"/>
    <x v="0"/>
    <x v="5"/>
    <x v="4"/>
    <x v="0"/>
    <x v="115"/>
    <x v="9"/>
    <x v="0"/>
    <x v="0"/>
    <x v="0"/>
    <x v="5"/>
    <x v="292"/>
    <x v="696"/>
    <x v="142"/>
    <x v="319"/>
    <x v="6"/>
    <x v="26"/>
    <x v="23"/>
    <x v="0"/>
    <x v="5"/>
    <x v="1"/>
    <x v="0"/>
    <x v="1"/>
    <x v="0"/>
  </r>
  <r>
    <x v="503"/>
    <x v="3"/>
    <x v="640"/>
    <x v="0"/>
    <x v="5"/>
    <x v="4"/>
    <x v="0"/>
    <x v="49"/>
    <x v="9"/>
    <x v="0"/>
    <x v="0"/>
    <x v="0"/>
    <x v="5"/>
    <x v="69"/>
    <x v="763"/>
    <x v="621"/>
    <x v="294"/>
    <x v="6"/>
    <x v="56"/>
    <x v="22"/>
    <x v="0"/>
    <x v="5"/>
    <x v="1"/>
    <x v="0"/>
    <x v="0"/>
    <x v="0"/>
  </r>
  <r>
    <x v="729"/>
    <x v="6"/>
    <x v="608"/>
    <x v="0"/>
    <x v="5"/>
    <x v="4"/>
    <x v="0"/>
    <x v="101"/>
    <x v="9"/>
    <x v="0"/>
    <x v="0"/>
    <x v="0"/>
    <x v="5"/>
    <x v="113"/>
    <x v="761"/>
    <x v="622"/>
    <x v="294"/>
    <x v="6"/>
    <x v="56"/>
    <x v="21"/>
    <x v="0"/>
    <x v="5"/>
    <x v="1"/>
    <x v="0"/>
    <x v="1"/>
    <x v="0"/>
  </r>
  <r>
    <x v="956"/>
    <x v="15"/>
    <x v="268"/>
    <x v="0"/>
    <x v="7"/>
    <x v="4"/>
    <x v="0"/>
    <x v="218"/>
    <x v="9"/>
    <x v="0"/>
    <x v="0"/>
    <x v="0"/>
    <x v="5"/>
    <x v="130"/>
    <x v="720"/>
    <x v="116"/>
    <x v="120"/>
    <x v="3"/>
    <x v="26"/>
    <x v="20"/>
    <x v="0"/>
    <x v="5"/>
    <x v="1"/>
    <x v="0"/>
    <x v="3"/>
    <x v="0"/>
  </r>
  <r>
    <x v="486"/>
    <x v="3"/>
    <x v="181"/>
    <x v="0"/>
    <x v="6"/>
    <x v="4"/>
    <x v="0"/>
    <x v="49"/>
    <x v="9"/>
    <x v="0"/>
    <x v="0"/>
    <x v="0"/>
    <x v="5"/>
    <x v="130"/>
    <x v="510"/>
    <x v="479"/>
    <x v="445"/>
    <x v="6"/>
    <x v="20"/>
    <x v="19"/>
    <x v="0"/>
    <x v="5"/>
    <x v="1"/>
    <x v="0"/>
    <x v="0"/>
    <x v="0"/>
  </r>
  <r>
    <x v="99"/>
    <x v="0"/>
    <x v="98"/>
    <x v="0"/>
    <x v="6"/>
    <x v="4"/>
    <x v="0"/>
    <x v="0"/>
    <x v="9"/>
    <x v="0"/>
    <x v="0"/>
    <x v="0"/>
    <x v="5"/>
    <x v="55"/>
    <x v="492"/>
    <x v="195"/>
    <x v="440"/>
    <x v="5"/>
    <x v="12"/>
    <x v="18"/>
    <x v="0"/>
    <x v="5"/>
    <x v="1"/>
    <x v="0"/>
    <x v="0"/>
    <x v="0"/>
  </r>
  <r>
    <x v="657"/>
    <x v="5"/>
    <x v="97"/>
    <x v="0"/>
    <x v="6"/>
    <x v="4"/>
    <x v="0"/>
    <x v="84"/>
    <x v="9"/>
    <x v="0"/>
    <x v="0"/>
    <x v="0"/>
    <x v="5"/>
    <x v="96"/>
    <x v="493"/>
    <x v="194"/>
    <x v="440"/>
    <x v="5"/>
    <x v="12"/>
    <x v="17"/>
    <x v="0"/>
    <x v="5"/>
    <x v="1"/>
    <x v="0"/>
    <x v="1"/>
    <x v="0"/>
  </r>
  <r>
    <x v="129"/>
    <x v="0"/>
    <x v="769"/>
    <x v="0"/>
    <x v="4"/>
    <x v="4"/>
    <x v="0"/>
    <x v="0"/>
    <x v="9"/>
    <x v="0"/>
    <x v="0"/>
    <x v="0"/>
    <x v="6"/>
    <x v="195"/>
    <x v="289"/>
    <x v="191"/>
    <x v="344"/>
    <x v="6"/>
    <x v="37"/>
    <x v="16"/>
    <x v="0"/>
    <x v="6"/>
    <x v="1"/>
    <x v="0"/>
    <x v="0"/>
    <x v="0"/>
  </r>
  <r>
    <x v="831"/>
    <x v="9"/>
    <x v="462"/>
    <x v="0"/>
    <x v="6"/>
    <x v="4"/>
    <x v="0"/>
    <x v="144"/>
    <x v="9"/>
    <x v="0"/>
    <x v="0"/>
    <x v="0"/>
    <x v="6"/>
    <x v="92"/>
    <x v="695"/>
    <x v="129"/>
    <x v="35"/>
    <x v="3"/>
    <x v="26"/>
    <x v="15"/>
    <x v="0"/>
    <x v="6"/>
    <x v="1"/>
    <x v="0"/>
    <x v="1"/>
    <x v="0"/>
  </r>
  <r>
    <x v="297"/>
    <x v="1"/>
    <x v="911"/>
    <x v="0"/>
    <x v="4"/>
    <x v="4"/>
    <x v="0"/>
    <x v="14"/>
    <x v="9"/>
    <x v="0"/>
    <x v="0"/>
    <x v="0"/>
    <x v="6"/>
    <x v="28"/>
    <x v="751"/>
    <x v="112"/>
    <x v="123"/>
    <x v="6"/>
    <x v="56"/>
    <x v="14"/>
    <x v="0"/>
    <x v="6"/>
    <x v="1"/>
    <x v="0"/>
    <x v="0"/>
    <x v="0"/>
  </r>
  <r>
    <x v="277"/>
    <x v="1"/>
    <x v="635"/>
    <x v="0"/>
    <x v="5"/>
    <x v="4"/>
    <x v="0"/>
    <x v="14"/>
    <x v="9"/>
    <x v="0"/>
    <x v="0"/>
    <x v="0"/>
    <x v="5"/>
    <x v="259"/>
    <x v="590"/>
    <x v="213"/>
    <x v="298"/>
    <x v="5"/>
    <x v="10"/>
    <x v="13"/>
    <x v="0"/>
    <x v="5"/>
    <x v="1"/>
    <x v="0"/>
    <x v="0"/>
    <x v="0"/>
  </r>
  <r>
    <x v="748"/>
    <x v="7"/>
    <x v="531"/>
    <x v="0"/>
    <x v="5"/>
    <x v="4"/>
    <x v="0"/>
    <x v="115"/>
    <x v="9"/>
    <x v="0"/>
    <x v="0"/>
    <x v="0"/>
    <x v="5"/>
    <x v="130"/>
    <x v="399"/>
    <x v="812"/>
    <x v="341"/>
    <x v="6"/>
    <x v="56"/>
    <x v="12"/>
    <x v="0"/>
    <x v="5"/>
    <x v="1"/>
    <x v="0"/>
    <x v="1"/>
    <x v="0"/>
  </r>
  <r>
    <x v="213"/>
    <x v="1"/>
    <x v="530"/>
    <x v="0"/>
    <x v="3"/>
    <x v="4"/>
    <x v="0"/>
    <x v="14"/>
    <x v="9"/>
    <x v="0"/>
    <x v="0"/>
    <x v="0"/>
    <x v="5"/>
    <x v="63"/>
    <x v="417"/>
    <x v="807"/>
    <x v="204"/>
    <x v="6"/>
    <x v="56"/>
    <x v="11"/>
    <x v="0"/>
    <x v="5"/>
    <x v="1"/>
    <x v="0"/>
    <x v="0"/>
    <x v="0"/>
  </r>
  <r>
    <x v="899"/>
    <x v="12"/>
    <x v="529"/>
    <x v="0"/>
    <x v="5"/>
    <x v="4"/>
    <x v="0"/>
    <x v="183"/>
    <x v="9"/>
    <x v="0"/>
    <x v="0"/>
    <x v="0"/>
    <x v="5"/>
    <x v="123"/>
    <x v="398"/>
    <x v="811"/>
    <x v="341"/>
    <x v="6"/>
    <x v="56"/>
    <x v="10"/>
    <x v="0"/>
    <x v="5"/>
    <x v="1"/>
    <x v="0"/>
    <x v="2"/>
    <x v="0"/>
  </r>
  <r>
    <x v="421"/>
    <x v="2"/>
    <x v="456"/>
    <x v="0"/>
    <x v="5"/>
    <x v="4"/>
    <x v="0"/>
    <x v="31"/>
    <x v="9"/>
    <x v="0"/>
    <x v="0"/>
    <x v="0"/>
    <x v="5"/>
    <x v="269"/>
    <x v="436"/>
    <x v="773"/>
    <x v="204"/>
    <x v="6"/>
    <x v="35"/>
    <x v="9"/>
    <x v="0"/>
    <x v="5"/>
    <x v="1"/>
    <x v="0"/>
    <x v="0"/>
    <x v="0"/>
  </r>
  <r>
    <x v="953"/>
    <x v="15"/>
    <x v="963"/>
    <x v="0"/>
    <x v="7"/>
    <x v="4"/>
    <x v="0"/>
    <x v="218"/>
    <x v="9"/>
    <x v="0"/>
    <x v="0"/>
    <x v="0"/>
    <x v="5"/>
    <x v="166"/>
    <x v="109"/>
    <x v="283"/>
    <x v="25"/>
    <x v="5"/>
    <x v="9"/>
    <x v="8"/>
    <x v="0"/>
    <x v="5"/>
    <x v="1"/>
    <x v="0"/>
    <x v="3"/>
    <x v="0"/>
  </r>
  <r>
    <x v="454"/>
    <x v="3"/>
    <x v="349"/>
    <x v="0"/>
    <x v="7"/>
    <x v="4"/>
    <x v="0"/>
    <x v="49"/>
    <x v="9"/>
    <x v="0"/>
    <x v="0"/>
    <x v="0"/>
    <x v="5"/>
    <x v="30"/>
    <x v="730"/>
    <x v="452"/>
    <x v="170"/>
    <x v="1"/>
    <x v="29"/>
    <x v="7"/>
    <x v="0"/>
    <x v="5"/>
    <x v="1"/>
    <x v="0"/>
    <x v="0"/>
    <x v="0"/>
  </r>
  <r>
    <x v="162"/>
    <x v="1"/>
    <x v="931"/>
    <x v="0"/>
    <x v="4"/>
    <x v="4"/>
    <x v="0"/>
    <x v="14"/>
    <x v="9"/>
    <x v="0"/>
    <x v="0"/>
    <x v="0"/>
    <x v="5"/>
    <x v="279"/>
    <x v="171"/>
    <x v="950"/>
    <x v="161"/>
    <x v="6"/>
    <x v="54"/>
    <x v="6"/>
    <x v="0"/>
    <x v="5"/>
    <x v="1"/>
    <x v="0"/>
    <x v="0"/>
    <x v="0"/>
  </r>
  <r>
    <x v="122"/>
    <x v="0"/>
    <x v="479"/>
    <x v="0"/>
    <x v="6"/>
    <x v="4"/>
    <x v="0"/>
    <x v="0"/>
    <x v="9"/>
    <x v="0"/>
    <x v="0"/>
    <x v="0"/>
    <x v="5"/>
    <x v="39"/>
    <x v="869"/>
    <x v="341"/>
    <x v="129"/>
    <x v="2"/>
    <x v="15"/>
    <x v="5"/>
    <x v="0"/>
    <x v="5"/>
    <x v="1"/>
    <x v="0"/>
    <x v="0"/>
    <x v="0"/>
  </r>
  <r>
    <x v="730"/>
    <x v="6"/>
    <x v="877"/>
    <x v="0"/>
    <x v="8"/>
    <x v="4"/>
    <x v="0"/>
    <x v="101"/>
    <x v="9"/>
    <x v="0"/>
    <x v="0"/>
    <x v="0"/>
    <x v="6"/>
    <x v="22"/>
    <x v="951"/>
    <x v="704"/>
    <x v="477"/>
    <x v="1"/>
    <x v="39"/>
    <x v="4"/>
    <x v="0"/>
    <x v="6"/>
    <x v="1"/>
    <x v="0"/>
    <x v="1"/>
    <x v="0"/>
  </r>
  <r>
    <x v="905"/>
    <x v="12"/>
    <x v="516"/>
    <x v="0"/>
    <x v="3"/>
    <x v="4"/>
    <x v="0"/>
    <x v="183"/>
    <x v="9"/>
    <x v="0"/>
    <x v="0"/>
    <x v="0"/>
    <x v="5"/>
    <x v="74"/>
    <x v="118"/>
    <x v="957"/>
    <x v="489"/>
    <x v="6"/>
    <x v="56"/>
    <x v="3"/>
    <x v="0"/>
    <x v="5"/>
    <x v="1"/>
    <x v="0"/>
    <x v="2"/>
    <x v="0"/>
  </r>
  <r>
    <x v="566"/>
    <x v="4"/>
    <x v="447"/>
    <x v="0"/>
    <x v="5"/>
    <x v="4"/>
    <x v="0"/>
    <x v="67"/>
    <x v="9"/>
    <x v="0"/>
    <x v="0"/>
    <x v="0"/>
    <x v="5"/>
    <x v="25"/>
    <x v="316"/>
    <x v="559"/>
    <x v="261"/>
    <x v="6"/>
    <x v="20"/>
    <x v="2"/>
    <x v="0"/>
    <x v="5"/>
    <x v="1"/>
    <x v="0"/>
    <x v="0"/>
    <x v="0"/>
  </r>
  <r>
    <x v="165"/>
    <x v="1"/>
    <x v="414"/>
    <x v="0"/>
    <x v="8"/>
    <x v="4"/>
    <x v="0"/>
    <x v="14"/>
    <x v="9"/>
    <x v="0"/>
    <x v="0"/>
    <x v="0"/>
    <x v="5"/>
    <x v="37"/>
    <x v="888"/>
    <x v="339"/>
    <x v="15"/>
    <x v="2"/>
    <x v="15"/>
    <x v="1"/>
    <x v="0"/>
    <x v="5"/>
    <x v="1"/>
    <x v="0"/>
    <x v="0"/>
    <x v="0"/>
  </r>
  <r>
    <x v="693"/>
    <x v="6"/>
    <x v="141"/>
    <x v="0"/>
    <x v="6"/>
    <x v="4"/>
    <x v="0"/>
    <x v="101"/>
    <x v="9"/>
    <x v="0"/>
    <x v="0"/>
    <x v="0"/>
    <x v="5"/>
    <x v="49"/>
    <x v="653"/>
    <x v="563"/>
    <x v="77"/>
    <x v="6"/>
    <x v="38"/>
    <x v="0"/>
    <x v="0"/>
    <x v="5"/>
    <x v="1"/>
    <x v="0"/>
    <x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AlertPivotNative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2:B38" firstHeaderRow="1" firstDataRow="1" firstDataCol="1"/>
  <pivotFields count="26"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5"/>
    </i>
  </rowItems>
  <colItems count="1">
    <i t="grand" r="0" i="0">
      <x v="0"/>
    </i>
  </colItems>
  <dataFields count="1">
    <dataField name="Count - title" fld="0" subtotal="count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MagTypePivotNative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E32:F42" firstHeaderRow="1" firstDataRow="1" firstDataCol="1"/>
  <pivotFields count="26"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21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9"/>
    </i>
  </rowItems>
  <colItems count="1">
    <i t="grand" r="0" i="0">
      <x v="0"/>
    </i>
  </colItems>
  <dataFields count="1">
    <dataField name="Count - title" fld="0" subtotal="count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EarthquakeData" displayName="EarthquakeData" ref="A1:Z1001" headerRowCount="1" totalsRowCount="0" totalsRowShown="0">
  <autoFilter ref="A1:Z1001"/>
  <tableColumns count="26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  <tableColumn id="20" name="DateTime_Converted"/>
    <tableColumn id="21" name="Title_Pattern"/>
    <tableColumn id="22" name="magType_Normalized"/>
    <tableColumn id="23" name="Duplicate_Flag"/>
    <tableColumn id="24" name="Year"/>
    <tableColumn id="25" name="Magnitude_Band"/>
    <tableColumn id="26" name="Alert_Aud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Lab_Assignment_3_Earthquake_Completed.xlsx" TargetMode="External" Id="rId1"/><Relationship Type="http://schemas.openxmlformats.org/officeDocument/2006/relationships/hyperlink" Target="../Lab_Assignment_3_Earthquake_Completed.xlsx" TargetMode="External" Id="rId2"/><Relationship Type="http://schemas.openxmlformats.org/officeDocument/2006/relationships/hyperlink" Target="../Lab_Assignment_3_Earthquake_Completed.xlsx" TargetMode="External" Id="rId3"/><Relationship Type="http://schemas.openxmlformats.org/officeDocument/2006/relationships/hyperlink" Target="../Lab_Assignment_3_Earthquake_Completed.xlsx" TargetMode="External" Id="rId4"/><Relationship Type="http://schemas.openxmlformats.org/officeDocument/2006/relationships/hyperlink" Target="../Lab_Assignment_3_Earthquake_Completed.xlsx" TargetMode="External" Id="rId5"/><Relationship Type="http://schemas.openxmlformats.org/officeDocument/2006/relationships/drawing" Target="/xl/drawings/drawing2.xml" Id="rId6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8" customWidth="1" style="33" min="1" max="1"/>
    <col width="12" customWidth="1" style="33" min="2" max="2"/>
    <col width="20" customWidth="1" style="33" min="3" max="3"/>
    <col width="10" customWidth="1" style="33" min="4" max="5"/>
    <col width="12" customWidth="1" style="33" min="6" max="6"/>
    <col width="10" customWidth="1" style="33" min="7" max="8"/>
    <col width="8" customWidth="1" style="33" min="9" max="10"/>
    <col width="10" customWidth="1" style="33" min="11" max="12"/>
    <col width="12" customWidth="1" style="33" min="13" max="16"/>
    <col width="42" customWidth="1" style="33" min="17" max="17"/>
    <col width="18" customWidth="1" style="33" min="18" max="18"/>
    <col width="42" customWidth="1" style="33" min="19" max="19"/>
    <col width="22" customWidth="1" style="33" min="20" max="20"/>
    <col width="24" customWidth="1" style="33" min="21" max="21"/>
    <col width="20" customWidth="1" style="33" min="22" max="22"/>
    <col width="16" customWidth="1" style="33" min="23" max="23"/>
    <col width="10" customWidth="1" style="33" min="24" max="24"/>
    <col width="18" customWidth="1" style="33" min="25" max="25"/>
    <col width="14" customWidth="1" style="33" min="26" max="26"/>
  </cols>
  <sheetData>
    <row r="1" ht="15" customHeight="1" s="34">
      <c r="A1" s="35" t="inlineStr">
        <is>
          <t>title</t>
        </is>
      </c>
      <c r="B1" s="35" t="inlineStr">
        <is>
          <t>magnitude</t>
        </is>
      </c>
      <c r="C1" s="35" t="inlineStr">
        <is>
          <t>date_time</t>
        </is>
      </c>
      <c r="D1" s="35" t="inlineStr">
        <is>
          <t>cdi</t>
        </is>
      </c>
      <c r="E1" s="35" t="inlineStr">
        <is>
          <t>mmi</t>
        </is>
      </c>
      <c r="F1" s="35" t="inlineStr">
        <is>
          <t>alert</t>
        </is>
      </c>
      <c r="G1" s="35" t="inlineStr">
        <is>
          <t>tsunami</t>
        </is>
      </c>
      <c r="H1" s="35" t="inlineStr">
        <is>
          <t>sig</t>
        </is>
      </c>
      <c r="I1" s="35" t="inlineStr">
        <is>
          <t>net</t>
        </is>
      </c>
      <c r="J1" s="35" t="inlineStr">
        <is>
          <t>nst</t>
        </is>
      </c>
      <c r="K1" s="35" t="inlineStr">
        <is>
          <t>dmin</t>
        </is>
      </c>
      <c r="L1" s="35" t="inlineStr">
        <is>
          <t>gap</t>
        </is>
      </c>
      <c r="M1" s="35" t="inlineStr">
        <is>
          <t>magType</t>
        </is>
      </c>
      <c r="N1" s="35" t="inlineStr">
        <is>
          <t>depth</t>
        </is>
      </c>
      <c r="O1" s="35" t="inlineStr">
        <is>
          <t>latitude</t>
        </is>
      </c>
      <c r="P1" s="35" t="inlineStr">
        <is>
          <t>longitude</t>
        </is>
      </c>
      <c r="Q1" s="35" t="inlineStr">
        <is>
          <t>location</t>
        </is>
      </c>
      <c r="R1" s="35" t="inlineStr">
        <is>
          <t>continent</t>
        </is>
      </c>
      <c r="S1" s="35" t="inlineStr">
        <is>
          <t>country</t>
        </is>
      </c>
      <c r="T1" s="35" t="inlineStr">
        <is>
          <t>DateTime_Converted</t>
        </is>
      </c>
      <c r="U1" s="35" t="inlineStr">
        <is>
          <t>Title_Pattern</t>
        </is>
      </c>
      <c r="V1" s="35" t="inlineStr">
        <is>
          <t>magType_Normalized</t>
        </is>
      </c>
      <c r="W1" s="35" t="inlineStr">
        <is>
          <t>Duplicate_Flag</t>
        </is>
      </c>
      <c r="X1" s="35" t="inlineStr">
        <is>
          <t>Year</t>
        </is>
      </c>
      <c r="Y1" s="35" t="inlineStr">
        <is>
          <t>Magnitude_Band</t>
        </is>
      </c>
      <c r="Z1" s="35" t="inlineStr">
        <is>
          <t>Alert_Audit</t>
        </is>
      </c>
    </row>
    <row r="2" ht="15" customHeight="1" s="34">
      <c r="A2" s="33" t="inlineStr">
        <is>
          <t>M 6.5 - 42 km W of Sola, Vanuatu</t>
        </is>
      </c>
      <c r="B2" s="33" t="n">
        <v>6.5</v>
      </c>
      <c r="C2" s="33" t="inlineStr">
        <is>
          <t>16/08/2023 12:47</t>
        </is>
      </c>
      <c r="D2" s="33" t="n">
        <v>7</v>
      </c>
      <c r="E2" s="33" t="n">
        <v>4</v>
      </c>
      <c r="F2" s="33" t="inlineStr">
        <is>
          <t>green</t>
        </is>
      </c>
      <c r="G2" s="33" t="n">
        <v>0</v>
      </c>
      <c r="H2" s="33" t="n">
        <v>657</v>
      </c>
      <c r="I2" s="33" t="inlineStr">
        <is>
          <t>us</t>
        </is>
      </c>
      <c r="J2" s="33" t="n">
        <v>114</v>
      </c>
      <c r="K2" s="33" t="n">
        <v>7.177</v>
      </c>
      <c r="L2" s="33" t="n">
        <v>25</v>
      </c>
      <c r="M2" s="33" t="inlineStr">
        <is>
          <t>mww</t>
        </is>
      </c>
      <c r="N2" s="33" t="n">
        <v>192.955</v>
      </c>
      <c r="O2" s="33" t="n">
        <v>-13.8814</v>
      </c>
      <c r="P2" s="33" t="n">
        <v>167.158</v>
      </c>
      <c r="Q2" s="33" t="inlineStr">
        <is>
          <t>Sola, Vanuatu</t>
        </is>
      </c>
      <c r="S2" s="33" t="inlineStr">
        <is>
          <t>Vanuatu</t>
        </is>
      </c>
      <c r="T2" s="36">
        <f>DATE(MID(C2,7,4),MID(C2,4,2),MID(C2,1,2))+TIME(MID(C2,12,2),MID(C2,15,2),0)</f>
        <v/>
      </c>
      <c r="U2" s="33">
        <f>IF(ISNUMBER(VALUE(MID(A2,7,1))),"Distance-prefix pattern","Named-region pattern")</f>
        <v/>
      </c>
      <c r="V2" s="33">
        <f>LOWER(M2)</f>
        <v/>
      </c>
      <c r="W2" s="33">
        <f>IF(COUNTIFS($A$2:$A$1001,A2,$C$2:$C$1001,C2)&gt;1,"Duplicate","Unique")</f>
        <v/>
      </c>
      <c r="X2" s="33">
        <f>YEAR(T2)</f>
        <v/>
      </c>
      <c r="Y2" s="33">
        <f>IF(B2&lt;6.5,"&lt;6.5",IF(B2&lt;7,"6.5–6.9",IF(B2&lt;7.5,"7.0–7.4",IF(B2&lt;8,"7.5–7.9","8.0+"))))</f>
        <v/>
      </c>
      <c r="Z2" s="33">
        <f>IF(F2="","Blank",F2)</f>
        <v/>
      </c>
    </row>
    <row r="3" ht="15" customHeight="1" s="34">
      <c r="A3" s="33" t="inlineStr">
        <is>
          <t>M 6.5 - 43 km S of Intipucá, El Salvador</t>
        </is>
      </c>
      <c r="B3" s="33" t="n">
        <v>6.5</v>
      </c>
      <c r="C3" s="33" t="inlineStr">
        <is>
          <t>19/07/2023 00:22</t>
        </is>
      </c>
      <c r="D3" s="33" t="n">
        <v>8</v>
      </c>
      <c r="E3" s="33" t="n">
        <v>6</v>
      </c>
      <c r="F3" s="33" t="inlineStr">
        <is>
          <t>yellow</t>
        </is>
      </c>
      <c r="G3" s="33" t="n">
        <v>0</v>
      </c>
      <c r="H3" s="33" t="n">
        <v>775</v>
      </c>
      <c r="I3" s="33" t="inlineStr">
        <is>
          <t>us</t>
        </is>
      </c>
      <c r="J3" s="33" t="n">
        <v>92</v>
      </c>
      <c r="K3" s="33" t="n">
        <v>0.679</v>
      </c>
      <c r="L3" s="33" t="n">
        <v>40</v>
      </c>
      <c r="M3" s="33" t="inlineStr">
        <is>
          <t>mww</t>
        </is>
      </c>
      <c r="N3" s="33" t="n">
        <v>69.727</v>
      </c>
      <c r="O3" s="33" t="n">
        <v>12.814</v>
      </c>
      <c r="P3" s="33" t="n">
        <v>-88.12649999999999</v>
      </c>
      <c r="Q3" s="33" t="inlineStr">
        <is>
          <t>Intipucá, El Salvador</t>
        </is>
      </c>
      <c r="T3" s="36">
        <f>DATE(MID(C3,7,4),MID(C3,4,2),MID(C3,1,2))+TIME(MID(C3,12,2),MID(C3,15,2),0)</f>
        <v/>
      </c>
      <c r="U3" s="33">
        <f>IF(ISNUMBER(VALUE(MID(A3,7,1))),"Distance-prefix pattern","Named-region pattern")</f>
        <v/>
      </c>
      <c r="V3" s="33">
        <f>LOWER(M3)</f>
        <v/>
      </c>
      <c r="W3" s="33">
        <f>IF(COUNTIFS($A$2:$A$1001,A3,$C$2:$C$1001,C3)&gt;1,"Duplicate","Unique")</f>
        <v/>
      </c>
      <c r="X3" s="33">
        <f>YEAR(T3)</f>
        <v/>
      </c>
      <c r="Y3" s="33">
        <f>IF(B3&lt;6.5,"&lt;6.5",IF(B3&lt;7,"6.5–6.9",IF(B3&lt;7.5,"7.0–7.4",IF(B3&lt;8,"7.5–7.9","8.0+"))))</f>
        <v/>
      </c>
      <c r="Z3" s="33">
        <f>IF(F3="","Blank",F3)</f>
        <v/>
      </c>
    </row>
    <row r="4" ht="15" customHeight="1" s="34">
      <c r="A4" s="33" t="inlineStr">
        <is>
          <t>M 6.6 - 25 km ESE of Loncopué, Argentina</t>
        </is>
      </c>
      <c r="B4" s="33" t="n">
        <v>6.6</v>
      </c>
      <c r="C4" s="33" t="inlineStr">
        <is>
          <t>17/07/2023 03:05</t>
        </is>
      </c>
      <c r="D4" s="33" t="n">
        <v>7</v>
      </c>
      <c r="E4" s="33" t="n">
        <v>5</v>
      </c>
      <c r="F4" s="33" t="inlineStr">
        <is>
          <t>green</t>
        </is>
      </c>
      <c r="G4" s="33" t="n">
        <v>0</v>
      </c>
      <c r="H4" s="33" t="n">
        <v>899</v>
      </c>
      <c r="I4" s="33" t="inlineStr">
        <is>
          <t>us</t>
        </is>
      </c>
      <c r="J4" s="33" t="n">
        <v>70</v>
      </c>
      <c r="K4" s="33" t="n">
        <v>1.634</v>
      </c>
      <c r="L4" s="33" t="n">
        <v>28</v>
      </c>
      <c r="M4" s="33" t="inlineStr">
        <is>
          <t>mww</t>
        </is>
      </c>
      <c r="N4" s="33" t="n">
        <v>171.371</v>
      </c>
      <c r="O4" s="33" t="n">
        <v>-38.1911</v>
      </c>
      <c r="P4" s="33" t="n">
        <v>-70.37309999999999</v>
      </c>
      <c r="Q4" s="33" t="inlineStr">
        <is>
          <t>Loncopué, Argentina</t>
        </is>
      </c>
      <c r="R4" s="33" t="inlineStr">
        <is>
          <t>South America</t>
        </is>
      </c>
      <c r="S4" s="33" t="inlineStr">
        <is>
          <t>Argentina</t>
        </is>
      </c>
      <c r="T4" s="36">
        <f>DATE(MID(C4,7,4),MID(C4,4,2),MID(C4,1,2))+TIME(MID(C4,12,2),MID(C4,15,2),0)</f>
        <v/>
      </c>
      <c r="U4" s="33">
        <f>IF(ISNUMBER(VALUE(MID(A4,7,1))),"Distance-prefix pattern","Named-region pattern")</f>
        <v/>
      </c>
      <c r="V4" s="33">
        <f>LOWER(M4)</f>
        <v/>
      </c>
      <c r="W4" s="33">
        <f>IF(COUNTIFS($A$2:$A$1001,A4,$C$2:$C$1001,C4)&gt;1,"Duplicate","Unique")</f>
        <v/>
      </c>
      <c r="X4" s="33">
        <f>YEAR(T4)</f>
        <v/>
      </c>
      <c r="Y4" s="33">
        <f>IF(B4&lt;6.5,"&lt;6.5",IF(B4&lt;7,"6.5–6.9",IF(B4&lt;7.5,"7.0–7.4",IF(B4&lt;8,"7.5–7.9","8.0+"))))</f>
        <v/>
      </c>
      <c r="Z4" s="33">
        <f>IF(F4="","Blank",F4)</f>
        <v/>
      </c>
    </row>
    <row r="5" ht="15" customHeight="1" s="34">
      <c r="A5" s="33" t="inlineStr">
        <is>
          <t>M 7.2 - 98 km S of Sand Point, Alaska</t>
        </is>
      </c>
      <c r="B5" s="33" t="n">
        <v>7.2</v>
      </c>
      <c r="C5" s="33" t="inlineStr">
        <is>
          <t>16/07/2023 06:48</t>
        </is>
      </c>
      <c r="D5" s="33" t="n">
        <v>6</v>
      </c>
      <c r="E5" s="33" t="n">
        <v>6</v>
      </c>
      <c r="F5" s="33" t="inlineStr">
        <is>
          <t>green</t>
        </is>
      </c>
      <c r="G5" s="33" t="n">
        <v>1</v>
      </c>
      <c r="H5" s="33" t="n">
        <v>860</v>
      </c>
      <c r="I5" s="33" t="inlineStr">
        <is>
          <t>us</t>
        </is>
      </c>
      <c r="J5" s="33" t="n">
        <v>173</v>
      </c>
      <c r="K5" s="33" t="n">
        <v>0.907</v>
      </c>
      <c r="L5" s="33" t="n">
        <v>36</v>
      </c>
      <c r="M5" s="33" t="inlineStr">
        <is>
          <t>mww</t>
        </is>
      </c>
      <c r="N5" s="33" t="n">
        <v>32.571</v>
      </c>
      <c r="O5" s="33" t="n">
        <v>54.3844</v>
      </c>
      <c r="P5" s="33" t="n">
        <v>-160.699</v>
      </c>
      <c r="Q5" s="33" t="inlineStr">
        <is>
          <t>Sand Point, Alaska</t>
        </is>
      </c>
      <c r="T5" s="36">
        <f>DATE(MID(C5,7,4),MID(C5,4,2),MID(C5,1,2))+TIME(MID(C5,12,2),MID(C5,15,2),0)</f>
        <v/>
      </c>
      <c r="U5" s="33">
        <f>IF(ISNUMBER(VALUE(MID(A5,7,1))),"Distance-prefix pattern","Named-region pattern")</f>
        <v/>
      </c>
      <c r="V5" s="33">
        <f>LOWER(M5)</f>
        <v/>
      </c>
      <c r="W5" s="33">
        <f>IF(COUNTIFS($A$2:$A$1001,A5,$C$2:$C$1001,C5)&gt;1,"Duplicate","Unique")</f>
        <v/>
      </c>
      <c r="X5" s="33">
        <f>YEAR(T5)</f>
        <v/>
      </c>
      <c r="Y5" s="33">
        <f>IF(B5&lt;6.5,"&lt;6.5",IF(B5&lt;7,"6.5–6.9",IF(B5&lt;7.5,"7.0–7.4",IF(B5&lt;8,"7.5–7.9","8.0+"))))</f>
        <v/>
      </c>
      <c r="Z5" s="33">
        <f>IF(F5="","Blank",F5)</f>
        <v/>
      </c>
    </row>
    <row r="6" ht="15" customHeight="1" s="34">
      <c r="A6" s="33" t="inlineStr">
        <is>
          <t>M 7.3 - Alaska Peninsula</t>
        </is>
      </c>
      <c r="B6" s="33" t="n">
        <v>7.3</v>
      </c>
      <c r="C6" s="33" t="inlineStr">
        <is>
          <t>16/07/2023 06:48</t>
        </is>
      </c>
      <c r="D6" s="33" t="n">
        <v>0</v>
      </c>
      <c r="E6" s="33" t="n">
        <v>5</v>
      </c>
      <c r="G6" s="33" t="n">
        <v>1</v>
      </c>
      <c r="H6" s="33" t="n">
        <v>820</v>
      </c>
      <c r="I6" s="33" t="inlineStr">
        <is>
          <t>at</t>
        </is>
      </c>
      <c r="J6" s="33" t="n">
        <v>79</v>
      </c>
      <c r="K6" s="33" t="n">
        <v>0.879451</v>
      </c>
      <c r="L6" s="33" t="n">
        <v>172.8</v>
      </c>
      <c r="M6" s="33" t="inlineStr">
        <is>
          <t>Mi</t>
        </is>
      </c>
      <c r="N6" s="33" t="n">
        <v>21</v>
      </c>
      <c r="O6" s="33" t="n">
        <v>54.49</v>
      </c>
      <c r="P6" s="33" t="n">
        <v>-160.796</v>
      </c>
      <c r="Q6" s="33" t="inlineStr">
        <is>
          <t>Alaska Peninsula</t>
        </is>
      </c>
      <c r="T6" s="36">
        <f>DATE(MID(C6,7,4),MID(C6,4,2),MID(C6,1,2))+TIME(MID(C6,12,2),MID(C6,15,2),0)</f>
        <v/>
      </c>
      <c r="U6" s="33">
        <f>IF(ISNUMBER(VALUE(MID(A6,7,1))),"Distance-prefix pattern","Named-region pattern")</f>
        <v/>
      </c>
      <c r="V6" s="33">
        <f>LOWER(M6)</f>
        <v/>
      </c>
      <c r="W6" s="33">
        <f>IF(COUNTIFS($A$2:$A$1001,A6,$C$2:$C$1001,C6)&gt;1,"Duplicate","Unique")</f>
        <v/>
      </c>
      <c r="X6" s="33">
        <f>YEAR(T6)</f>
        <v/>
      </c>
      <c r="Y6" s="33">
        <f>IF(B6&lt;6.5,"&lt;6.5",IF(B6&lt;7,"6.5–6.9",IF(B6&lt;7.5,"7.0–7.4",IF(B6&lt;8,"7.5–7.9","8.0+"))))</f>
        <v/>
      </c>
      <c r="Z6" s="33">
        <f>IF(F6="","Blank",F6)</f>
        <v/>
      </c>
    </row>
    <row r="7" ht="15" customHeight="1" s="34">
      <c r="A7" s="33" t="inlineStr">
        <is>
          <t>M 6.6 - 277 km NNE of Codrington, Antigua and Barbuda</t>
        </is>
      </c>
      <c r="B7" s="33" t="n">
        <v>6.6</v>
      </c>
      <c r="C7" s="33" t="inlineStr">
        <is>
          <t>10/07/2023 20:28</t>
        </is>
      </c>
      <c r="D7" s="33" t="n">
        <v>5</v>
      </c>
      <c r="E7" s="33" t="n">
        <v>4</v>
      </c>
      <c r="F7" s="33" t="inlineStr">
        <is>
          <t>green</t>
        </is>
      </c>
      <c r="G7" s="33" t="n">
        <v>1</v>
      </c>
      <c r="H7" s="33" t="n">
        <v>802</v>
      </c>
      <c r="I7" s="33" t="inlineStr">
        <is>
          <t>us</t>
        </is>
      </c>
      <c r="J7" s="33" t="n">
        <v>95</v>
      </c>
      <c r="K7" s="33" t="n">
        <v>2.454</v>
      </c>
      <c r="L7" s="33" t="n">
        <v>37</v>
      </c>
      <c r="M7" s="33" t="inlineStr">
        <is>
          <t>mww</t>
        </is>
      </c>
      <c r="N7" s="33" t="n">
        <v>10</v>
      </c>
      <c r="O7" s="33" t="n">
        <v>20.0196</v>
      </c>
      <c r="P7" s="33" t="n">
        <v>-61.0955</v>
      </c>
      <c r="Q7" s="33" t="inlineStr">
        <is>
          <t>Codrington, Antigua and Barbuda</t>
        </is>
      </c>
      <c r="T7" s="36">
        <f>DATE(MID(C7,7,4),MID(C7,4,2),MID(C7,1,2))+TIME(MID(C7,12,2),MID(C7,15,2),0)</f>
        <v/>
      </c>
      <c r="U7" s="33">
        <f>IF(ISNUMBER(VALUE(MID(A7,7,1))),"Distance-prefix pattern","Named-region pattern")</f>
        <v/>
      </c>
      <c r="V7" s="33">
        <f>LOWER(M7)</f>
        <v/>
      </c>
      <c r="W7" s="33">
        <f>IF(COUNTIFS($A$2:$A$1001,A7,$C$2:$C$1001,C7)&gt;1,"Duplicate","Unique")</f>
        <v/>
      </c>
      <c r="X7" s="33">
        <f>YEAR(T7)</f>
        <v/>
      </c>
      <c r="Y7" s="33">
        <f>IF(B7&lt;6.5,"&lt;6.5",IF(B7&lt;7,"6.5–6.9",IF(B7&lt;7.5,"7.0–7.4",IF(B7&lt;8,"7.5–7.9","8.0+"))))</f>
        <v/>
      </c>
      <c r="Z7" s="33">
        <f>IF(F7="","Blank",F7)</f>
        <v/>
      </c>
    </row>
    <row r="8" ht="15" customHeight="1" s="34">
      <c r="A8" s="33" t="inlineStr">
        <is>
          <t>M 6.9 - Tonga</t>
        </is>
      </c>
      <c r="B8" s="33" t="n">
        <v>6.9</v>
      </c>
      <c r="C8" s="33" t="inlineStr">
        <is>
          <t>02/07/2023 10:27</t>
        </is>
      </c>
      <c r="D8" s="33" t="n">
        <v>4</v>
      </c>
      <c r="E8" s="33" t="n">
        <v>4</v>
      </c>
      <c r="F8" s="33" t="inlineStr">
        <is>
          <t>green</t>
        </is>
      </c>
      <c r="G8" s="33" t="n">
        <v>1</v>
      </c>
      <c r="H8" s="33" t="n">
        <v>741</v>
      </c>
      <c r="I8" s="33" t="inlineStr">
        <is>
          <t>us</t>
        </is>
      </c>
      <c r="J8" s="33" t="n">
        <v>136</v>
      </c>
      <c r="K8" s="33" t="n">
        <v>1.179</v>
      </c>
      <c r="L8" s="33" t="n">
        <v>23</v>
      </c>
      <c r="M8" s="33" t="inlineStr">
        <is>
          <t>mww</t>
        </is>
      </c>
      <c r="N8" s="33" t="n">
        <v>229</v>
      </c>
      <c r="O8" s="33" t="n">
        <v>-17.853</v>
      </c>
      <c r="P8" s="33" t="n">
        <v>-174.937</v>
      </c>
      <c r="Q8" s="33" t="inlineStr">
        <is>
          <t>Tonga</t>
        </is>
      </c>
      <c r="T8" s="36">
        <f>DATE(MID(C8,7,4),MID(C8,4,2),MID(C8,1,2))+TIME(MID(C8,12,2),MID(C8,15,2),0)</f>
        <v/>
      </c>
      <c r="U8" s="33">
        <f>IF(ISNUMBER(VALUE(MID(A8,7,1))),"Distance-prefix pattern","Named-region pattern")</f>
        <v/>
      </c>
      <c r="V8" s="33">
        <f>LOWER(M8)</f>
        <v/>
      </c>
      <c r="W8" s="33">
        <f>IF(COUNTIFS($A$2:$A$1001,A8,$C$2:$C$1001,C8)&gt;1,"Duplicate","Unique")</f>
        <v/>
      </c>
      <c r="X8" s="33">
        <f>YEAR(T8)</f>
        <v/>
      </c>
      <c r="Y8" s="33">
        <f>IF(B8&lt;6.5,"&lt;6.5",IF(B8&lt;7,"6.5–6.9",IF(B8&lt;7.5,"7.0–7.4",IF(B8&lt;8,"7.5–7.9","8.0+"))))</f>
        <v/>
      </c>
      <c r="Z8" s="33">
        <f>IF(F8="","Blank",F8)</f>
        <v/>
      </c>
    </row>
    <row r="9" ht="15" customHeight="1" s="34">
      <c r="A9" s="33" t="inlineStr">
        <is>
          <t>M 7.2 - south of the Fiji Islands</t>
        </is>
      </c>
      <c r="B9" s="33" t="n">
        <v>7.2</v>
      </c>
      <c r="C9" s="33" t="inlineStr">
        <is>
          <t>15/06/2023 18:06</t>
        </is>
      </c>
      <c r="D9" s="33" t="n">
        <v>8</v>
      </c>
      <c r="E9" s="33" t="n">
        <v>6</v>
      </c>
      <c r="F9" s="33" t="inlineStr">
        <is>
          <t>green</t>
        </is>
      </c>
      <c r="G9" s="33" t="n">
        <v>1</v>
      </c>
      <c r="H9" s="33" t="n">
        <v>804</v>
      </c>
      <c r="I9" s="33" t="inlineStr">
        <is>
          <t>us</t>
        </is>
      </c>
      <c r="J9" s="33" t="n">
        <v>85</v>
      </c>
      <c r="K9" s="33" t="n">
        <v>2.59</v>
      </c>
      <c r="L9" s="33" t="n">
        <v>24</v>
      </c>
      <c r="M9" s="33" t="inlineStr">
        <is>
          <t>mww</t>
        </is>
      </c>
      <c r="N9" s="33" t="n">
        <v>167.404</v>
      </c>
      <c r="O9" s="33" t="n">
        <v>-22.9824</v>
      </c>
      <c r="P9" s="33" t="n">
        <v>-177.208</v>
      </c>
      <c r="Q9" s="33" t="inlineStr">
        <is>
          <t>the Fiji Islands</t>
        </is>
      </c>
      <c r="T9" s="36">
        <f>DATE(MID(C9,7,4),MID(C9,4,2),MID(C9,1,2))+TIME(MID(C9,12,2),MID(C9,15,2),0)</f>
        <v/>
      </c>
      <c r="U9" s="33">
        <f>IF(ISNUMBER(VALUE(MID(A9,7,1))),"Distance-prefix pattern","Named-region pattern")</f>
        <v/>
      </c>
      <c r="V9" s="33">
        <f>LOWER(M9)</f>
        <v/>
      </c>
      <c r="W9" s="33">
        <f>IF(COUNTIFS($A$2:$A$1001,A9,$C$2:$C$1001,C9)&gt;1,"Duplicate","Unique")</f>
        <v/>
      </c>
      <c r="X9" s="33">
        <f>YEAR(T9)</f>
        <v/>
      </c>
      <c r="Y9" s="33">
        <f>IF(B9&lt;6.5,"&lt;6.5",IF(B9&lt;7,"6.5–6.9",IF(B9&lt;7.5,"7.0–7.4",IF(B9&lt;8,"7.5–7.9","8.0+"))))</f>
        <v/>
      </c>
      <c r="Z9" s="33">
        <f>IF(F9="","Blank",F9)</f>
        <v/>
      </c>
    </row>
    <row r="10" ht="15" customHeight="1" s="34">
      <c r="A10" s="33" t="inlineStr">
        <is>
          <t>M 6.6 - Panama-Colombia border region</t>
        </is>
      </c>
      <c r="B10" s="33" t="n">
        <v>6.6</v>
      </c>
      <c r="C10" s="33" t="inlineStr">
        <is>
          <t>25/05/2023 03:05</t>
        </is>
      </c>
      <c r="D10" s="33" t="n">
        <v>6</v>
      </c>
      <c r="E10" s="33" t="n">
        <v>6</v>
      </c>
      <c r="F10" s="33" t="inlineStr">
        <is>
          <t>green</t>
        </is>
      </c>
      <c r="G10" s="33" t="n">
        <v>1</v>
      </c>
      <c r="H10" s="33" t="n">
        <v>733</v>
      </c>
      <c r="I10" s="33" t="inlineStr">
        <is>
          <t>us</t>
        </is>
      </c>
      <c r="J10" s="33" t="n">
        <v>50</v>
      </c>
      <c r="K10" s="33" t="n">
        <v>2.163</v>
      </c>
      <c r="L10" s="33" t="n">
        <v>129</v>
      </c>
      <c r="M10" s="33" t="inlineStr">
        <is>
          <t>mww</t>
        </is>
      </c>
      <c r="N10" s="33" t="n">
        <v>10</v>
      </c>
      <c r="O10" s="33" t="n">
        <v>8.8894</v>
      </c>
      <c r="P10" s="33" t="n">
        <v>-77.12309999999999</v>
      </c>
      <c r="Q10" s="33" t="inlineStr">
        <is>
          <t>Panama-Colombia border region</t>
        </is>
      </c>
      <c r="S10" s="33" t="inlineStr">
        <is>
          <t>Colombia</t>
        </is>
      </c>
      <c r="T10" s="36">
        <f>DATE(MID(C10,7,4),MID(C10,4,2),MID(C10,1,2))+TIME(MID(C10,12,2),MID(C10,15,2),0)</f>
        <v/>
      </c>
      <c r="U10" s="33">
        <f>IF(ISNUMBER(VALUE(MID(A10,7,1))),"Distance-prefix pattern","Named-region pattern")</f>
        <v/>
      </c>
      <c r="V10" s="33">
        <f>LOWER(M10)</f>
        <v/>
      </c>
      <c r="W10" s="33">
        <f>IF(COUNTIFS($A$2:$A$1001,A10,$C$2:$C$1001,C10)&gt;1,"Duplicate","Unique")</f>
        <v/>
      </c>
      <c r="X10" s="33">
        <f>YEAR(T10)</f>
        <v/>
      </c>
      <c r="Y10" s="33">
        <f>IF(B10&lt;6.5,"&lt;6.5",IF(B10&lt;7,"6.5–6.9",IF(B10&lt;7.5,"7.0–7.4",IF(B10&lt;8,"7.5–7.9","8.0+"))))</f>
        <v/>
      </c>
      <c r="Z10" s="33">
        <f>IF(F10="","Blank",F10)</f>
        <v/>
      </c>
    </row>
    <row r="11" ht="15" customHeight="1" s="34">
      <c r="A11" s="33" t="inlineStr">
        <is>
          <t>M 7.1 - southeast of the Loyalty Islands</t>
        </is>
      </c>
      <c r="B11" s="33" t="n">
        <v>7.1</v>
      </c>
      <c r="C11" s="33" t="inlineStr">
        <is>
          <t>20/05/2023 01:51</t>
        </is>
      </c>
      <c r="D11" s="33" t="n">
        <v>3</v>
      </c>
      <c r="E11" s="33" t="n">
        <v>4</v>
      </c>
      <c r="F11" s="33" t="inlineStr">
        <is>
          <t>green</t>
        </is>
      </c>
      <c r="G11" s="33" t="n">
        <v>1</v>
      </c>
      <c r="H11" s="33" t="n">
        <v>777</v>
      </c>
      <c r="I11" s="33" t="inlineStr">
        <is>
          <t>us</t>
        </is>
      </c>
      <c r="J11" s="33" t="n">
        <v>98</v>
      </c>
      <c r="K11" s="33" t="n">
        <v>2.812</v>
      </c>
      <c r="L11" s="33" t="n">
        <v>56</v>
      </c>
      <c r="M11" s="33" t="inlineStr">
        <is>
          <t>mww</t>
        </is>
      </c>
      <c r="N11" s="33" t="n">
        <v>35.981</v>
      </c>
      <c r="O11" s="33" t="n">
        <v>-23.0622</v>
      </c>
      <c r="P11" s="33" t="n">
        <v>170.456</v>
      </c>
      <c r="Q11" s="33" t="inlineStr">
        <is>
          <t>the Loyalty Islands</t>
        </is>
      </c>
      <c r="T11" s="36">
        <f>DATE(MID(C11,7,4),MID(C11,4,2),MID(C11,1,2))+TIME(MID(C11,12,2),MID(C11,15,2),0)</f>
        <v/>
      </c>
      <c r="U11" s="33">
        <f>IF(ISNUMBER(VALUE(MID(A11,7,1))),"Distance-prefix pattern","Named-region pattern")</f>
        <v/>
      </c>
      <c r="V11" s="33">
        <f>LOWER(M11)</f>
        <v/>
      </c>
      <c r="W11" s="33">
        <f>IF(COUNTIFS($A$2:$A$1001,A11,$C$2:$C$1001,C11)&gt;1,"Duplicate","Unique")</f>
        <v/>
      </c>
      <c r="X11" s="33">
        <f>YEAR(T11)</f>
        <v/>
      </c>
      <c r="Y11" s="33">
        <f>IF(B11&lt;6.5,"&lt;6.5",IF(B11&lt;7,"6.5–6.9",IF(B11&lt;7.5,"7.0–7.4",IF(B11&lt;8,"7.5–7.9","8.0+"))))</f>
        <v/>
      </c>
      <c r="Z11" s="33">
        <f>IF(F11="","Blank",F11)</f>
        <v/>
      </c>
    </row>
    <row r="12" ht="15" customHeight="1" s="34">
      <c r="A12" s="33" t="inlineStr">
        <is>
          <t>M 7.7 - southeast of the Loyalty Islands</t>
        </is>
      </c>
      <c r="B12" s="33" t="n">
        <v>7.7</v>
      </c>
      <c r="C12" s="33" t="inlineStr">
        <is>
          <t>19/05/2023 02:57</t>
        </is>
      </c>
      <c r="D12" s="33" t="n">
        <v>5</v>
      </c>
      <c r="E12" s="33" t="n">
        <v>4</v>
      </c>
      <c r="F12" s="33" t="inlineStr">
        <is>
          <t>green</t>
        </is>
      </c>
      <c r="G12" s="33" t="n">
        <v>1</v>
      </c>
      <c r="H12" s="33" t="n">
        <v>927</v>
      </c>
      <c r="I12" s="33" t="inlineStr">
        <is>
          <t>us</t>
        </is>
      </c>
      <c r="J12" s="33" t="n">
        <v>277</v>
      </c>
      <c r="K12" s="33" t="n">
        <v>3.111</v>
      </c>
      <c r="L12" s="33" t="n">
        <v>15</v>
      </c>
      <c r="M12" s="33" t="inlineStr">
        <is>
          <t>mww</t>
        </is>
      </c>
      <c r="N12" s="33" t="n">
        <v>18.027</v>
      </c>
      <c r="O12" s="33" t="n">
        <v>-23.2286</v>
      </c>
      <c r="P12" s="33" t="n">
        <v>170.694</v>
      </c>
      <c r="Q12" s="33" t="inlineStr">
        <is>
          <t>the Loyalty Islands</t>
        </is>
      </c>
      <c r="T12" s="36">
        <f>DATE(MID(C12,7,4),MID(C12,4,2),MID(C12,1,2))+TIME(MID(C12,12,2),MID(C12,15,2),0)</f>
        <v/>
      </c>
      <c r="U12" s="33">
        <f>IF(ISNUMBER(VALUE(MID(A12,7,1))),"Distance-prefix pattern","Named-region pattern")</f>
        <v/>
      </c>
      <c r="V12" s="33">
        <f>LOWER(M12)</f>
        <v/>
      </c>
      <c r="W12" s="33">
        <f>IF(COUNTIFS($A$2:$A$1001,A12,$C$2:$C$1001,C12)&gt;1,"Duplicate","Unique")</f>
        <v/>
      </c>
      <c r="X12" s="33">
        <f>YEAR(T12)</f>
        <v/>
      </c>
      <c r="Y12" s="33">
        <f>IF(B12&lt;6.5,"&lt;6.5",IF(B12&lt;7,"6.5–6.9",IF(B12&lt;7.5,"7.0–7.4",IF(B12&lt;8,"7.5–7.9","8.0+"))))</f>
        <v/>
      </c>
      <c r="Z12" s="33">
        <f>IF(F12="","Blank",F12)</f>
        <v/>
      </c>
    </row>
    <row r="13" ht="15" customHeight="1" s="34">
      <c r="A13" s="33" t="inlineStr">
        <is>
          <t>M 7.6 - 95 km WNW of Hihifo, Tonga</t>
        </is>
      </c>
      <c r="B13" s="33" t="n">
        <v>7.6</v>
      </c>
      <c r="C13" s="33" t="inlineStr">
        <is>
          <t>10/05/2023 16:02</t>
        </is>
      </c>
      <c r="D13" s="33" t="n">
        <v>8</v>
      </c>
      <c r="E13" s="33" t="n">
        <v>6</v>
      </c>
      <c r="F13" s="33" t="inlineStr">
        <is>
          <t>green</t>
        </is>
      </c>
      <c r="G13" s="33" t="n">
        <v>1</v>
      </c>
      <c r="H13" s="33" t="n">
        <v>907</v>
      </c>
      <c r="I13" s="33" t="inlineStr">
        <is>
          <t>us</t>
        </is>
      </c>
      <c r="J13" s="33" t="n">
        <v>111</v>
      </c>
      <c r="K13" s="33" t="n">
        <v>3.631</v>
      </c>
      <c r="L13" s="33" t="n">
        <v>17</v>
      </c>
      <c r="M13" s="33" t="inlineStr">
        <is>
          <t>mww</t>
        </is>
      </c>
      <c r="N13" s="33" t="n">
        <v>210.097</v>
      </c>
      <c r="O13" s="33" t="n">
        <v>-15.6002</v>
      </c>
      <c r="P13" s="33" t="n">
        <v>-174.608</v>
      </c>
      <c r="Q13" s="33" t="inlineStr">
        <is>
          <t>Hihifo, Tonga</t>
        </is>
      </c>
      <c r="T13" s="36">
        <f>DATE(MID(C13,7,4),MID(C13,4,2),MID(C13,1,2))+TIME(MID(C13,12,2),MID(C13,15,2),0)</f>
        <v/>
      </c>
      <c r="U13" s="33">
        <f>IF(ISNUMBER(VALUE(MID(A13,7,1))),"Distance-prefix pattern","Named-region pattern")</f>
        <v/>
      </c>
      <c r="V13" s="33">
        <f>LOWER(M13)</f>
        <v/>
      </c>
      <c r="W13" s="33">
        <f>IF(COUNTIFS($A$2:$A$1001,A13,$C$2:$C$1001,C13)&gt;1,"Duplicate","Unique")</f>
        <v/>
      </c>
      <c r="X13" s="33">
        <f>YEAR(T13)</f>
        <v/>
      </c>
      <c r="Y13" s="33">
        <f>IF(B13&lt;6.5,"&lt;6.5",IF(B13&lt;7,"6.5–6.9",IF(B13&lt;7.5,"7.0–7.4",IF(B13&lt;8,"7.5–7.9","8.0+"))))</f>
        <v/>
      </c>
      <c r="Z13" s="33">
        <f>IF(F13="","Blank",F13)</f>
        <v/>
      </c>
    </row>
    <row r="14" ht="15" customHeight="1" s="34">
      <c r="A14" s="33" t="inlineStr">
        <is>
          <t>M 6.6 - south of the Fiji Islands</t>
        </is>
      </c>
      <c r="B14" s="33" t="n">
        <v>6.6</v>
      </c>
      <c r="C14" s="33" t="inlineStr">
        <is>
          <t>28/04/2023 03:13</t>
        </is>
      </c>
      <c r="D14" s="33" t="n">
        <v>0</v>
      </c>
      <c r="E14" s="33" t="n">
        <v>2</v>
      </c>
      <c r="F14" s="33" t="inlineStr">
        <is>
          <t>green</t>
        </is>
      </c>
      <c r="G14" s="33" t="n">
        <v>0</v>
      </c>
      <c r="H14" s="33" t="n">
        <v>670</v>
      </c>
      <c r="I14" s="33" t="inlineStr">
        <is>
          <t>us</t>
        </is>
      </c>
      <c r="J14" s="33" t="n">
        <v>52</v>
      </c>
      <c r="K14" s="33" t="n">
        <v>5.123</v>
      </c>
      <c r="L14" s="33" t="n">
        <v>50</v>
      </c>
      <c r="M14" s="33" t="inlineStr">
        <is>
          <t>mww</t>
        </is>
      </c>
      <c r="N14" s="33" t="n">
        <v>598.467</v>
      </c>
      <c r="O14" s="33" t="n">
        <v>-25.2657</v>
      </c>
      <c r="P14" s="33" t="n">
        <v>178.424</v>
      </c>
      <c r="Q14" s="33" t="inlineStr">
        <is>
          <t>the Fiji Islands</t>
        </is>
      </c>
      <c r="T14" s="36">
        <f>DATE(MID(C14,7,4),MID(C14,4,2),MID(C14,1,2))+TIME(MID(C14,12,2),MID(C14,15,2),0)</f>
        <v/>
      </c>
      <c r="U14" s="33">
        <f>IF(ISNUMBER(VALUE(MID(A14,7,1))),"Distance-prefix pattern","Named-region pattern")</f>
        <v/>
      </c>
      <c r="V14" s="33">
        <f>LOWER(M14)</f>
        <v/>
      </c>
      <c r="W14" s="33">
        <f>IF(COUNTIFS($A$2:$A$1001,A14,$C$2:$C$1001,C14)&gt;1,"Duplicate","Unique")</f>
        <v/>
      </c>
      <c r="X14" s="33">
        <f>YEAR(T14)</f>
        <v/>
      </c>
      <c r="Y14" s="33">
        <f>IF(B14&lt;6.5,"&lt;6.5",IF(B14&lt;7,"6.5–6.9",IF(B14&lt;7.5,"7.0–7.4",IF(B14&lt;8,"7.5–7.9","8.0+"))))</f>
        <v/>
      </c>
      <c r="Z14" s="33">
        <f>IF(F14="","Blank",F14)</f>
        <v/>
      </c>
    </row>
    <row r="15" ht="15" customHeight="1" s="34">
      <c r="A15" s="33" t="inlineStr">
        <is>
          <t>M 7.1 - 170 km SSE of Teluk Dalam, Indonesia</t>
        </is>
      </c>
      <c r="B15" s="33" t="n">
        <v>7.1</v>
      </c>
      <c r="C15" s="33" t="inlineStr">
        <is>
          <t>24/04/2023 20:00</t>
        </is>
      </c>
      <c r="D15" s="33" t="n">
        <v>9</v>
      </c>
      <c r="E15" s="33" t="n">
        <v>7</v>
      </c>
      <c r="F15" s="33" t="inlineStr">
        <is>
          <t>green</t>
        </is>
      </c>
      <c r="G15" s="33" t="n">
        <v>0</v>
      </c>
      <c r="H15" s="33" t="n">
        <v>838</v>
      </c>
      <c r="I15" s="33" t="inlineStr">
        <is>
          <t>us</t>
        </is>
      </c>
      <c r="J15" s="33" t="n">
        <v>70</v>
      </c>
      <c r="K15" s="33" t="n">
        <v>2.282</v>
      </c>
      <c r="L15" s="33" t="n">
        <v>58</v>
      </c>
      <c r="M15" s="33" t="inlineStr">
        <is>
          <t>mww</t>
        </is>
      </c>
      <c r="N15" s="33" t="n">
        <v>15.462</v>
      </c>
      <c r="O15" s="33" t="n">
        <v>-0.781</v>
      </c>
      <c r="P15" s="33" t="n">
        <v>98.5339</v>
      </c>
      <c r="Q15" s="33" t="inlineStr">
        <is>
          <t>Teluk Dalam, Indonesia</t>
        </is>
      </c>
      <c r="S15" s="33" t="inlineStr">
        <is>
          <t>Indonesia</t>
        </is>
      </c>
      <c r="T15" s="36">
        <f>DATE(MID(C15,7,4),MID(C15,4,2),MID(C15,1,2))+TIME(MID(C15,12,2),MID(C15,15,2),0)</f>
        <v/>
      </c>
      <c r="U15" s="33">
        <f>IF(ISNUMBER(VALUE(MID(A15,7,1))),"Distance-prefix pattern","Named-region pattern")</f>
        <v/>
      </c>
      <c r="V15" s="33">
        <f>LOWER(M15)</f>
        <v/>
      </c>
      <c r="W15" s="33">
        <f>IF(COUNTIFS($A$2:$A$1001,A15,$C$2:$C$1001,C15)&gt;1,"Duplicate","Unique")</f>
        <v/>
      </c>
      <c r="X15" s="33">
        <f>YEAR(T15)</f>
        <v/>
      </c>
      <c r="Y15" s="33">
        <f>IF(B15&lt;6.5,"&lt;6.5",IF(B15&lt;7,"6.5–6.9",IF(B15&lt;7.5,"7.0–7.4",IF(B15&lt;8,"7.5–7.9","8.0+"))))</f>
        <v/>
      </c>
      <c r="Z15" s="33">
        <f>IF(F15="","Blank",F15)</f>
        <v/>
      </c>
    </row>
    <row r="16" ht="15" customHeight="1" s="34">
      <c r="A16" s="33" t="inlineStr">
        <is>
          <t>M 7.1 - Kermadec Islands, New Zealand</t>
        </is>
      </c>
      <c r="B16" s="33" t="n">
        <v>7.1</v>
      </c>
      <c r="C16" s="33" t="inlineStr">
        <is>
          <t>24/04/2023 00:41</t>
        </is>
      </c>
      <c r="D16" s="33" t="n">
        <v>8</v>
      </c>
      <c r="E16" s="33" t="n">
        <v>7</v>
      </c>
      <c r="F16" s="33" t="inlineStr">
        <is>
          <t>green</t>
        </is>
      </c>
      <c r="G16" s="33" t="n">
        <v>1</v>
      </c>
      <c r="H16" s="33" t="n">
        <v>777</v>
      </c>
      <c r="I16" s="33" t="inlineStr">
        <is>
          <t>us</t>
        </is>
      </c>
      <c r="J16" s="33" t="n">
        <v>126</v>
      </c>
      <c r="K16" s="33" t="n">
        <v>0.708</v>
      </c>
      <c r="L16" s="33" t="n">
        <v>23</v>
      </c>
      <c r="M16" s="33" t="inlineStr">
        <is>
          <t>mww</t>
        </is>
      </c>
      <c r="N16" s="33" t="n">
        <v>43.063</v>
      </c>
      <c r="O16" s="33" t="n">
        <v>-30.0249</v>
      </c>
      <c r="P16" s="33" t="n">
        <v>-177.897</v>
      </c>
      <c r="Q16" s="33" t="inlineStr">
        <is>
          <t>Kermadec Islands, New Zealand</t>
        </is>
      </c>
      <c r="T16" s="36">
        <f>DATE(MID(C16,7,4),MID(C16,4,2),MID(C16,1,2))+TIME(MID(C16,12,2),MID(C16,15,2),0)</f>
        <v/>
      </c>
      <c r="U16" s="33">
        <f>IF(ISNUMBER(VALUE(MID(A16,7,1))),"Distance-prefix pattern","Named-region pattern")</f>
        <v/>
      </c>
      <c r="V16" s="33">
        <f>LOWER(M16)</f>
        <v/>
      </c>
      <c r="W16" s="33">
        <f>IF(COUNTIFS($A$2:$A$1001,A16,$C$2:$C$1001,C16)&gt;1,"Duplicate","Unique")</f>
        <v/>
      </c>
      <c r="X16" s="33">
        <f>YEAR(T16)</f>
        <v/>
      </c>
      <c r="Y16" s="33">
        <f>IF(B16&lt;6.5,"&lt;6.5",IF(B16&lt;7,"6.5–6.9",IF(B16&lt;7.5,"7.0–7.4",IF(B16&lt;8,"7.5–7.9","8.0+"))))</f>
        <v/>
      </c>
      <c r="Z16" s="33">
        <f>IF(F16="","Blank",F16)</f>
        <v/>
      </c>
    </row>
    <row r="17" ht="15" customHeight="1" s="34">
      <c r="A17" s="33" t="inlineStr">
        <is>
          <t>M 6.7 - south of the Fiji Islands</t>
        </is>
      </c>
      <c r="B17" s="33" t="n">
        <v>6.7</v>
      </c>
      <c r="C17" s="33" t="inlineStr">
        <is>
          <t>18/04/2023 04:31</t>
        </is>
      </c>
      <c r="D17" s="33" t="n">
        <v>0</v>
      </c>
      <c r="E17" s="33" t="n">
        <v>3</v>
      </c>
      <c r="F17" s="33" t="inlineStr">
        <is>
          <t>green</t>
        </is>
      </c>
      <c r="G17" s="33" t="n">
        <v>1</v>
      </c>
      <c r="H17" s="33" t="n">
        <v>691</v>
      </c>
      <c r="I17" s="33" t="inlineStr">
        <is>
          <t>us</t>
        </is>
      </c>
      <c r="J17" s="33" t="n">
        <v>166</v>
      </c>
      <c r="K17" s="33" t="n">
        <v>4.719</v>
      </c>
      <c r="L17" s="33" t="n">
        <v>10</v>
      </c>
      <c r="M17" s="33" t="inlineStr">
        <is>
          <t>mww</t>
        </is>
      </c>
      <c r="N17" s="33" t="n">
        <v>595.854</v>
      </c>
      <c r="O17" s="33" t="n">
        <v>-22.2844</v>
      </c>
      <c r="P17" s="33" t="n">
        <v>179.391</v>
      </c>
      <c r="Q17" s="33" t="inlineStr">
        <is>
          <t>the Fiji Islands</t>
        </is>
      </c>
      <c r="T17" s="36">
        <f>DATE(MID(C17,7,4),MID(C17,4,2),MID(C17,1,2))+TIME(MID(C17,12,2),MID(C17,15,2),0)</f>
        <v/>
      </c>
      <c r="U17" s="33">
        <f>IF(ISNUMBER(VALUE(MID(A17,7,1))),"Distance-prefix pattern","Named-region pattern")</f>
        <v/>
      </c>
      <c r="V17" s="33">
        <f>LOWER(M17)</f>
        <v/>
      </c>
      <c r="W17" s="33">
        <f>IF(COUNTIFS($A$2:$A$1001,A17,$C$2:$C$1001,C17)&gt;1,"Duplicate","Unique")</f>
        <v/>
      </c>
      <c r="X17" s="33">
        <f>YEAR(T17)</f>
        <v/>
      </c>
      <c r="Y17" s="33">
        <f>IF(B17&lt;6.5,"&lt;6.5",IF(B17&lt;7,"6.5–6.9",IF(B17&lt;7.5,"7.0–7.4",IF(B17&lt;8,"7.5–7.9","8.0+"))))</f>
        <v/>
      </c>
      <c r="Z17" s="33">
        <f>IF(F17="","Blank",F17)</f>
        <v/>
      </c>
    </row>
    <row r="18" ht="15" customHeight="1" s="34">
      <c r="A18" s="33" t="inlineStr">
        <is>
          <t>M 7.0 - 96 km N of Tuban, Indonesia</t>
        </is>
      </c>
      <c r="B18" s="33" t="n">
        <v>7</v>
      </c>
      <c r="C18" s="33" t="inlineStr">
        <is>
          <t>14/04/2023 09:55</t>
        </is>
      </c>
      <c r="D18" s="33" t="n">
        <v>5</v>
      </c>
      <c r="E18" s="33" t="n">
        <v>3</v>
      </c>
      <c r="F18" s="33" t="inlineStr">
        <is>
          <t>green</t>
        </is>
      </c>
      <c r="G18" s="33" t="n">
        <v>0</v>
      </c>
      <c r="H18" s="33" t="n">
        <v>818</v>
      </c>
      <c r="I18" s="33" t="inlineStr">
        <is>
          <t>us</t>
        </is>
      </c>
      <c r="J18" s="33" t="n">
        <v>131</v>
      </c>
      <c r="K18" s="33" t="n">
        <v>1.881</v>
      </c>
      <c r="L18" s="33" t="n">
        <v>31</v>
      </c>
      <c r="M18" s="33" t="inlineStr">
        <is>
          <t>mww</t>
        </is>
      </c>
      <c r="N18" s="33" t="n">
        <v>594.028</v>
      </c>
      <c r="O18" s="33" t="n">
        <v>-6.0255</v>
      </c>
      <c r="P18" s="33" t="n">
        <v>112.033</v>
      </c>
      <c r="Q18" s="33" t="inlineStr">
        <is>
          <t>Tuban, Indonesia</t>
        </is>
      </c>
      <c r="S18" s="33" t="inlineStr">
        <is>
          <t>Indonesia</t>
        </is>
      </c>
      <c r="T18" s="36">
        <f>DATE(MID(C18,7,4),MID(C18,4,2),MID(C18,1,2))+TIME(MID(C18,12,2),MID(C18,15,2),0)</f>
        <v/>
      </c>
      <c r="U18" s="33">
        <f>IF(ISNUMBER(VALUE(MID(A18,7,1))),"Distance-prefix pattern","Named-region pattern")</f>
        <v/>
      </c>
      <c r="V18" s="33">
        <f>LOWER(M18)</f>
        <v/>
      </c>
      <c r="W18" s="33">
        <f>IF(COUNTIFS($A$2:$A$1001,A18,$C$2:$C$1001,C18)&gt;1,"Duplicate","Unique")</f>
        <v/>
      </c>
      <c r="X18" s="33">
        <f>YEAR(T18)</f>
        <v/>
      </c>
      <c r="Y18" s="33">
        <f>IF(B18&lt;6.5,"&lt;6.5",IF(B18&lt;7,"6.5–6.9",IF(B18&lt;7.5,"7.0–7.4",IF(B18&lt;8,"7.5–7.9","8.0+"))))</f>
        <v/>
      </c>
      <c r="Z18" s="33">
        <f>IF(F18="","Blank",F18)</f>
        <v/>
      </c>
    </row>
    <row r="19" ht="15" customHeight="1" s="34">
      <c r="A19" s="33" t="inlineStr">
        <is>
          <t>M 6.5 - near the east coast of the Kamchatka Peninsula, Russia</t>
        </is>
      </c>
      <c r="B19" s="33" t="n">
        <v>6.5</v>
      </c>
      <c r="C19" s="33" t="inlineStr">
        <is>
          <t>03/04/2023 03:06</t>
        </is>
      </c>
      <c r="D19" s="33" t="n">
        <v>7</v>
      </c>
      <c r="E19" s="33" t="n">
        <v>6</v>
      </c>
      <c r="F19" s="33" t="inlineStr">
        <is>
          <t>yellow</t>
        </is>
      </c>
      <c r="G19" s="33" t="n">
        <v>1</v>
      </c>
      <c r="H19" s="33" t="n">
        <v>655</v>
      </c>
      <c r="I19" s="33" t="inlineStr">
        <is>
          <t>us</t>
        </is>
      </c>
      <c r="J19" s="33" t="n">
        <v>104</v>
      </c>
      <c r="K19" s="33" t="n">
        <v>0.266</v>
      </c>
      <c r="L19" s="33" t="n">
        <v>30</v>
      </c>
      <c r="M19" s="33" t="inlineStr">
        <is>
          <t>mww</t>
        </is>
      </c>
      <c r="N19" s="33" t="n">
        <v>105.631</v>
      </c>
      <c r="O19" s="33" t="n">
        <v>52.7772</v>
      </c>
      <c r="P19" s="33" t="n">
        <v>158.484</v>
      </c>
      <c r="Q19" s="33" t="inlineStr">
        <is>
          <t>the Kamchatka Peninsula, Russia</t>
        </is>
      </c>
      <c r="R19" s="33" t="inlineStr">
        <is>
          <t>Asia</t>
        </is>
      </c>
      <c r="S19" s="33" t="inlineStr">
        <is>
          <t>Russian Federation (the)</t>
        </is>
      </c>
      <c r="T19" s="36">
        <f>DATE(MID(C19,7,4),MID(C19,4,2),MID(C19,1,2))+TIME(MID(C19,12,2),MID(C19,15,2),0)</f>
        <v/>
      </c>
      <c r="U19" s="33">
        <f>IF(ISNUMBER(VALUE(MID(A19,7,1))),"Distance-prefix pattern","Named-region pattern")</f>
        <v/>
      </c>
      <c r="V19" s="33">
        <f>LOWER(M19)</f>
        <v/>
      </c>
      <c r="W19" s="33">
        <f>IF(COUNTIFS($A$2:$A$1001,A19,$C$2:$C$1001,C19)&gt;1,"Duplicate","Unique")</f>
        <v/>
      </c>
      <c r="X19" s="33">
        <f>YEAR(T19)</f>
        <v/>
      </c>
      <c r="Y19" s="33">
        <f>IF(B19&lt;6.5,"&lt;6.5",IF(B19&lt;7,"6.5–6.9",IF(B19&lt;7.5,"7.0–7.4",IF(B19&lt;8,"7.5–7.9","8.0+"))))</f>
        <v/>
      </c>
      <c r="Z19" s="33">
        <f>IF(F19="","Blank",F19)</f>
        <v/>
      </c>
    </row>
    <row r="20" ht="15" customHeight="1" s="34">
      <c r="A20" s="33" t="inlineStr">
        <is>
          <t>M 7.0 - New Guinea, Papua New Guinea</t>
        </is>
      </c>
      <c r="B20" s="33" t="n">
        <v>7</v>
      </c>
      <c r="C20" s="33" t="inlineStr">
        <is>
          <t>02/04/2023 18:04</t>
        </is>
      </c>
      <c r="D20" s="33" t="n">
        <v>7</v>
      </c>
      <c r="E20" s="33" t="n">
        <v>7</v>
      </c>
      <c r="F20" s="33" t="inlineStr">
        <is>
          <t>green</t>
        </is>
      </c>
      <c r="G20" s="33" t="n">
        <v>1</v>
      </c>
      <c r="H20" s="33" t="n">
        <v>781</v>
      </c>
      <c r="I20" s="33" t="inlineStr">
        <is>
          <t>us</t>
        </is>
      </c>
      <c r="J20" s="33" t="n">
        <v>105</v>
      </c>
      <c r="K20" s="33" t="n">
        <v>6.45</v>
      </c>
      <c r="L20" s="33" t="n">
        <v>31</v>
      </c>
      <c r="M20" s="33" t="inlineStr">
        <is>
          <t>mww</t>
        </is>
      </c>
      <c r="N20" s="33" t="n">
        <v>62.603</v>
      </c>
      <c r="O20" s="33" t="n">
        <v>-4.2924</v>
      </c>
      <c r="P20" s="33" t="n">
        <v>143.155</v>
      </c>
      <c r="Q20" s="33" t="inlineStr">
        <is>
          <t>New Guinea, Papua New Guinea</t>
        </is>
      </c>
      <c r="R20" s="33" t="inlineStr">
        <is>
          <t>Asia</t>
        </is>
      </c>
      <c r="S20" s="33" t="inlineStr">
        <is>
          <t>Papua New Guinea</t>
        </is>
      </c>
      <c r="T20" s="36">
        <f>DATE(MID(C20,7,4),MID(C20,4,2),MID(C20,1,2))+TIME(MID(C20,12,2),MID(C20,15,2),0)</f>
        <v/>
      </c>
      <c r="U20" s="33">
        <f>IF(ISNUMBER(VALUE(MID(A20,7,1))),"Distance-prefix pattern","Named-region pattern")</f>
        <v/>
      </c>
      <c r="V20" s="33">
        <f>LOWER(M20)</f>
        <v/>
      </c>
      <c r="W20" s="33">
        <f>IF(COUNTIFS($A$2:$A$1001,A20,$C$2:$C$1001,C20)&gt;1,"Duplicate","Unique")</f>
        <v/>
      </c>
      <c r="X20" s="33">
        <f>YEAR(T20)</f>
        <v/>
      </c>
      <c r="Y20" s="33">
        <f>IF(B20&lt;6.5,"&lt;6.5",IF(B20&lt;7,"6.5–6.9",IF(B20&lt;7.5,"7.0–7.4",IF(B20&lt;8,"7.5–7.9","8.0+"))))</f>
        <v/>
      </c>
      <c r="Z20" s="33">
        <f>IF(F20="","Blank",F20)</f>
        <v/>
      </c>
    </row>
    <row r="21" ht="15" customHeight="1" s="34">
      <c r="A21" s="33" t="inlineStr">
        <is>
          <t>M 6.5 - 84 km NNW of San Antonio de los Cobres, Argentina</t>
        </is>
      </c>
      <c r="B21" s="33" t="n">
        <v>6.5</v>
      </c>
      <c r="C21" s="33" t="inlineStr">
        <is>
          <t>22/03/2023 16:00</t>
        </is>
      </c>
      <c r="D21" s="33" t="n">
        <v>4</v>
      </c>
      <c r="E21" s="33" t="n">
        <v>4</v>
      </c>
      <c r="F21" s="33" t="inlineStr">
        <is>
          <t>green</t>
        </is>
      </c>
      <c r="G21" s="33" t="n">
        <v>0</v>
      </c>
      <c r="H21" s="33" t="n">
        <v>656</v>
      </c>
      <c r="I21" s="33" t="inlineStr">
        <is>
          <t>us</t>
        </is>
      </c>
      <c r="J21" s="33" t="n">
        <v>97</v>
      </c>
      <c r="K21" s="33" t="n">
        <v>1.622</v>
      </c>
      <c r="L21" s="33" t="n">
        <v>33</v>
      </c>
      <c r="M21" s="33" t="inlineStr">
        <is>
          <t>mww</t>
        </is>
      </c>
      <c r="N21" s="33" t="n">
        <v>209.976</v>
      </c>
      <c r="O21" s="33" t="n">
        <v>-23.4797</v>
      </c>
      <c r="P21" s="33" t="n">
        <v>-66.5108</v>
      </c>
      <c r="Q21" s="33" t="inlineStr">
        <is>
          <t>San Antonio de los Cobres, Argentina</t>
        </is>
      </c>
      <c r="R21" s="33" t="inlineStr">
        <is>
          <t>South America</t>
        </is>
      </c>
      <c r="S21" s="33" t="inlineStr">
        <is>
          <t>Argentina</t>
        </is>
      </c>
      <c r="T21" s="36">
        <f>DATE(MID(C21,7,4),MID(C21,4,2),MID(C21,1,2))+TIME(MID(C21,12,2),MID(C21,15,2),0)</f>
        <v/>
      </c>
      <c r="U21" s="33">
        <f>IF(ISNUMBER(VALUE(MID(A21,7,1))),"Distance-prefix pattern","Named-region pattern")</f>
        <v/>
      </c>
      <c r="V21" s="33">
        <f>LOWER(M21)</f>
        <v/>
      </c>
      <c r="W21" s="33">
        <f>IF(COUNTIFS($A$2:$A$1001,A21,$C$2:$C$1001,C21)&gt;1,"Duplicate","Unique")</f>
        <v/>
      </c>
      <c r="X21" s="33">
        <f>YEAR(T21)</f>
        <v/>
      </c>
      <c r="Y21" s="33">
        <f>IF(B21&lt;6.5,"&lt;6.5",IF(B21&lt;7,"6.5–6.9",IF(B21&lt;7.5,"7.0–7.4",IF(B21&lt;8,"7.5–7.9","8.0+"))))</f>
        <v/>
      </c>
      <c r="Z21" s="33">
        <f>IF(F21="","Blank",F21)</f>
        <v/>
      </c>
    </row>
    <row r="22" ht="15" customHeight="1" s="34">
      <c r="A22" s="33" t="inlineStr">
        <is>
          <t>M 6.5 - 40 km SSE of Jurm, Afghanistan</t>
        </is>
      </c>
      <c r="B22" s="33" t="n">
        <v>6.5</v>
      </c>
      <c r="C22" s="33" t="inlineStr">
        <is>
          <t>21/03/2023 16:47</t>
        </is>
      </c>
      <c r="D22" s="33" t="n">
        <v>7</v>
      </c>
      <c r="E22" s="33" t="n">
        <v>5</v>
      </c>
      <c r="F22" s="33" t="inlineStr">
        <is>
          <t>green</t>
        </is>
      </c>
      <c r="G22" s="33" t="n">
        <v>0</v>
      </c>
      <c r="H22" s="33" t="n">
        <v>1350</v>
      </c>
      <c r="I22" s="33" t="inlineStr">
        <is>
          <t>us</t>
        </is>
      </c>
      <c r="J22" s="33" t="n">
        <v>134</v>
      </c>
      <c r="K22" s="33" t="n">
        <v>2.53</v>
      </c>
      <c r="L22" s="33" t="n">
        <v>13</v>
      </c>
      <c r="M22" s="33" t="inlineStr">
        <is>
          <t>mww</t>
        </is>
      </c>
      <c r="N22" s="33" t="n">
        <v>187.589</v>
      </c>
      <c r="O22" s="33" t="n">
        <v>36.5227</v>
      </c>
      <c r="P22" s="33" t="n">
        <v>70.9787</v>
      </c>
      <c r="Q22" s="33" t="inlineStr">
        <is>
          <t>Jurm, Afghanistan</t>
        </is>
      </c>
      <c r="R22" s="33" t="inlineStr">
        <is>
          <t>Asia</t>
        </is>
      </c>
      <c r="S22" s="33" t="inlineStr">
        <is>
          <t>Afghanistan</t>
        </is>
      </c>
      <c r="T22" s="36">
        <f>DATE(MID(C22,7,4),MID(C22,4,2),MID(C22,1,2))+TIME(MID(C22,12,2),MID(C22,15,2),0)</f>
        <v/>
      </c>
      <c r="U22" s="33">
        <f>IF(ISNUMBER(VALUE(MID(A22,7,1))),"Distance-prefix pattern","Named-region pattern")</f>
        <v/>
      </c>
      <c r="V22" s="33">
        <f>LOWER(M22)</f>
        <v/>
      </c>
      <c r="W22" s="33">
        <f>IF(COUNTIFS($A$2:$A$1001,A22,$C$2:$C$1001,C22)&gt;1,"Duplicate","Unique")</f>
        <v/>
      </c>
      <c r="X22" s="33">
        <f>YEAR(T22)</f>
        <v/>
      </c>
      <c r="Y22" s="33">
        <f>IF(B22&lt;6.5,"&lt;6.5",IF(B22&lt;7,"6.5–6.9",IF(B22&lt;7.5,"7.0–7.4",IF(B22&lt;8,"7.5–7.9","8.0+"))))</f>
        <v/>
      </c>
      <c r="Z22" s="33">
        <f>IF(F22="","Blank",F22)</f>
        <v/>
      </c>
    </row>
    <row r="23" ht="15" customHeight="1" s="34">
      <c r="A23" s="33" t="inlineStr">
        <is>
          <t>M 6.8 - near the coast of Ecuador</t>
        </is>
      </c>
      <c r="B23" s="33" t="n">
        <v>6.8</v>
      </c>
      <c r="C23" s="33" t="inlineStr">
        <is>
          <t>18/03/2023 17:12</t>
        </is>
      </c>
      <c r="D23" s="33" t="n">
        <v>9</v>
      </c>
      <c r="E23" s="33" t="n">
        <v>7</v>
      </c>
      <c r="F23" s="33" t="inlineStr">
        <is>
          <t>orange</t>
        </is>
      </c>
      <c r="G23" s="33" t="n">
        <v>1</v>
      </c>
      <c r="H23" s="33" t="n">
        <v>1159</v>
      </c>
      <c r="I23" s="33" t="inlineStr">
        <is>
          <t>us</t>
        </is>
      </c>
      <c r="J23" s="33" t="n">
        <v>152</v>
      </c>
      <c r="K23" s="33" t="n">
        <v>0.709</v>
      </c>
      <c r="L23" s="33" t="n">
        <v>28</v>
      </c>
      <c r="M23" s="33" t="inlineStr">
        <is>
          <t>mww</t>
        </is>
      </c>
      <c r="N23" s="33" t="n">
        <v>65.842</v>
      </c>
      <c r="O23" s="33" t="n">
        <v>-2.851</v>
      </c>
      <c r="P23" s="33" t="n">
        <v>-79.8001</v>
      </c>
      <c r="Q23" s="33" t="inlineStr">
        <is>
          <t>Ecuador</t>
        </is>
      </c>
      <c r="R23" s="33" t="inlineStr">
        <is>
          <t>South America</t>
        </is>
      </c>
      <c r="S23" s="33" t="inlineStr">
        <is>
          <t>Ecuador</t>
        </is>
      </c>
      <c r="T23" s="36">
        <f>DATE(MID(C23,7,4),MID(C23,4,2),MID(C23,1,2))+TIME(MID(C23,12,2),MID(C23,15,2),0)</f>
        <v/>
      </c>
      <c r="U23" s="33">
        <f>IF(ISNUMBER(VALUE(MID(A23,7,1))),"Distance-prefix pattern","Named-region pattern")</f>
        <v/>
      </c>
      <c r="V23" s="33">
        <f>LOWER(M23)</f>
        <v/>
      </c>
      <c r="W23" s="33">
        <f>IF(COUNTIFS($A$2:$A$1001,A23,$C$2:$C$1001,C23)&gt;1,"Duplicate","Unique")</f>
        <v/>
      </c>
      <c r="X23" s="33">
        <f>YEAR(T23)</f>
        <v/>
      </c>
      <c r="Y23" s="33">
        <f>IF(B23&lt;6.5,"&lt;6.5",IF(B23&lt;7,"6.5–6.9",IF(B23&lt;7.5,"7.0–7.4",IF(B23&lt;8,"7.5–7.9","8.0+"))))</f>
        <v/>
      </c>
      <c r="Z23" s="33">
        <f>IF(F23="","Blank",F23)</f>
        <v/>
      </c>
    </row>
    <row r="24" ht="15" customHeight="1" s="34">
      <c r="A24" s="33" t="inlineStr">
        <is>
          <t>M 7.0 - Kermadec Islands region</t>
        </is>
      </c>
      <c r="B24" s="33" t="n">
        <v>7</v>
      </c>
      <c r="C24" s="33" t="inlineStr">
        <is>
          <t>16/03/2023 00:56</t>
        </is>
      </c>
      <c r="D24" s="33" t="n">
        <v>8</v>
      </c>
      <c r="E24" s="33" t="n">
        <v>5</v>
      </c>
      <c r="F24" s="33" t="inlineStr">
        <is>
          <t>green</t>
        </is>
      </c>
      <c r="G24" s="33" t="n">
        <v>1</v>
      </c>
      <c r="H24" s="33" t="n">
        <v>756</v>
      </c>
      <c r="I24" s="33" t="inlineStr">
        <is>
          <t>us</t>
        </is>
      </c>
      <c r="J24" s="33" t="n">
        <v>116</v>
      </c>
      <c r="K24" s="33" t="n">
        <v>1.789</v>
      </c>
      <c r="L24" s="33" t="n">
        <v>22</v>
      </c>
      <c r="M24" s="33" t="inlineStr">
        <is>
          <t>mww</t>
        </is>
      </c>
      <c r="N24" s="33" t="n">
        <v>22.065</v>
      </c>
      <c r="O24" s="33" t="n">
        <v>-30.1147</v>
      </c>
      <c r="P24" s="33" t="n">
        <v>-176.112</v>
      </c>
      <c r="Q24" s="33" t="inlineStr">
        <is>
          <t>Kermadec Islands region</t>
        </is>
      </c>
      <c r="T24" s="36">
        <f>DATE(MID(C24,7,4),MID(C24,4,2),MID(C24,1,2))+TIME(MID(C24,12,2),MID(C24,15,2),0)</f>
        <v/>
      </c>
      <c r="U24" s="33">
        <f>IF(ISNUMBER(VALUE(MID(A24,7,1))),"Distance-prefix pattern","Named-region pattern")</f>
        <v/>
      </c>
      <c r="V24" s="33">
        <f>LOWER(M24)</f>
        <v/>
      </c>
      <c r="W24" s="33">
        <f>IF(COUNTIFS($A$2:$A$1001,A24,$C$2:$C$1001,C24)&gt;1,"Duplicate","Unique")</f>
        <v/>
      </c>
      <c r="X24" s="33">
        <f>YEAR(T24)</f>
        <v/>
      </c>
      <c r="Y24" s="33">
        <f>IF(B24&lt;6.5,"&lt;6.5",IF(B24&lt;7,"6.5–6.9",IF(B24&lt;7.5,"7.0–7.4",IF(B24&lt;8,"7.5–7.9","8.0+"))))</f>
        <v/>
      </c>
      <c r="Z24" s="33">
        <f>IF(F24="","Blank",F24)</f>
        <v/>
      </c>
    </row>
    <row r="25" ht="15" customHeight="1" s="34">
      <c r="A25" s="33" t="inlineStr">
        <is>
          <t>M 6.9 - Kermadec Islands, New Zealand</t>
        </is>
      </c>
      <c r="B25" s="33" t="n">
        <v>6.9</v>
      </c>
      <c r="C25" s="33" t="inlineStr">
        <is>
          <t>04/03/2023 06:41</t>
        </is>
      </c>
      <c r="D25" s="33" t="n">
        <v>5</v>
      </c>
      <c r="E25" s="33" t="n">
        <v>5</v>
      </c>
      <c r="F25" s="33" t="inlineStr">
        <is>
          <t>green</t>
        </is>
      </c>
      <c r="G25" s="33" t="n">
        <v>1</v>
      </c>
      <c r="H25" s="33" t="n">
        <v>735</v>
      </c>
      <c r="I25" s="33" t="inlineStr">
        <is>
          <t>us</t>
        </is>
      </c>
      <c r="J25" s="33" t="n">
        <v>108</v>
      </c>
      <c r="K25" s="33" t="n">
        <v>0.784</v>
      </c>
      <c r="L25" s="33" t="n">
        <v>18</v>
      </c>
      <c r="M25" s="33" t="inlineStr">
        <is>
          <t>mww</t>
        </is>
      </c>
      <c r="N25" s="33" t="n">
        <v>205.681</v>
      </c>
      <c r="O25" s="33" t="n">
        <v>-29.4748</v>
      </c>
      <c r="P25" s="33" t="n">
        <v>-178.787</v>
      </c>
      <c r="Q25" s="33" t="inlineStr">
        <is>
          <t>Kermadec Islands, New Zealand</t>
        </is>
      </c>
      <c r="T25" s="36">
        <f>DATE(MID(C25,7,4),MID(C25,4,2),MID(C25,1,2))+TIME(MID(C25,12,2),MID(C25,15,2),0)</f>
        <v/>
      </c>
      <c r="U25" s="33">
        <f>IF(ISNUMBER(VALUE(MID(A25,7,1))),"Distance-prefix pattern","Named-region pattern")</f>
        <v/>
      </c>
      <c r="V25" s="33">
        <f>LOWER(M25)</f>
        <v/>
      </c>
      <c r="W25" s="33">
        <f>IF(COUNTIFS($A$2:$A$1001,A25,$C$2:$C$1001,C25)&gt;1,"Duplicate","Unique")</f>
        <v/>
      </c>
      <c r="X25" s="33">
        <f>YEAR(T25)</f>
        <v/>
      </c>
      <c r="Y25" s="33">
        <f>IF(B25&lt;6.5,"&lt;6.5",IF(B25&lt;7,"6.5–6.9",IF(B25&lt;7.5,"7.0–7.4",IF(B25&lt;8,"7.5–7.9","8.0+"))))</f>
        <v/>
      </c>
      <c r="Z25" s="33">
        <f>IF(F25="","Blank",F25)</f>
        <v/>
      </c>
    </row>
    <row r="26" ht="15" customHeight="1" s="34">
      <c r="A26" s="33" t="inlineStr">
        <is>
          <t>M 6.5 - 86 km WSW of Port-Olry, Vanuatu</t>
        </is>
      </c>
      <c r="B26" s="33" t="n">
        <v>6.5</v>
      </c>
      <c r="C26" s="33" t="inlineStr">
        <is>
          <t>02/03/2023 18:04</t>
        </is>
      </c>
      <c r="D26" s="33" t="n">
        <v>7</v>
      </c>
      <c r="E26" s="33" t="n">
        <v>6</v>
      </c>
      <c r="F26" s="33" t="inlineStr">
        <is>
          <t>green</t>
        </is>
      </c>
      <c r="G26" s="33" t="n">
        <v>1</v>
      </c>
      <c r="H26" s="33" t="n">
        <v>653</v>
      </c>
      <c r="I26" s="33" t="inlineStr">
        <is>
          <t>us</t>
        </is>
      </c>
      <c r="J26" s="33" t="n">
        <v>66</v>
      </c>
      <c r="K26" s="33" t="n">
        <v>5.483</v>
      </c>
      <c r="L26" s="33" t="n">
        <v>45</v>
      </c>
      <c r="M26" s="33" t="inlineStr">
        <is>
          <t>mww</t>
        </is>
      </c>
      <c r="N26" s="33" t="n">
        <v>10</v>
      </c>
      <c r="O26" s="33" t="n">
        <v>-15.3597</v>
      </c>
      <c r="P26" s="33" t="n">
        <v>166.385</v>
      </c>
      <c r="Q26" s="33" t="inlineStr">
        <is>
          <t>Port-Olry, Vanuatu</t>
        </is>
      </c>
      <c r="T26" s="36">
        <f>DATE(MID(C26,7,4),MID(C26,4,2),MID(C26,1,2))+TIME(MID(C26,12,2),MID(C26,15,2),0)</f>
        <v/>
      </c>
      <c r="U26" s="33">
        <f>IF(ISNUMBER(VALUE(MID(A26,7,1))),"Distance-prefix pattern","Named-region pattern")</f>
        <v/>
      </c>
      <c r="V26" s="33">
        <f>LOWER(M26)</f>
        <v/>
      </c>
      <c r="W26" s="33">
        <f>IF(COUNTIFS($A$2:$A$1001,A26,$C$2:$C$1001,C26)&gt;1,"Duplicate","Unique")</f>
        <v/>
      </c>
      <c r="X26" s="33">
        <f>YEAR(T26)</f>
        <v/>
      </c>
      <c r="Y26" s="33">
        <f>IF(B26&lt;6.5,"&lt;6.5",IF(B26&lt;7,"6.5–6.9",IF(B26&lt;7.5,"7.0–7.4",IF(B26&lt;8,"7.5–7.9","8.0+"))))</f>
        <v/>
      </c>
      <c r="Z26" s="33">
        <f>IF(F26="","Blank",F26)</f>
        <v/>
      </c>
    </row>
    <row r="27" ht="15" customHeight="1" s="34">
      <c r="A27" s="33" t="inlineStr">
        <is>
          <t>M 6.5 - 108 km NW of Kimbe, Papua New Guinea</t>
        </is>
      </c>
      <c r="B27" s="33" t="n">
        <v>6.5</v>
      </c>
      <c r="C27" s="33" t="inlineStr">
        <is>
          <t>01/03/2023 05:36</t>
        </is>
      </c>
      <c r="D27" s="33" t="n">
        <v>4</v>
      </c>
      <c r="E27" s="33" t="n">
        <v>2</v>
      </c>
      <c r="F27" s="33" t="inlineStr">
        <is>
          <t>green</t>
        </is>
      </c>
      <c r="G27" s="33" t="n">
        <v>1</v>
      </c>
      <c r="H27" s="33" t="n">
        <v>652</v>
      </c>
      <c r="I27" s="33" t="inlineStr">
        <is>
          <t>us</t>
        </is>
      </c>
      <c r="J27" s="33" t="n">
        <v>115</v>
      </c>
      <c r="K27" s="33" t="n">
        <v>2.739</v>
      </c>
      <c r="L27" s="33" t="n">
        <v>20</v>
      </c>
      <c r="M27" s="33" t="inlineStr">
        <is>
          <t>mww</t>
        </is>
      </c>
      <c r="N27" s="33" t="n">
        <v>598.925</v>
      </c>
      <c r="O27" s="33" t="n">
        <v>-4.8138</v>
      </c>
      <c r="P27" s="33" t="n">
        <v>149.487</v>
      </c>
      <c r="Q27" s="33" t="inlineStr">
        <is>
          <t>Kimbe, Papua New Guinea</t>
        </is>
      </c>
      <c r="S27" s="33" t="inlineStr">
        <is>
          <t>Papua New Guinea</t>
        </is>
      </c>
      <c r="T27" s="36">
        <f>DATE(MID(C27,7,4),MID(C27,4,2),MID(C27,1,2))+TIME(MID(C27,12,2),MID(C27,15,2),0)</f>
        <v/>
      </c>
      <c r="U27" s="33">
        <f>IF(ISNUMBER(VALUE(MID(A27,7,1))),"Distance-prefix pattern","Named-region pattern")</f>
        <v/>
      </c>
      <c r="V27" s="33">
        <f>LOWER(M27)</f>
        <v/>
      </c>
      <c r="W27" s="33">
        <f>IF(COUNTIFS($A$2:$A$1001,A27,$C$2:$C$1001,C27)&gt;1,"Duplicate","Unique")</f>
        <v/>
      </c>
      <c r="X27" s="33">
        <f>YEAR(T27)</f>
        <v/>
      </c>
      <c r="Y27" s="33">
        <f>IF(B27&lt;6.5,"&lt;6.5",IF(B27&lt;7,"6.5–6.9",IF(B27&lt;7.5,"7.0–7.4",IF(B27&lt;8,"7.5–7.9","8.0+"))))</f>
        <v/>
      </c>
      <c r="Z27" s="33">
        <f>IF(F27="","Blank",F27)</f>
        <v/>
      </c>
    </row>
    <row r="28" ht="15" customHeight="1" s="34">
      <c r="A28" s="33" t="inlineStr">
        <is>
          <t>M 6.8 - 67 km W of Murghob, Tajikistan</t>
        </is>
      </c>
      <c r="B28" s="33" t="n">
        <v>6.8</v>
      </c>
      <c r="C28" s="33" t="inlineStr">
        <is>
          <t>23/02/2023 00:37</t>
        </is>
      </c>
      <c r="D28" s="33" t="n">
        <v>9</v>
      </c>
      <c r="E28" s="33" t="n">
        <v>7</v>
      </c>
      <c r="F28" s="33" t="inlineStr">
        <is>
          <t>green</t>
        </is>
      </c>
      <c r="G28" s="33" t="n">
        <v>0</v>
      </c>
      <c r="H28" s="33" t="n">
        <v>737</v>
      </c>
      <c r="I28" s="33" t="inlineStr">
        <is>
          <t>us</t>
        </is>
      </c>
      <c r="J28" s="33" t="n">
        <v>128</v>
      </c>
      <c r="K28" s="33" t="n">
        <v>1.783</v>
      </c>
      <c r="L28" s="33" t="n">
        <v>20</v>
      </c>
      <c r="M28" s="33" t="inlineStr">
        <is>
          <t>mww</t>
        </is>
      </c>
      <c r="N28" s="33" t="n">
        <v>20.522</v>
      </c>
      <c r="O28" s="33" t="n">
        <v>38.0726</v>
      </c>
      <c r="P28" s="33" t="n">
        <v>73.2077</v>
      </c>
      <c r="Q28" s="33" t="inlineStr">
        <is>
          <t>Murghob, Tajikistan</t>
        </is>
      </c>
      <c r="R28" s="33" t="inlineStr">
        <is>
          <t>Asia</t>
        </is>
      </c>
      <c r="S28" s="33" t="inlineStr">
        <is>
          <t>Tajikistan</t>
        </is>
      </c>
      <c r="T28" s="36">
        <f>DATE(MID(C28,7,4),MID(C28,4,2),MID(C28,1,2))+TIME(MID(C28,12,2),MID(C28,15,2),0)</f>
        <v/>
      </c>
      <c r="U28" s="33">
        <f>IF(ISNUMBER(VALUE(MID(A28,7,1))),"Distance-prefix pattern","Named-region pattern")</f>
        <v/>
      </c>
      <c r="V28" s="33">
        <f>LOWER(M28)</f>
        <v/>
      </c>
      <c r="W28" s="33">
        <f>IF(COUNTIFS($A$2:$A$1001,A28,$C$2:$C$1001,C28)&gt;1,"Duplicate","Unique")</f>
        <v/>
      </c>
      <c r="X28" s="33">
        <f>YEAR(T28)</f>
        <v/>
      </c>
      <c r="Y28" s="33">
        <f>IF(B28&lt;6.5,"&lt;6.5",IF(B28&lt;7,"6.5–6.9",IF(B28&lt;7.5,"7.0–7.4",IF(B28&lt;8,"7.5–7.9","8.0+"))))</f>
        <v/>
      </c>
      <c r="Z28" s="33">
        <f>IF(F28="","Blank",F28)</f>
        <v/>
      </c>
    </row>
    <row r="29" ht="15" customHeight="1" s="34">
      <c r="A29" s="33" t="inlineStr">
        <is>
          <t>M 7.5 - 4 km SSE of Ekinözü, Turkey</t>
        </is>
      </c>
      <c r="B29" s="33" t="n">
        <v>7.5</v>
      </c>
      <c r="C29" s="33" t="inlineStr">
        <is>
          <t>06/02/2023 10:24</t>
        </is>
      </c>
      <c r="D29" s="33" t="n">
        <v>9</v>
      </c>
      <c r="E29" s="33" t="n">
        <v>9</v>
      </c>
      <c r="F29" s="33" t="inlineStr">
        <is>
          <t>orange</t>
        </is>
      </c>
      <c r="G29" s="33" t="n">
        <v>0</v>
      </c>
      <c r="H29" s="33" t="n">
        <v>1411</v>
      </c>
      <c r="I29" s="33" t="inlineStr">
        <is>
          <t>us</t>
        </is>
      </c>
      <c r="J29" s="33" t="n">
        <v>135</v>
      </c>
      <c r="K29" s="33" t="n">
        <v>0.85</v>
      </c>
      <c r="L29" s="33" t="n">
        <v>17</v>
      </c>
      <c r="M29" s="33" t="inlineStr">
        <is>
          <t>mww</t>
        </is>
      </c>
      <c r="N29" s="33" t="n">
        <v>10</v>
      </c>
      <c r="O29" s="33" t="n">
        <v>38.0235</v>
      </c>
      <c r="P29" s="33" t="n">
        <v>37.203</v>
      </c>
      <c r="Q29" s="33" t="inlineStr">
        <is>
          <t>Ekinözü, Turkey</t>
        </is>
      </c>
      <c r="R29" s="33" t="inlineStr">
        <is>
          <t>Asia</t>
        </is>
      </c>
      <c r="S29" s="33" t="inlineStr">
        <is>
          <t>Turkiye</t>
        </is>
      </c>
      <c r="T29" s="36">
        <f>DATE(MID(C29,7,4),MID(C29,4,2),MID(C29,1,2))+TIME(MID(C29,12,2),MID(C29,15,2),0)</f>
        <v/>
      </c>
      <c r="U29" s="33">
        <f>IF(ISNUMBER(VALUE(MID(A29,7,1))),"Distance-prefix pattern","Named-region pattern")</f>
        <v/>
      </c>
      <c r="V29" s="33">
        <f>LOWER(M29)</f>
        <v/>
      </c>
      <c r="W29" s="33">
        <f>IF(COUNTIFS($A$2:$A$1001,A29,$C$2:$C$1001,C29)&gt;1,"Duplicate","Unique")</f>
        <v/>
      </c>
      <c r="X29" s="33">
        <f>YEAR(T29)</f>
        <v/>
      </c>
      <c r="Y29" s="33">
        <f>IF(B29&lt;6.5,"&lt;6.5",IF(B29&lt;7,"6.5–6.9",IF(B29&lt;7.5,"7.0–7.4",IF(B29&lt;8,"7.5–7.9","8.0+"))))</f>
        <v/>
      </c>
      <c r="Z29" s="33">
        <f>IF(F29="","Blank",F29)</f>
        <v/>
      </c>
    </row>
    <row r="30" ht="15" customHeight="1" s="34">
      <c r="A30" s="33" t="inlineStr">
        <is>
          <t>M 6.7 - 18 km ESE of Nurdağı, Turkey</t>
        </is>
      </c>
      <c r="B30" s="33" t="n">
        <v>6.7</v>
      </c>
      <c r="C30" s="33" t="inlineStr">
        <is>
          <t>06/02/2023 01:28</t>
        </is>
      </c>
      <c r="D30" s="33" t="n">
        <v>9</v>
      </c>
      <c r="E30" s="33" t="n">
        <v>8</v>
      </c>
      <c r="F30" s="33" t="inlineStr">
        <is>
          <t>yellow</t>
        </is>
      </c>
      <c r="G30" s="33" t="n">
        <v>0</v>
      </c>
      <c r="H30" s="33" t="n">
        <v>800</v>
      </c>
      <c r="I30" s="33" t="inlineStr">
        <is>
          <t>us</t>
        </is>
      </c>
      <c r="J30" s="33" t="n">
        <v>108</v>
      </c>
      <c r="K30" s="33" t="n">
        <v>0.218</v>
      </c>
      <c r="L30" s="33" t="n">
        <v>44</v>
      </c>
      <c r="M30" s="33" t="inlineStr">
        <is>
          <t>mww</t>
        </is>
      </c>
      <c r="N30" s="33" t="n">
        <v>14.497</v>
      </c>
      <c r="O30" s="33" t="n">
        <v>37.4135</v>
      </c>
      <c r="P30" s="33" t="n">
        <v>36.8306</v>
      </c>
      <c r="Q30" s="33" t="inlineStr">
        <is>
          <t>Nurdağı, Turkey</t>
        </is>
      </c>
      <c r="R30" s="33" t="inlineStr">
        <is>
          <t>Asia</t>
        </is>
      </c>
      <c r="S30" s="33" t="inlineStr">
        <is>
          <t>Turkiye</t>
        </is>
      </c>
      <c r="T30" s="36">
        <f>DATE(MID(C30,7,4),MID(C30,4,2),MID(C30,1,2))+TIME(MID(C30,12,2),MID(C30,15,2),0)</f>
        <v/>
      </c>
      <c r="U30" s="33">
        <f>IF(ISNUMBER(VALUE(MID(A30,7,1))),"Distance-prefix pattern","Named-region pattern")</f>
        <v/>
      </c>
      <c r="V30" s="33">
        <f>LOWER(M30)</f>
        <v/>
      </c>
      <c r="W30" s="33">
        <f>IF(COUNTIFS($A$2:$A$1001,A30,$C$2:$C$1001,C30)&gt;1,"Duplicate","Unique")</f>
        <v/>
      </c>
      <c r="X30" s="33">
        <f>YEAR(T30)</f>
        <v/>
      </c>
      <c r="Y30" s="33">
        <f>IF(B30&lt;6.5,"&lt;6.5",IF(B30&lt;7,"6.5–6.9",IF(B30&lt;7.5,"7.0–7.4",IF(B30&lt;8,"7.5–7.9","8.0+"))))</f>
        <v/>
      </c>
      <c r="Z30" s="33">
        <f>IF(F30="","Blank",F30)</f>
        <v/>
      </c>
    </row>
    <row r="31" ht="15" customHeight="1" s="34">
      <c r="A31" s="33" t="inlineStr">
        <is>
          <t>M 7.8 - Central Turkey</t>
        </is>
      </c>
      <c r="B31" s="33" t="n">
        <v>7.8</v>
      </c>
      <c r="C31" s="33" t="inlineStr">
        <is>
          <t>06/02/2023 01:17</t>
        </is>
      </c>
      <c r="D31" s="33" t="n">
        <v>9</v>
      </c>
      <c r="E31" s="33" t="n">
        <v>9</v>
      </c>
      <c r="F31" s="33" t="inlineStr">
        <is>
          <t>red</t>
        </is>
      </c>
      <c r="G31" s="33" t="n">
        <v>0</v>
      </c>
      <c r="H31" s="33" t="n">
        <v>2910</v>
      </c>
      <c r="I31" s="33" t="inlineStr">
        <is>
          <t>us</t>
        </is>
      </c>
      <c r="J31" s="33" t="n">
        <v>118</v>
      </c>
      <c r="K31" s="33" t="n">
        <v>1.919</v>
      </c>
      <c r="L31" s="33" t="n">
        <v>32</v>
      </c>
      <c r="M31" s="33" t="inlineStr">
        <is>
          <t>mww</t>
        </is>
      </c>
      <c r="N31" s="33" t="n">
        <v>17.925</v>
      </c>
      <c r="O31" s="33" t="n">
        <v>37.2012</v>
      </c>
      <c r="P31" s="33" t="n">
        <v>36.9997</v>
      </c>
      <c r="Q31" s="33" t="inlineStr">
        <is>
          <t>Central Turkey</t>
        </is>
      </c>
      <c r="R31" s="33" t="inlineStr">
        <is>
          <t>Asia</t>
        </is>
      </c>
      <c r="S31" s="33" t="inlineStr">
        <is>
          <t>Turkiye</t>
        </is>
      </c>
      <c r="T31" s="36">
        <f>DATE(MID(C31,7,4),MID(C31,4,2),MID(C31,1,2))+TIME(MID(C31,12,2),MID(C31,15,2),0)</f>
        <v/>
      </c>
      <c r="U31" s="33">
        <f>IF(ISNUMBER(VALUE(MID(A31,7,1))),"Distance-prefix pattern","Named-region pattern")</f>
        <v/>
      </c>
      <c r="V31" s="33">
        <f>LOWER(M31)</f>
        <v/>
      </c>
      <c r="W31" s="33">
        <f>IF(COUNTIFS($A$2:$A$1001,A31,$C$2:$C$1001,C31)&gt;1,"Duplicate","Unique")</f>
        <v/>
      </c>
      <c r="X31" s="33">
        <f>YEAR(T31)</f>
        <v/>
      </c>
      <c r="Y31" s="33">
        <f>IF(B31&lt;6.5,"&lt;6.5",IF(B31&lt;7,"6.5–6.9",IF(B31&lt;7.5,"7.0–7.4",IF(B31&lt;8,"7.5–7.9","8.0+"))))</f>
        <v/>
      </c>
      <c r="Z31" s="33">
        <f>IF(F31="","Blank",F31)</f>
        <v/>
      </c>
    </row>
    <row r="32" ht="15" customHeight="1" s="34">
      <c r="A32" s="33" t="inlineStr">
        <is>
          <t xml:space="preserve">M 6.8 - </t>
        </is>
      </c>
      <c r="B32" s="33" t="n">
        <v>6.8</v>
      </c>
      <c r="C32" s="33" t="inlineStr">
        <is>
          <t>20/01/2023 22:09</t>
        </is>
      </c>
      <c r="D32" s="33" t="n">
        <v>4</v>
      </c>
      <c r="E32" s="33" t="n">
        <v>3</v>
      </c>
      <c r="F32" s="33" t="inlineStr">
        <is>
          <t>green</t>
        </is>
      </c>
      <c r="G32" s="33" t="n">
        <v>0</v>
      </c>
      <c r="H32" s="33" t="n">
        <v>718</v>
      </c>
      <c r="I32" s="33" t="inlineStr">
        <is>
          <t>us</t>
        </is>
      </c>
      <c r="J32" s="33" t="n">
        <v>60</v>
      </c>
      <c r="K32" s="33" t="n">
        <v>5.129</v>
      </c>
      <c r="L32" s="33" t="n">
        <v>61</v>
      </c>
      <c r="M32" s="33" t="inlineStr">
        <is>
          <t>mww</t>
        </is>
      </c>
      <c r="N32" s="33" t="n">
        <v>610.671</v>
      </c>
      <c r="O32" s="33" t="n">
        <v>-26.7209</v>
      </c>
      <c r="P32" s="33" t="n">
        <v>-63.0394</v>
      </c>
      <c r="R32" s="33" t="inlineStr">
        <is>
          <t>South America</t>
        </is>
      </c>
      <c r="S32" s="33" t="inlineStr">
        <is>
          <t>Argentina</t>
        </is>
      </c>
      <c r="T32" s="36">
        <f>DATE(MID(C32,7,4),MID(C32,4,2),MID(C32,1,2))+TIME(MID(C32,12,2),MID(C32,15,2),0)</f>
        <v/>
      </c>
      <c r="U32" s="33">
        <f>IF(ISNUMBER(VALUE(MID(A32,7,1))),"Distance-prefix pattern","Named-region pattern")</f>
        <v/>
      </c>
      <c r="V32" s="33">
        <f>LOWER(M32)</f>
        <v/>
      </c>
      <c r="W32" s="33">
        <f>IF(COUNTIFS($A$2:$A$1001,A32,$C$2:$C$1001,C32)&gt;1,"Duplicate","Unique")</f>
        <v/>
      </c>
      <c r="X32" s="33">
        <f>YEAR(T32)</f>
        <v/>
      </c>
      <c r="Y32" s="33">
        <f>IF(B32&lt;6.5,"&lt;6.5",IF(B32&lt;7,"6.5–6.9",IF(B32&lt;7.5,"7.0–7.4",IF(B32&lt;8,"7.5–7.9","8.0+"))))</f>
        <v/>
      </c>
      <c r="Z32" s="33">
        <f>IF(F32="","Blank",F32)</f>
        <v/>
      </c>
    </row>
    <row r="33" ht="15" customHeight="1" s="34">
      <c r="A33" s="33" t="inlineStr">
        <is>
          <t>M 7.0 - 153 km NW of Tobelo, Indonesia</t>
        </is>
      </c>
      <c r="B33" s="33" t="n">
        <v>7</v>
      </c>
      <c r="C33" s="33" t="inlineStr">
        <is>
          <t>18/01/2023 06:06</t>
        </is>
      </c>
      <c r="D33" s="33" t="n">
        <v>3</v>
      </c>
      <c r="E33" s="33" t="n">
        <v>5</v>
      </c>
      <c r="F33" s="33" t="inlineStr">
        <is>
          <t>green</t>
        </is>
      </c>
      <c r="G33" s="33" t="n">
        <v>1</v>
      </c>
      <c r="H33" s="33" t="n">
        <v>756</v>
      </c>
      <c r="I33" s="33" t="inlineStr">
        <is>
          <t>us</t>
        </is>
      </c>
      <c r="J33" s="33" t="n">
        <v>130</v>
      </c>
      <c r="K33" s="33" t="n">
        <v>1.974</v>
      </c>
      <c r="L33" s="33" t="n">
        <v>17</v>
      </c>
      <c r="M33" s="33" t="inlineStr">
        <is>
          <t>mwc</t>
        </is>
      </c>
      <c r="N33" s="33" t="n">
        <v>28.566</v>
      </c>
      <c r="O33" s="33" t="n">
        <v>2.7401</v>
      </c>
      <c r="P33" s="33" t="n">
        <v>127.051</v>
      </c>
      <c r="Q33" s="33" t="inlineStr">
        <is>
          <t>Tobelo, Indonesia</t>
        </is>
      </c>
      <c r="S33" s="33" t="inlineStr">
        <is>
          <t>Indonesia</t>
        </is>
      </c>
      <c r="T33" s="36">
        <f>DATE(MID(C33,7,4),MID(C33,4,2),MID(C33,1,2))+TIME(MID(C33,12,2),MID(C33,15,2),0)</f>
        <v/>
      </c>
      <c r="U33" s="33">
        <f>IF(ISNUMBER(VALUE(MID(A33,7,1))),"Distance-prefix pattern","Named-region pattern")</f>
        <v/>
      </c>
      <c r="V33" s="33">
        <f>LOWER(M33)</f>
        <v/>
      </c>
      <c r="W33" s="33">
        <f>IF(COUNTIFS($A$2:$A$1001,A33,$C$2:$C$1001,C33)&gt;1,"Duplicate","Unique")</f>
        <v/>
      </c>
      <c r="X33" s="33">
        <f>YEAR(T33)</f>
        <v/>
      </c>
      <c r="Y33" s="33">
        <f>IF(B33&lt;6.5,"&lt;6.5",IF(B33&lt;7,"6.5–6.9",IF(B33&lt;7.5,"7.0–7.4",IF(B33&lt;8,"7.5–7.9","8.0+"))))</f>
        <v/>
      </c>
      <c r="Z33" s="33">
        <f>IF(F33="","Blank",F33)</f>
        <v/>
      </c>
    </row>
    <row r="34" ht="15" customHeight="1" s="34">
      <c r="A34" s="33" t="inlineStr">
        <is>
          <t>M 7.6 - Pulau Pulau Tanimbar, Indonesia</t>
        </is>
      </c>
      <c r="B34" s="33" t="n">
        <v>7.6</v>
      </c>
      <c r="C34" s="33" t="inlineStr">
        <is>
          <t>09/01/2023 17:47</t>
        </is>
      </c>
      <c r="D34" s="33" t="n">
        <v>5</v>
      </c>
      <c r="E34" s="33" t="n">
        <v>7</v>
      </c>
      <c r="F34" s="33" t="inlineStr">
        <is>
          <t>green</t>
        </is>
      </c>
      <c r="G34" s="33" t="n">
        <v>0</v>
      </c>
      <c r="H34" s="33" t="n">
        <v>957</v>
      </c>
      <c r="I34" s="33" t="inlineStr">
        <is>
          <t>us</t>
        </is>
      </c>
      <c r="J34" s="33" t="n">
        <v>114</v>
      </c>
      <c r="K34" s="33" t="n">
        <v>1.575</v>
      </c>
      <c r="L34" s="33" t="n">
        <v>21</v>
      </c>
      <c r="M34" s="33" t="inlineStr">
        <is>
          <t>mww</t>
        </is>
      </c>
      <c r="N34" s="33" t="n">
        <v>105.249</v>
      </c>
      <c r="O34" s="33" t="n">
        <v>-7.0852</v>
      </c>
      <c r="P34" s="33" t="n">
        <v>130.039</v>
      </c>
      <c r="Q34" s="33" t="inlineStr">
        <is>
          <t>Pulau Pulau Tanimbar, Indonesia</t>
        </is>
      </c>
      <c r="S34" s="33" t="inlineStr">
        <is>
          <t>Indonesia</t>
        </is>
      </c>
      <c r="T34" s="36">
        <f>DATE(MID(C34,7,4),MID(C34,4,2),MID(C34,1,2))+TIME(MID(C34,12,2),MID(C34,15,2),0)</f>
        <v/>
      </c>
      <c r="U34" s="33">
        <f>IF(ISNUMBER(VALUE(MID(A34,7,1))),"Distance-prefix pattern","Named-region pattern")</f>
        <v/>
      </c>
      <c r="V34" s="33">
        <f>LOWER(M34)</f>
        <v/>
      </c>
      <c r="W34" s="33">
        <f>IF(COUNTIFS($A$2:$A$1001,A34,$C$2:$C$1001,C34)&gt;1,"Duplicate","Unique")</f>
        <v/>
      </c>
      <c r="X34" s="33">
        <f>YEAR(T34)</f>
        <v/>
      </c>
      <c r="Y34" s="33">
        <f>IF(B34&lt;6.5,"&lt;6.5",IF(B34&lt;7,"6.5–6.9",IF(B34&lt;7.5,"7.0–7.4",IF(B34&lt;8,"7.5–7.9","8.0+"))))</f>
        <v/>
      </c>
      <c r="Z34" s="33">
        <f>IF(F34="","Blank",F34)</f>
        <v/>
      </c>
    </row>
    <row r="35" ht="15" customHeight="1" s="34">
      <c r="A35" s="33" t="inlineStr">
        <is>
          <t>M 7.0 - Vanuatu</t>
        </is>
      </c>
      <c r="B35" s="33" t="n">
        <v>7</v>
      </c>
      <c r="C35" s="33" t="inlineStr">
        <is>
          <t>08/01/2023 12:32</t>
        </is>
      </c>
      <c r="D35" s="33" t="n">
        <v>8</v>
      </c>
      <c r="E35" s="33" t="n">
        <v>7</v>
      </c>
      <c r="F35" s="33" t="inlineStr">
        <is>
          <t>green</t>
        </is>
      </c>
      <c r="G35" s="33" t="n">
        <v>1</v>
      </c>
      <c r="H35" s="33" t="n">
        <v>768</v>
      </c>
      <c r="I35" s="33" t="inlineStr">
        <is>
          <t>us</t>
        </is>
      </c>
      <c r="J35" s="33" t="n">
        <v>116</v>
      </c>
      <c r="K35" s="33" t="n">
        <v>6.096</v>
      </c>
      <c r="L35" s="33" t="n">
        <v>36</v>
      </c>
      <c r="M35" s="33" t="inlineStr">
        <is>
          <t>mww</t>
        </is>
      </c>
      <c r="N35" s="33" t="n">
        <v>29</v>
      </c>
      <c r="O35" s="33" t="n">
        <v>-14.9383</v>
      </c>
      <c r="P35" s="33" t="n">
        <v>166.878</v>
      </c>
      <c r="Q35" s="33" t="inlineStr">
        <is>
          <t>Vanuatu</t>
        </is>
      </c>
      <c r="S35" s="33" t="inlineStr">
        <is>
          <t>Vanuatu</t>
        </is>
      </c>
      <c r="T35" s="36">
        <f>DATE(MID(C35,7,4),MID(C35,4,2),MID(C35,1,2))+TIME(MID(C35,12,2),MID(C35,15,2),0)</f>
        <v/>
      </c>
      <c r="U35" s="33">
        <f>IF(ISNUMBER(VALUE(MID(A35,7,1))),"Distance-prefix pattern","Named-region pattern")</f>
        <v/>
      </c>
      <c r="V35" s="33">
        <f>LOWER(M35)</f>
        <v/>
      </c>
      <c r="W35" s="33">
        <f>IF(COUNTIFS($A$2:$A$1001,A35,$C$2:$C$1001,C35)&gt;1,"Duplicate","Unique")</f>
        <v/>
      </c>
      <c r="X35" s="33">
        <f>YEAR(T35)</f>
        <v/>
      </c>
      <c r="Y35" s="33">
        <f>IF(B35&lt;6.5,"&lt;6.5",IF(B35&lt;7,"6.5–6.9",IF(B35&lt;7.5,"7.0–7.4",IF(B35&lt;8,"7.5–7.9","8.0+"))))</f>
        <v/>
      </c>
      <c r="Z35" s="33">
        <f>IF(F35="","Blank",F35)</f>
        <v/>
      </c>
    </row>
    <row r="36" ht="15" customHeight="1" s="34">
      <c r="A36" s="33" t="inlineStr">
        <is>
          <t>M 6.8 - 109 km NE of Hihifo, Tonga</t>
        </is>
      </c>
      <c r="B36" s="33" t="n">
        <v>6.8</v>
      </c>
      <c r="C36" s="33" t="inlineStr">
        <is>
          <t>04/12/2022 19:24</t>
        </is>
      </c>
      <c r="D36" s="33" t="n">
        <v>5</v>
      </c>
      <c r="E36" s="33" t="n">
        <v>5</v>
      </c>
      <c r="F36" s="33" t="inlineStr">
        <is>
          <t>green</t>
        </is>
      </c>
      <c r="G36" s="33" t="n">
        <v>1</v>
      </c>
      <c r="H36" s="33" t="n">
        <v>720</v>
      </c>
      <c r="I36" s="33" t="inlineStr">
        <is>
          <t>us</t>
        </is>
      </c>
      <c r="J36" s="33" t="n">
        <v>152</v>
      </c>
      <c r="K36" s="33" t="n">
        <v>2.587</v>
      </c>
      <c r="L36" s="33" t="n">
        <v>26</v>
      </c>
      <c r="M36" s="33" t="inlineStr">
        <is>
          <t>mww</t>
        </is>
      </c>
      <c r="N36" s="33" t="n">
        <v>38</v>
      </c>
      <c r="O36" s="33" t="n">
        <v>-15.3983</v>
      </c>
      <c r="P36" s="33" t="n">
        <v>-172.968</v>
      </c>
      <c r="Q36" s="33" t="inlineStr">
        <is>
          <t>Hihifo, Tonga</t>
        </is>
      </c>
      <c r="T36" s="36">
        <f>DATE(MID(C36,7,4),MID(C36,4,2),MID(C36,1,2))+TIME(MID(C36,12,2),MID(C36,15,2),0)</f>
        <v/>
      </c>
      <c r="U36" s="33">
        <f>IF(ISNUMBER(VALUE(MID(A36,7,1))),"Distance-prefix pattern","Named-region pattern")</f>
        <v/>
      </c>
      <c r="V36" s="33">
        <f>LOWER(M36)</f>
        <v/>
      </c>
      <c r="W36" s="33">
        <f>IF(COUNTIFS($A$2:$A$1001,A36,$C$2:$C$1001,C36)&gt;1,"Duplicate","Unique")</f>
        <v/>
      </c>
      <c r="X36" s="33">
        <f>YEAR(T36)</f>
        <v/>
      </c>
      <c r="Y36" s="33">
        <f>IF(B36&lt;6.5,"&lt;6.5",IF(B36&lt;7,"6.5–6.9",IF(B36&lt;7.5,"7.0–7.4",IF(B36&lt;8,"7.5–7.9","8.0+"))))</f>
        <v/>
      </c>
      <c r="Z36" s="33">
        <f>IF(F36="","Blank",F36)</f>
        <v/>
      </c>
    </row>
    <row r="37" ht="15" customHeight="1" s="34">
      <c r="A37" s="33" t="inlineStr">
        <is>
          <t>M 7.0 - 18 km SW of Malango, Solomon Islands</t>
        </is>
      </c>
      <c r="B37" s="33" t="n">
        <v>7</v>
      </c>
      <c r="C37" s="33" t="inlineStr">
        <is>
          <t>22/11/2022 02:03</t>
        </is>
      </c>
      <c r="D37" s="33" t="n">
        <v>8</v>
      </c>
      <c r="E37" s="33" t="n">
        <v>7</v>
      </c>
      <c r="F37" s="33" t="inlineStr">
        <is>
          <t>green</t>
        </is>
      </c>
      <c r="G37" s="33" t="n">
        <v>1</v>
      </c>
      <c r="H37" s="33" t="n">
        <v>768</v>
      </c>
      <c r="I37" s="33" t="inlineStr">
        <is>
          <t>us</t>
        </is>
      </c>
      <c r="J37" s="33" t="n">
        <v>117</v>
      </c>
      <c r="K37" s="33" t="n">
        <v>0.509</v>
      </c>
      <c r="L37" s="33" t="n">
        <v>17</v>
      </c>
      <c r="M37" s="33" t="inlineStr">
        <is>
          <t>mww</t>
        </is>
      </c>
      <c r="N37" s="33" t="n">
        <v>14</v>
      </c>
      <c r="O37" s="33" t="n">
        <v>-9.7963</v>
      </c>
      <c r="P37" s="33" t="n">
        <v>159.596</v>
      </c>
      <c r="Q37" s="33" t="inlineStr">
        <is>
          <t>Malango, Solomon Islands</t>
        </is>
      </c>
      <c r="R37" s="33" t="inlineStr">
        <is>
          <t>Oceania</t>
        </is>
      </c>
      <c r="S37" s="33" t="inlineStr">
        <is>
          <t>Solomon Islands</t>
        </is>
      </c>
      <c r="T37" s="36">
        <f>DATE(MID(C37,7,4),MID(C37,4,2),MID(C37,1,2))+TIME(MID(C37,12,2),MID(C37,15,2),0)</f>
        <v/>
      </c>
      <c r="U37" s="33">
        <f>IF(ISNUMBER(VALUE(MID(A37,7,1))),"Distance-prefix pattern","Named-region pattern")</f>
        <v/>
      </c>
      <c r="V37" s="33">
        <f>LOWER(M37)</f>
        <v/>
      </c>
      <c r="W37" s="33">
        <f>IF(COUNTIFS($A$2:$A$1001,A37,$C$2:$C$1001,C37)&gt;1,"Duplicate","Unique")</f>
        <v/>
      </c>
      <c r="X37" s="33">
        <f>YEAR(T37)</f>
        <v/>
      </c>
      <c r="Y37" s="33">
        <f>IF(B37&lt;6.5,"&lt;6.5",IF(B37&lt;7,"6.5–6.9",IF(B37&lt;7.5,"7.0–7.4",IF(B37&lt;8,"7.5–7.9","8.0+"))))</f>
        <v/>
      </c>
      <c r="Z37" s="33">
        <f>IF(F37="","Blank",F37)</f>
        <v/>
      </c>
    </row>
    <row r="38" ht="15" customHeight="1" s="34">
      <c r="A38" s="33" t="inlineStr">
        <is>
          <t>M 6.9 - 204 km SW of Bengkulu, Indonesia</t>
        </is>
      </c>
      <c r="B38" s="33" t="n">
        <v>6.9</v>
      </c>
      <c r="C38" s="33" t="inlineStr">
        <is>
          <t>18/11/2022 13:37</t>
        </is>
      </c>
      <c r="D38" s="33" t="n">
        <v>4</v>
      </c>
      <c r="E38" s="33" t="n">
        <v>4</v>
      </c>
      <c r="F38" s="33" t="inlineStr">
        <is>
          <t>green</t>
        </is>
      </c>
      <c r="G38" s="33" t="n">
        <v>0</v>
      </c>
      <c r="H38" s="33" t="n">
        <v>735</v>
      </c>
      <c r="I38" s="33" t="inlineStr">
        <is>
          <t>us</t>
        </is>
      </c>
      <c r="J38" s="33" t="n">
        <v>99</v>
      </c>
      <c r="K38" s="33" t="n">
        <v>2.229</v>
      </c>
      <c r="L38" s="33" t="n">
        <v>34</v>
      </c>
      <c r="M38" s="33" t="inlineStr">
        <is>
          <t>mww</t>
        </is>
      </c>
      <c r="N38" s="33" t="n">
        <v>25</v>
      </c>
      <c r="O38" s="33" t="n">
        <v>-4.9559</v>
      </c>
      <c r="P38" s="33" t="n">
        <v>100.738</v>
      </c>
      <c r="Q38" s="33" t="inlineStr">
        <is>
          <t>Bengkulu, Indonesia</t>
        </is>
      </c>
      <c r="T38" s="36">
        <f>DATE(MID(C38,7,4),MID(C38,4,2),MID(C38,1,2))+TIME(MID(C38,12,2),MID(C38,15,2),0)</f>
        <v/>
      </c>
      <c r="U38" s="33">
        <f>IF(ISNUMBER(VALUE(MID(A38,7,1))),"Distance-prefix pattern","Named-region pattern")</f>
        <v/>
      </c>
      <c r="V38" s="33">
        <f>LOWER(M38)</f>
        <v/>
      </c>
      <c r="W38" s="33">
        <f>IF(COUNTIFS($A$2:$A$1001,A38,$C$2:$C$1001,C38)&gt;1,"Duplicate","Unique")</f>
        <v/>
      </c>
      <c r="X38" s="33">
        <f>YEAR(T38)</f>
        <v/>
      </c>
      <c r="Y38" s="33">
        <f>IF(B38&lt;6.5,"&lt;6.5",IF(B38&lt;7,"6.5–6.9",IF(B38&lt;7.5,"7.0–7.4",IF(B38&lt;8,"7.5–7.9","8.0+"))))</f>
        <v/>
      </c>
      <c r="Z38" s="33">
        <f>IF(F38="","Blank",F38)</f>
        <v/>
      </c>
    </row>
    <row r="39" ht="15" customHeight="1" s="34">
      <c r="A39" s="33" t="inlineStr">
        <is>
          <t xml:space="preserve">M 7.0 - </t>
        </is>
      </c>
      <c r="B39" s="33" t="n">
        <v>7</v>
      </c>
      <c r="C39" s="33" t="inlineStr">
        <is>
          <t>12/11/2022 07:09</t>
        </is>
      </c>
      <c r="D39" s="33" t="n">
        <v>3</v>
      </c>
      <c r="E39" s="33" t="n">
        <v>3</v>
      </c>
      <c r="F39" s="33" t="inlineStr">
        <is>
          <t>green</t>
        </is>
      </c>
      <c r="G39" s="33" t="n">
        <v>1</v>
      </c>
      <c r="H39" s="33" t="n">
        <v>755</v>
      </c>
      <c r="I39" s="33" t="inlineStr">
        <is>
          <t>us</t>
        </is>
      </c>
      <c r="J39" s="33" t="n">
        <v>147</v>
      </c>
      <c r="K39" s="33" t="n">
        <v>3.125</v>
      </c>
      <c r="L39" s="33" t="n">
        <v>18</v>
      </c>
      <c r="M39" s="33" t="inlineStr">
        <is>
          <t>mww</t>
        </is>
      </c>
      <c r="N39" s="33" t="n">
        <v>579</v>
      </c>
      <c r="O39" s="33" t="n">
        <v>-20.0508</v>
      </c>
      <c r="P39" s="33" t="n">
        <v>-178.346</v>
      </c>
      <c r="R39" s="33" t="inlineStr">
        <is>
          <t>Oceania</t>
        </is>
      </c>
      <c r="S39" s="33" t="inlineStr">
        <is>
          <t>Fiji</t>
        </is>
      </c>
      <c r="T39" s="36">
        <f>DATE(MID(C39,7,4),MID(C39,4,2),MID(C39,1,2))+TIME(MID(C39,12,2),MID(C39,15,2),0)</f>
        <v/>
      </c>
      <c r="U39" s="33">
        <f>IF(ISNUMBER(VALUE(MID(A39,7,1))),"Distance-prefix pattern","Named-region pattern")</f>
        <v/>
      </c>
      <c r="V39" s="33">
        <f>LOWER(M39)</f>
        <v/>
      </c>
      <c r="W39" s="33">
        <f>IF(COUNTIFS($A$2:$A$1001,A39,$C$2:$C$1001,C39)&gt;1,"Duplicate","Unique")</f>
        <v/>
      </c>
      <c r="X39" s="33">
        <f>YEAR(T39)</f>
        <v/>
      </c>
      <c r="Y39" s="33">
        <f>IF(B39&lt;6.5,"&lt;6.5",IF(B39&lt;7,"6.5–6.9",IF(B39&lt;7.5,"7.0–7.4",IF(B39&lt;8,"7.5–7.9","8.0+"))))</f>
        <v/>
      </c>
      <c r="Z39" s="33">
        <f>IF(F39="","Blank",F39)</f>
        <v/>
      </c>
    </row>
    <row r="40" ht="15" customHeight="1" s="34">
      <c r="A40" s="33" t="inlineStr">
        <is>
          <t>M 7.3 - 205 km ESE of Neiafu, Tonga</t>
        </is>
      </c>
      <c r="B40" s="33" t="n">
        <v>7.3</v>
      </c>
      <c r="C40" s="33" t="inlineStr">
        <is>
          <t>11/11/2022 10:48</t>
        </is>
      </c>
      <c r="D40" s="33" t="n">
        <v>5</v>
      </c>
      <c r="E40" s="33" t="n">
        <v>5</v>
      </c>
      <c r="F40" s="33" t="inlineStr">
        <is>
          <t>green</t>
        </is>
      </c>
      <c r="G40" s="33" t="n">
        <v>1</v>
      </c>
      <c r="H40" s="33" t="n">
        <v>833</v>
      </c>
      <c r="I40" s="33" t="inlineStr">
        <is>
          <t>us</t>
        </is>
      </c>
      <c r="J40" s="33" t="n">
        <v>149</v>
      </c>
      <c r="K40" s="33" t="n">
        <v>1.865</v>
      </c>
      <c r="L40" s="33" t="n">
        <v>21</v>
      </c>
      <c r="M40" s="33" t="inlineStr">
        <is>
          <t>mww</t>
        </is>
      </c>
      <c r="N40" s="33" t="n">
        <v>37</v>
      </c>
      <c r="O40" s="33" t="n">
        <v>-19.2918</v>
      </c>
      <c r="P40" s="33" t="n">
        <v>-172.129</v>
      </c>
      <c r="Q40" s="33" t="inlineStr">
        <is>
          <t>Neiafu, Tonga</t>
        </is>
      </c>
      <c r="T40" s="36">
        <f>DATE(MID(C40,7,4),MID(C40,4,2),MID(C40,1,2))+TIME(MID(C40,12,2),MID(C40,15,2),0)</f>
        <v/>
      </c>
      <c r="U40" s="33">
        <f>IF(ISNUMBER(VALUE(MID(A40,7,1))),"Distance-prefix pattern","Named-region pattern")</f>
        <v/>
      </c>
      <c r="V40" s="33">
        <f>LOWER(M40)</f>
        <v/>
      </c>
      <c r="W40" s="33">
        <f>IF(COUNTIFS($A$2:$A$1001,A40,$C$2:$C$1001,C40)&gt;1,"Duplicate","Unique")</f>
        <v/>
      </c>
      <c r="X40" s="33">
        <f>YEAR(T40)</f>
        <v/>
      </c>
      <c r="Y40" s="33">
        <f>IF(B40&lt;6.5,"&lt;6.5",IF(B40&lt;7,"6.5–6.9",IF(B40&lt;7.5,"7.0–7.4",IF(B40&lt;8,"7.5–7.9","8.0+"))))</f>
        <v/>
      </c>
      <c r="Z40" s="33">
        <f>IF(F40="","Blank",F40)</f>
        <v/>
      </c>
    </row>
    <row r="41" ht="15" customHeight="1" s="34">
      <c r="A41" s="33" t="inlineStr">
        <is>
          <t xml:space="preserve">M 6.6 - </t>
        </is>
      </c>
      <c r="B41" s="33" t="n">
        <v>6.6</v>
      </c>
      <c r="C41" s="33" t="inlineStr">
        <is>
          <t>09/11/2022 10:14</t>
        </is>
      </c>
      <c r="D41" s="33" t="n">
        <v>0</v>
      </c>
      <c r="E41" s="33" t="n">
        <v>2</v>
      </c>
      <c r="F41" s="33" t="inlineStr">
        <is>
          <t>green</t>
        </is>
      </c>
      <c r="G41" s="33" t="n">
        <v>1</v>
      </c>
      <c r="H41" s="33" t="n">
        <v>670</v>
      </c>
      <c r="I41" s="33" t="inlineStr">
        <is>
          <t>us</t>
        </is>
      </c>
      <c r="J41" s="33" t="n">
        <v>131</v>
      </c>
      <c r="K41" s="33" t="n">
        <v>4.998</v>
      </c>
      <c r="L41" s="33" t="n">
        <v>27</v>
      </c>
      <c r="M41" s="33" t="inlineStr">
        <is>
          <t>mww</t>
        </is>
      </c>
      <c r="N41" s="33" t="n">
        <v>624.4640000000001</v>
      </c>
      <c r="O41" s="33" t="n">
        <v>-25.5948</v>
      </c>
      <c r="P41" s="33" t="n">
        <v>178.278</v>
      </c>
      <c r="T41" s="36">
        <f>DATE(MID(C41,7,4),MID(C41,4,2),MID(C41,1,2))+TIME(MID(C41,12,2),MID(C41,15,2),0)</f>
        <v/>
      </c>
      <c r="U41" s="33">
        <f>IF(ISNUMBER(VALUE(MID(A41,7,1))),"Distance-prefix pattern","Named-region pattern")</f>
        <v/>
      </c>
      <c r="V41" s="33">
        <f>LOWER(M41)</f>
        <v/>
      </c>
      <c r="W41" s="33">
        <f>IF(COUNTIFS($A$2:$A$1001,A41,$C$2:$C$1001,C41)&gt;1,"Duplicate","Unique")</f>
        <v/>
      </c>
      <c r="X41" s="33">
        <f>YEAR(T41)</f>
        <v/>
      </c>
      <c r="Y41" s="33">
        <f>IF(B41&lt;6.5,"&lt;6.5",IF(B41&lt;7,"6.5–6.9",IF(B41&lt;7.5,"7.0–7.4",IF(B41&lt;8,"7.5–7.9","8.0+"))))</f>
        <v/>
      </c>
      <c r="Z41" s="33">
        <f>IF(F41="","Blank",F41)</f>
        <v/>
      </c>
    </row>
    <row r="42" ht="15" customHeight="1" s="34">
      <c r="A42" s="33" t="inlineStr">
        <is>
          <t>M 7.0 - south of the Fiji Islands</t>
        </is>
      </c>
      <c r="B42" s="33" t="n">
        <v>7</v>
      </c>
      <c r="C42" s="33" t="inlineStr">
        <is>
          <t>09/11/2022 09:51</t>
        </is>
      </c>
      <c r="D42" s="33" t="n">
        <v>4</v>
      </c>
      <c r="E42" s="33" t="n">
        <v>3</v>
      </c>
      <c r="F42" s="33" t="inlineStr">
        <is>
          <t>green</t>
        </is>
      </c>
      <c r="G42" s="33" t="n">
        <v>1</v>
      </c>
      <c r="H42" s="33" t="n">
        <v>755</v>
      </c>
      <c r="I42" s="33" t="inlineStr">
        <is>
          <t>us</t>
        </is>
      </c>
      <c r="J42" s="33" t="n">
        <v>142</v>
      </c>
      <c r="K42" s="33" t="n">
        <v>4.578</v>
      </c>
      <c r="L42" s="33" t="n">
        <v>26</v>
      </c>
      <c r="M42" s="33" t="inlineStr">
        <is>
          <t>mwb</t>
        </is>
      </c>
      <c r="N42" s="33" t="n">
        <v>660</v>
      </c>
      <c r="O42" s="33" t="n">
        <v>-26.0442</v>
      </c>
      <c r="P42" s="33" t="n">
        <v>178.381</v>
      </c>
      <c r="Q42" s="33" t="inlineStr">
        <is>
          <t>the Fiji Islands</t>
        </is>
      </c>
      <c r="T42" s="36">
        <f>DATE(MID(C42,7,4),MID(C42,4,2),MID(C42,1,2))+TIME(MID(C42,12,2),MID(C42,15,2),0)</f>
        <v/>
      </c>
      <c r="U42" s="33">
        <f>IF(ISNUMBER(VALUE(MID(A42,7,1))),"Distance-prefix pattern","Named-region pattern")</f>
        <v/>
      </c>
      <c r="V42" s="33">
        <f>LOWER(M42)</f>
        <v/>
      </c>
      <c r="W42" s="33">
        <f>IF(COUNTIFS($A$2:$A$1001,A42,$C$2:$C$1001,C42)&gt;1,"Duplicate","Unique")</f>
        <v/>
      </c>
      <c r="X42" s="33">
        <f>YEAR(T42)</f>
        <v/>
      </c>
      <c r="Y42" s="33">
        <f>IF(B42&lt;6.5,"&lt;6.5",IF(B42&lt;7,"6.5–6.9",IF(B42&lt;7.5,"7.0–7.4",IF(B42&lt;8,"7.5–7.9","8.0+"))))</f>
        <v/>
      </c>
      <c r="Z42" s="33">
        <f>IF(F42="","Blank",F42)</f>
        <v/>
      </c>
    </row>
    <row r="43" ht="15" customHeight="1" s="34">
      <c r="A43" s="33" t="inlineStr">
        <is>
          <t>M 6.8 - south of the Fiji Islands</t>
        </is>
      </c>
      <c r="B43" s="33" t="n">
        <v>6.8</v>
      </c>
      <c r="C43" s="33" t="inlineStr">
        <is>
          <t>09/11/2022 09:38</t>
        </is>
      </c>
      <c r="D43" s="33" t="n">
        <v>1</v>
      </c>
      <c r="E43" s="33" t="n">
        <v>3</v>
      </c>
      <c r="F43" s="33" t="inlineStr">
        <is>
          <t>green</t>
        </is>
      </c>
      <c r="G43" s="33" t="n">
        <v>1</v>
      </c>
      <c r="H43" s="33" t="n">
        <v>711</v>
      </c>
      <c r="I43" s="33" t="inlineStr">
        <is>
          <t>us</t>
        </is>
      </c>
      <c r="J43" s="33" t="n">
        <v>136</v>
      </c>
      <c r="K43" s="33" t="n">
        <v>4.678</v>
      </c>
      <c r="L43" s="33" t="n">
        <v>22</v>
      </c>
      <c r="M43" s="33" t="inlineStr">
        <is>
          <t>mww</t>
        </is>
      </c>
      <c r="N43" s="33" t="n">
        <v>630.379</v>
      </c>
      <c r="O43" s="33" t="n">
        <v>-25.9678</v>
      </c>
      <c r="P43" s="33" t="n">
        <v>178.363</v>
      </c>
      <c r="Q43" s="33" t="inlineStr">
        <is>
          <t>the Fiji Islands</t>
        </is>
      </c>
      <c r="T43" s="36">
        <f>DATE(MID(C43,7,4),MID(C43,4,2),MID(C43,1,2))+TIME(MID(C43,12,2),MID(C43,15,2),0)</f>
        <v/>
      </c>
      <c r="U43" s="33">
        <f>IF(ISNUMBER(VALUE(MID(A43,7,1))),"Distance-prefix pattern","Named-region pattern")</f>
        <v/>
      </c>
      <c r="V43" s="33">
        <f>LOWER(M43)</f>
        <v/>
      </c>
      <c r="W43" s="33">
        <f>IF(COUNTIFS($A$2:$A$1001,A43,$C$2:$C$1001,C43)&gt;1,"Duplicate","Unique")</f>
        <v/>
      </c>
      <c r="X43" s="33">
        <f>YEAR(T43)</f>
        <v/>
      </c>
      <c r="Y43" s="33">
        <f>IF(B43&lt;6.5,"&lt;6.5",IF(B43&lt;7,"6.5–6.9",IF(B43&lt;7.5,"7.0–7.4",IF(B43&lt;8,"7.5–7.9","8.0+"))))</f>
        <v/>
      </c>
      <c r="Z43" s="33">
        <f>IF(F43="","Blank",F43)</f>
        <v/>
      </c>
    </row>
    <row r="44" ht="15" customHeight="1" s="34">
      <c r="A44" s="33" t="inlineStr">
        <is>
          <t>M 6.7 - 60 km SSW of Boca Chica, Panama</t>
        </is>
      </c>
      <c r="B44" s="33" t="n">
        <v>6.7</v>
      </c>
      <c r="C44" s="33" t="inlineStr">
        <is>
          <t>20/10/2022 11:57</t>
        </is>
      </c>
      <c r="D44" s="33" t="n">
        <v>7</v>
      </c>
      <c r="E44" s="33" t="n">
        <v>6</v>
      </c>
      <c r="F44" s="33" t="inlineStr">
        <is>
          <t>green</t>
        </is>
      </c>
      <c r="G44" s="33" t="n">
        <v>1</v>
      </c>
      <c r="H44" s="33" t="n">
        <v>797</v>
      </c>
      <c r="I44" s="33" t="inlineStr">
        <is>
          <t>us</t>
        </is>
      </c>
      <c r="J44" s="33" t="n">
        <v>145</v>
      </c>
      <c r="K44" s="33" t="n">
        <v>1.151</v>
      </c>
      <c r="L44" s="33" t="n">
        <v>37</v>
      </c>
      <c r="M44" s="33" t="inlineStr">
        <is>
          <t>mww</t>
        </is>
      </c>
      <c r="N44" s="33" t="n">
        <v>20</v>
      </c>
      <c r="O44" s="33" t="n">
        <v>7.6712</v>
      </c>
      <c r="P44" s="33" t="n">
        <v>-82.3396</v>
      </c>
      <c r="Q44" s="33" t="inlineStr">
        <is>
          <t>Boca Chica, Panama</t>
        </is>
      </c>
      <c r="S44" s="33" t="inlineStr">
        <is>
          <t>Panama</t>
        </is>
      </c>
      <c r="T44" s="36">
        <f>DATE(MID(C44,7,4),MID(C44,4,2),MID(C44,1,2))+TIME(MID(C44,12,2),MID(C44,15,2),0)</f>
        <v/>
      </c>
      <c r="U44" s="33">
        <f>IF(ISNUMBER(VALUE(MID(A44,7,1))),"Distance-prefix pattern","Named-region pattern")</f>
        <v/>
      </c>
      <c r="V44" s="33">
        <f>LOWER(M44)</f>
        <v/>
      </c>
      <c r="W44" s="33">
        <f>IF(COUNTIFS($A$2:$A$1001,A44,$C$2:$C$1001,C44)&gt;1,"Duplicate","Unique")</f>
        <v/>
      </c>
      <c r="X44" s="33">
        <f>YEAR(T44)</f>
        <v/>
      </c>
      <c r="Y44" s="33">
        <f>IF(B44&lt;6.5,"&lt;6.5",IF(B44&lt;7,"6.5–6.9",IF(B44&lt;7.5,"7.0–7.4",IF(B44&lt;8,"7.5–7.9","8.0+"))))</f>
        <v/>
      </c>
      <c r="Z44" s="33">
        <f>IF(F44="","Blank",F44)</f>
        <v/>
      </c>
    </row>
    <row r="45" ht="15" customHeight="1" s="34">
      <c r="A45" s="33" t="inlineStr">
        <is>
          <t>M 6.8 - 55 km SSW of Aguililla, Mexico</t>
        </is>
      </c>
      <c r="B45" s="33" t="n">
        <v>6.8</v>
      </c>
      <c r="C45" s="33" t="inlineStr">
        <is>
          <t>22/09/2022 06:16</t>
        </is>
      </c>
      <c r="D45" s="33" t="n">
        <v>8</v>
      </c>
      <c r="E45" s="33" t="n">
        <v>7</v>
      </c>
      <c r="F45" s="33" t="inlineStr">
        <is>
          <t>yellow</t>
        </is>
      </c>
      <c r="G45" s="33" t="n">
        <v>1</v>
      </c>
      <c r="H45" s="33" t="n">
        <v>1179</v>
      </c>
      <c r="I45" s="33" t="inlineStr">
        <is>
          <t>us</t>
        </is>
      </c>
      <c r="J45" s="33" t="n">
        <v>175</v>
      </c>
      <c r="K45" s="33" t="n">
        <v>2.137</v>
      </c>
      <c r="L45" s="33" t="n">
        <v>92</v>
      </c>
      <c r="M45" s="33" t="inlineStr">
        <is>
          <t>mww</t>
        </is>
      </c>
      <c r="N45" s="33" t="n">
        <v>20</v>
      </c>
      <c r="O45" s="33" t="n">
        <v>18.33</v>
      </c>
      <c r="P45" s="33" t="n">
        <v>-102.913</v>
      </c>
      <c r="Q45" s="33" t="inlineStr">
        <is>
          <t>Aguililla, Mexico</t>
        </is>
      </c>
      <c r="R45" s="33" t="inlineStr">
        <is>
          <t>North America</t>
        </is>
      </c>
      <c r="S45" s="33" t="inlineStr">
        <is>
          <t>Mexico</t>
        </is>
      </c>
      <c r="T45" s="36">
        <f>DATE(MID(C45,7,4),MID(C45,4,2),MID(C45,1,2))+TIME(MID(C45,12,2),MID(C45,15,2),0)</f>
        <v/>
      </c>
      <c r="U45" s="33">
        <f>IF(ISNUMBER(VALUE(MID(A45,7,1))),"Distance-prefix pattern","Named-region pattern")</f>
        <v/>
      </c>
      <c r="V45" s="33">
        <f>LOWER(M45)</f>
        <v/>
      </c>
      <c r="W45" s="33">
        <f>IF(COUNTIFS($A$2:$A$1001,A45,$C$2:$C$1001,C45)&gt;1,"Duplicate","Unique")</f>
        <v/>
      </c>
      <c r="X45" s="33">
        <f>YEAR(T45)</f>
        <v/>
      </c>
      <c r="Y45" s="33">
        <f>IF(B45&lt;6.5,"&lt;6.5",IF(B45&lt;7,"6.5–6.9",IF(B45&lt;7.5,"7.0–7.4",IF(B45&lt;8,"7.5–7.9","8.0+"))))</f>
        <v/>
      </c>
      <c r="Z45" s="33">
        <f>IF(F45="","Blank",F45)</f>
        <v/>
      </c>
    </row>
    <row r="46" ht="15" customHeight="1" s="34">
      <c r="A46" s="33" t="inlineStr">
        <is>
          <t>M 7.6 - 35 km SSW of Aguililla, Mexico</t>
        </is>
      </c>
      <c r="B46" s="33" t="n">
        <v>7.6</v>
      </c>
      <c r="C46" s="33" t="inlineStr">
        <is>
          <t>19/09/2022 18:05</t>
        </is>
      </c>
      <c r="D46" s="33" t="n">
        <v>9</v>
      </c>
      <c r="E46" s="33" t="n">
        <v>8</v>
      </c>
      <c r="F46" s="33" t="inlineStr">
        <is>
          <t>yellow</t>
        </is>
      </c>
      <c r="G46" s="33" t="n">
        <v>1</v>
      </c>
      <c r="H46" s="33" t="n">
        <v>1799</v>
      </c>
      <c r="I46" s="33" t="inlineStr">
        <is>
          <t>us</t>
        </is>
      </c>
      <c r="J46" s="33" t="n">
        <v>271</v>
      </c>
      <c r="K46" s="33" t="n">
        <v>1.153</v>
      </c>
      <c r="L46" s="33" t="n">
        <v>69</v>
      </c>
      <c r="M46" s="33" t="inlineStr">
        <is>
          <t>mww</t>
        </is>
      </c>
      <c r="N46" s="33" t="n">
        <v>26.943</v>
      </c>
      <c r="O46" s="33" t="n">
        <v>18.3667</v>
      </c>
      <c r="P46" s="33" t="n">
        <v>-103.252</v>
      </c>
      <c r="Q46" s="33" t="inlineStr">
        <is>
          <t>Aguililla, Mexico</t>
        </is>
      </c>
      <c r="R46" s="33" t="inlineStr">
        <is>
          <t>North America</t>
        </is>
      </c>
      <c r="S46" s="33" t="inlineStr">
        <is>
          <t>Mexico</t>
        </is>
      </c>
      <c r="T46" s="36">
        <f>DATE(MID(C46,7,4),MID(C46,4,2),MID(C46,1,2))+TIME(MID(C46,12,2),MID(C46,15,2),0)</f>
        <v/>
      </c>
      <c r="U46" s="33">
        <f>IF(ISNUMBER(VALUE(MID(A46,7,1))),"Distance-prefix pattern","Named-region pattern")</f>
        <v/>
      </c>
      <c r="V46" s="33">
        <f>LOWER(M46)</f>
        <v/>
      </c>
      <c r="W46" s="33">
        <f>IF(COUNTIFS($A$2:$A$1001,A46,$C$2:$C$1001,C46)&gt;1,"Duplicate","Unique")</f>
        <v/>
      </c>
      <c r="X46" s="33">
        <f>YEAR(T46)</f>
        <v/>
      </c>
      <c r="Y46" s="33">
        <f>IF(B46&lt;6.5,"&lt;6.5",IF(B46&lt;7,"6.5–6.9",IF(B46&lt;7.5,"7.0–7.4",IF(B46&lt;8,"7.5–7.9","8.0+"))))</f>
        <v/>
      </c>
      <c r="Z46" s="33">
        <f>IF(F46="","Blank",F46)</f>
        <v/>
      </c>
    </row>
    <row r="47" ht="15" customHeight="1" s="34">
      <c r="A47" s="33" t="inlineStr">
        <is>
          <t>M 6.9 - 90 km E of Yujing, Taiwan</t>
        </is>
      </c>
      <c r="B47" s="33" t="n">
        <v>6.9</v>
      </c>
      <c r="C47" s="33" t="inlineStr">
        <is>
          <t>18/09/2022 06:44</t>
        </is>
      </c>
      <c r="D47" s="33" t="n">
        <v>9</v>
      </c>
      <c r="E47" s="33" t="n">
        <v>9</v>
      </c>
      <c r="F47" s="33" t="inlineStr">
        <is>
          <t>yellow</t>
        </is>
      </c>
      <c r="G47" s="33" t="n">
        <v>1</v>
      </c>
      <c r="H47" s="33" t="n">
        <v>887</v>
      </c>
      <c r="I47" s="33" t="inlineStr">
        <is>
          <t>us</t>
        </is>
      </c>
      <c r="J47" s="33" t="n">
        <v>215</v>
      </c>
      <c r="K47" s="33" t="n">
        <v>0.401</v>
      </c>
      <c r="L47" s="33" t="n">
        <v>34</v>
      </c>
      <c r="M47" s="33" t="inlineStr">
        <is>
          <t>mww</t>
        </is>
      </c>
      <c r="N47" s="33" t="n">
        <v>10</v>
      </c>
      <c r="O47" s="33" t="n">
        <v>23.1444</v>
      </c>
      <c r="P47" s="33" t="n">
        <v>121.307</v>
      </c>
      <c r="Q47" s="33" t="inlineStr">
        <is>
          <t>Yujing, Taiwan</t>
        </is>
      </c>
      <c r="R47" s="33" t="inlineStr">
        <is>
          <t>Asia</t>
        </is>
      </c>
      <c r="S47" s="33" t="inlineStr">
        <is>
          <t>Taiwan</t>
        </is>
      </c>
      <c r="T47" s="36">
        <f>DATE(MID(C47,7,4),MID(C47,4,2),MID(C47,1,2))+TIME(MID(C47,12,2),MID(C47,15,2),0)</f>
        <v/>
      </c>
      <c r="U47" s="33">
        <f>IF(ISNUMBER(VALUE(MID(A47,7,1))),"Distance-prefix pattern","Named-region pattern")</f>
        <v/>
      </c>
      <c r="V47" s="33">
        <f>LOWER(M47)</f>
        <v/>
      </c>
      <c r="W47" s="33">
        <f>IF(COUNTIFS($A$2:$A$1001,A47,$C$2:$C$1001,C47)&gt;1,"Duplicate","Unique")</f>
        <v/>
      </c>
      <c r="X47" s="33">
        <f>YEAR(T47)</f>
        <v/>
      </c>
      <c r="Y47" s="33">
        <f>IF(B47&lt;6.5,"&lt;6.5",IF(B47&lt;7,"6.5–6.9",IF(B47&lt;7.5,"7.0–7.4",IF(B47&lt;8,"7.5–7.9","8.0+"))))</f>
        <v/>
      </c>
      <c r="Z47" s="33">
        <f>IF(F47="","Blank",F47)</f>
        <v/>
      </c>
    </row>
    <row r="48" ht="15" customHeight="1" s="34">
      <c r="A48" s="33" t="inlineStr">
        <is>
          <t>M 6.5 - 96 km SE of Lugu, Taiwan</t>
        </is>
      </c>
      <c r="B48" s="33" t="n">
        <v>6.5</v>
      </c>
      <c r="C48" s="33" t="inlineStr">
        <is>
          <t>17/09/2022 13:41</t>
        </is>
      </c>
      <c r="D48" s="33" t="n">
        <v>7</v>
      </c>
      <c r="E48" s="33" t="n">
        <v>7</v>
      </c>
      <c r="F48" s="33" t="inlineStr">
        <is>
          <t>green</t>
        </is>
      </c>
      <c r="G48" s="33" t="n">
        <v>1</v>
      </c>
      <c r="H48" s="33" t="n">
        <v>756</v>
      </c>
      <c r="I48" s="33" t="inlineStr">
        <is>
          <t>us</t>
        </is>
      </c>
      <c r="J48" s="33" t="n">
        <v>178</v>
      </c>
      <c r="K48" s="33" t="n">
        <v>0.43</v>
      </c>
      <c r="L48" s="33" t="n">
        <v>54</v>
      </c>
      <c r="M48" s="33" t="inlineStr">
        <is>
          <t>mww</t>
        </is>
      </c>
      <c r="N48" s="33" t="n">
        <v>10</v>
      </c>
      <c r="O48" s="33" t="n">
        <v>23.029</v>
      </c>
      <c r="P48" s="33" t="n">
        <v>121.348</v>
      </c>
      <c r="Q48" s="33" t="inlineStr">
        <is>
          <t>Lugu, Taiwan</t>
        </is>
      </c>
      <c r="R48" s="33" t="inlineStr">
        <is>
          <t>Asia</t>
        </is>
      </c>
      <c r="S48" s="33" t="inlineStr">
        <is>
          <t>Taiwan</t>
        </is>
      </c>
      <c r="T48" s="36">
        <f>DATE(MID(C48,7,4),MID(C48,4,2),MID(C48,1,2))+TIME(MID(C48,12,2),MID(C48,15,2),0)</f>
        <v/>
      </c>
      <c r="U48" s="33">
        <f>IF(ISNUMBER(VALUE(MID(A48,7,1))),"Distance-prefix pattern","Named-region pattern")</f>
        <v/>
      </c>
      <c r="V48" s="33">
        <f>LOWER(M48)</f>
        <v/>
      </c>
      <c r="W48" s="33">
        <f>IF(COUNTIFS($A$2:$A$1001,A48,$C$2:$C$1001,C48)&gt;1,"Duplicate","Unique")</f>
        <v/>
      </c>
      <c r="X48" s="33">
        <f>YEAR(T48)</f>
        <v/>
      </c>
      <c r="Y48" s="33">
        <f>IF(B48&lt;6.5,"&lt;6.5",IF(B48&lt;7,"6.5–6.9",IF(B48&lt;7.5,"7.0–7.4",IF(B48&lt;8,"7.5–7.9","8.0+"))))</f>
        <v/>
      </c>
      <c r="Z48" s="33">
        <f>IF(F48="","Blank",F48)</f>
        <v/>
      </c>
    </row>
    <row r="49" ht="15" customHeight="1" s="34">
      <c r="A49" s="33" t="inlineStr">
        <is>
          <t>M 7.0 - 209 km SSE of Isangel, Vanuatu</t>
        </is>
      </c>
      <c r="B49" s="33" t="n">
        <v>7</v>
      </c>
      <c r="C49" s="33" t="inlineStr">
        <is>
          <t>14/09/2022 11:04</t>
        </is>
      </c>
      <c r="D49" s="33" t="n">
        <v>7</v>
      </c>
      <c r="E49" s="33" t="n">
        <v>5</v>
      </c>
      <c r="F49" s="33" t="inlineStr">
        <is>
          <t>green</t>
        </is>
      </c>
      <c r="G49" s="33" t="n">
        <v>1</v>
      </c>
      <c r="H49" s="33" t="n">
        <v>761</v>
      </c>
      <c r="I49" s="33" t="inlineStr">
        <is>
          <t>us</t>
        </is>
      </c>
      <c r="J49" s="33" t="n">
        <v>192</v>
      </c>
      <c r="K49" s="33" t="n">
        <v>2.977</v>
      </c>
      <c r="L49" s="33" t="n">
        <v>45</v>
      </c>
      <c r="M49" s="33" t="inlineStr">
        <is>
          <t>mww</t>
        </is>
      </c>
      <c r="N49" s="33" t="n">
        <v>137</v>
      </c>
      <c r="O49" s="33" t="n">
        <v>-21.2077</v>
      </c>
      <c r="P49" s="33" t="n">
        <v>170.239</v>
      </c>
      <c r="Q49" s="33" t="inlineStr">
        <is>
          <t>Isangel, Vanuatu</t>
        </is>
      </c>
      <c r="T49" s="36">
        <f>DATE(MID(C49,7,4),MID(C49,4,2),MID(C49,1,2))+TIME(MID(C49,12,2),MID(C49,15,2),0)</f>
        <v/>
      </c>
      <c r="U49" s="33">
        <f>IF(ISNUMBER(VALUE(MID(A49,7,1))),"Distance-prefix pattern","Named-region pattern")</f>
        <v/>
      </c>
      <c r="V49" s="33">
        <f>LOWER(M49)</f>
        <v/>
      </c>
      <c r="W49" s="33">
        <f>IF(COUNTIFS($A$2:$A$1001,A49,$C$2:$C$1001,C49)&gt;1,"Duplicate","Unique")</f>
        <v/>
      </c>
      <c r="X49" s="33">
        <f>YEAR(T49)</f>
        <v/>
      </c>
      <c r="Y49" s="33">
        <f>IF(B49&lt;6.5,"&lt;6.5",IF(B49&lt;7,"6.5–6.9",IF(B49&lt;7.5,"7.0–7.4",IF(B49&lt;8,"7.5–7.9","8.0+"))))</f>
        <v/>
      </c>
      <c r="Z49" s="33">
        <f>IF(F49="","Blank",F49)</f>
        <v/>
      </c>
    </row>
    <row r="50" ht="15" customHeight="1" s="34">
      <c r="A50" s="33" t="inlineStr">
        <is>
          <t>M 7.6 - 70 km E of Kainantu, Papua New Guinea</t>
        </is>
      </c>
      <c r="B50" s="33" t="n">
        <v>7.6</v>
      </c>
      <c r="C50" s="33" t="inlineStr">
        <is>
          <t>10/09/2022 23:47</t>
        </is>
      </c>
      <c r="D50" s="33" t="n">
        <v>8</v>
      </c>
      <c r="E50" s="33" t="n">
        <v>8</v>
      </c>
      <c r="F50" s="33" t="inlineStr">
        <is>
          <t>yellow</t>
        </is>
      </c>
      <c r="G50" s="33" t="n">
        <v>1</v>
      </c>
      <c r="H50" s="33" t="n">
        <v>965</v>
      </c>
      <c r="I50" s="33" t="inlineStr">
        <is>
          <t>us</t>
        </is>
      </c>
      <c r="J50" s="33" t="n">
        <v>272</v>
      </c>
      <c r="K50" s="33" t="n">
        <v>3.158</v>
      </c>
      <c r="L50" s="33" t="n">
        <v>12</v>
      </c>
      <c r="M50" s="33" t="inlineStr">
        <is>
          <t>mww</t>
        </is>
      </c>
      <c r="N50" s="33" t="n">
        <v>116</v>
      </c>
      <c r="O50" s="33" t="n">
        <v>-6.2237</v>
      </c>
      <c r="P50" s="33" t="n">
        <v>146.471</v>
      </c>
      <c r="Q50" s="33" t="inlineStr">
        <is>
          <t>Kainantu, Papua New Guinea</t>
        </is>
      </c>
      <c r="R50" s="33" t="inlineStr">
        <is>
          <t>Oceania</t>
        </is>
      </c>
      <c r="S50" s="33" t="inlineStr">
        <is>
          <t>Papua New Guinea</t>
        </is>
      </c>
      <c r="T50" s="36">
        <f>DATE(MID(C50,7,4),MID(C50,4,2),MID(C50,1,2))+TIME(MID(C50,12,2),MID(C50,15,2),0)</f>
        <v/>
      </c>
      <c r="U50" s="33">
        <f>IF(ISNUMBER(VALUE(MID(A50,7,1))),"Distance-prefix pattern","Named-region pattern")</f>
        <v/>
      </c>
      <c r="V50" s="33">
        <f>LOWER(M50)</f>
        <v/>
      </c>
      <c r="W50" s="33">
        <f>IF(COUNTIFS($A$2:$A$1001,A50,$C$2:$C$1001,C50)&gt;1,"Duplicate","Unique")</f>
        <v/>
      </c>
      <c r="X50" s="33">
        <f>YEAR(T50)</f>
        <v/>
      </c>
      <c r="Y50" s="33">
        <f>IF(B50&lt;6.5,"&lt;6.5",IF(B50&lt;7,"6.5–6.9",IF(B50&lt;7.5,"7.0–7.4",IF(B50&lt;8,"7.5–7.9","8.0+"))))</f>
        <v/>
      </c>
      <c r="Z50" s="33">
        <f>IF(F50="","Blank",F50)</f>
        <v/>
      </c>
    </row>
    <row r="51" ht="15" customHeight="1" s="34">
      <c r="A51" s="33" t="inlineStr">
        <is>
          <t>M 6.6 - 44 km SE of Kangding, China</t>
        </is>
      </c>
      <c r="B51" s="33" t="n">
        <v>6.6</v>
      </c>
      <c r="C51" s="33" t="inlineStr">
        <is>
          <t>05/09/2022 04:52</t>
        </is>
      </c>
      <c r="D51" s="33" t="n">
        <v>9</v>
      </c>
      <c r="E51" s="33" t="n">
        <v>8</v>
      </c>
      <c r="F51" s="33" t="inlineStr">
        <is>
          <t>orange</t>
        </is>
      </c>
      <c r="G51" s="33" t="n">
        <v>0</v>
      </c>
      <c r="H51" s="33" t="n">
        <v>1043</v>
      </c>
      <c r="I51" s="33" t="inlineStr">
        <is>
          <t>us</t>
        </is>
      </c>
      <c r="J51" s="33" t="n">
        <v>141</v>
      </c>
      <c r="K51" s="33" t="n">
        <v>8.454000000000001</v>
      </c>
      <c r="L51" s="33" t="n">
        <v>34</v>
      </c>
      <c r="M51" s="33" t="inlineStr">
        <is>
          <t>mww</t>
        </is>
      </c>
      <c r="N51" s="33" t="n">
        <v>12</v>
      </c>
      <c r="O51" s="33" t="n">
        <v>29.7263</v>
      </c>
      <c r="P51" s="33" t="n">
        <v>102.279</v>
      </c>
      <c r="Q51" s="33" t="inlineStr">
        <is>
          <t>Kangding, China</t>
        </is>
      </c>
      <c r="R51" s="33" t="inlineStr">
        <is>
          <t>Asia</t>
        </is>
      </c>
      <c r="S51" s="33" t="inlineStr">
        <is>
          <t>People's Republic of China</t>
        </is>
      </c>
      <c r="T51" s="36">
        <f>DATE(MID(C51,7,4),MID(C51,4,2),MID(C51,1,2))+TIME(MID(C51,12,2),MID(C51,15,2),0)</f>
        <v/>
      </c>
      <c r="U51" s="33">
        <f>IF(ISNUMBER(VALUE(MID(A51,7,1))),"Distance-prefix pattern","Named-region pattern")</f>
        <v/>
      </c>
      <c r="V51" s="33">
        <f>LOWER(M51)</f>
        <v/>
      </c>
      <c r="W51" s="33">
        <f>IF(COUNTIFS($A$2:$A$1001,A51,$C$2:$C$1001,C51)&gt;1,"Duplicate","Unique")</f>
        <v/>
      </c>
      <c r="X51" s="33">
        <f>YEAR(T51)</f>
        <v/>
      </c>
      <c r="Y51" s="33">
        <f>IF(B51&lt;6.5,"&lt;6.5",IF(B51&lt;7,"6.5–6.9",IF(B51&lt;7.5,"7.0–7.4",IF(B51&lt;8,"7.5–7.9","8.0+"))))</f>
        <v/>
      </c>
      <c r="Z51" s="33">
        <f>IF(F51="","Blank",F51)</f>
        <v/>
      </c>
    </row>
    <row r="52" ht="15" customHeight="1" s="34">
      <c r="A52" s="33" t="inlineStr">
        <is>
          <t>M 6.6 - south of the Kermadec Islands</t>
        </is>
      </c>
      <c r="B52" s="33" t="n">
        <v>6.6</v>
      </c>
      <c r="C52" s="33" t="inlineStr">
        <is>
          <t>14/08/2022 13:44</t>
        </is>
      </c>
      <c r="D52" s="33" t="n">
        <v>7</v>
      </c>
      <c r="E52" s="33" t="n">
        <v>6</v>
      </c>
      <c r="F52" s="33" t="inlineStr">
        <is>
          <t>green</t>
        </is>
      </c>
      <c r="G52" s="33" t="n">
        <v>1</v>
      </c>
      <c r="H52" s="33" t="n">
        <v>672</v>
      </c>
      <c r="I52" s="33" t="inlineStr">
        <is>
          <t>us</t>
        </is>
      </c>
      <c r="J52" s="33" t="n">
        <v>68</v>
      </c>
      <c r="K52" s="33" t="n">
        <v>5.293</v>
      </c>
      <c r="L52" s="33" t="n">
        <v>34</v>
      </c>
      <c r="M52" s="33" t="inlineStr">
        <is>
          <t>mww</t>
        </is>
      </c>
      <c r="N52" s="33" t="n">
        <v>30</v>
      </c>
      <c r="O52" s="33" t="n">
        <v>-32.6922</v>
      </c>
      <c r="P52" s="33" t="n">
        <v>-178.959</v>
      </c>
      <c r="Q52" s="33" t="inlineStr">
        <is>
          <t>the Kermadec Islands</t>
        </is>
      </c>
      <c r="T52" s="36">
        <f>DATE(MID(C52,7,4),MID(C52,4,2),MID(C52,1,2))+TIME(MID(C52,12,2),MID(C52,15,2),0)</f>
        <v/>
      </c>
      <c r="U52" s="33">
        <f>IF(ISNUMBER(VALUE(MID(A52,7,1))),"Distance-prefix pattern","Named-region pattern")</f>
        <v/>
      </c>
      <c r="V52" s="33">
        <f>LOWER(M52)</f>
        <v/>
      </c>
      <c r="W52" s="33">
        <f>IF(COUNTIFS($A$2:$A$1001,A52,$C$2:$C$1001,C52)&gt;1,"Duplicate","Unique")</f>
        <v/>
      </c>
      <c r="X52" s="33">
        <f>YEAR(T52)</f>
        <v/>
      </c>
      <c r="Y52" s="33">
        <f>IF(B52&lt;6.5,"&lt;6.5",IF(B52&lt;7,"6.5–6.9",IF(B52&lt;7.5,"7.0–7.4",IF(B52&lt;8,"7.5–7.9","8.0+"))))</f>
        <v/>
      </c>
      <c r="Z52" s="33">
        <f>IF(F52="","Blank",F52)</f>
        <v/>
      </c>
    </row>
    <row r="53" ht="15" customHeight="1" s="34">
      <c r="A53" s="33" t="inlineStr">
        <is>
          <t>M 7.0 - 11 km NE of Bantay, Philippines</t>
        </is>
      </c>
      <c r="B53" s="33" t="n">
        <v>7</v>
      </c>
      <c r="C53" s="33" t="inlineStr">
        <is>
          <t>27/07/2022 00:43</t>
        </is>
      </c>
      <c r="D53" s="33" t="n">
        <v>9</v>
      </c>
      <c r="E53" s="33" t="n">
        <v>8</v>
      </c>
      <c r="F53" s="33" t="inlineStr">
        <is>
          <t>yellow</t>
        </is>
      </c>
      <c r="G53" s="33" t="n">
        <v>1</v>
      </c>
      <c r="H53" s="33" t="n">
        <v>1351</v>
      </c>
      <c r="I53" s="33" t="inlineStr">
        <is>
          <t>us</t>
        </is>
      </c>
      <c r="J53" s="33" t="n">
        <v>152</v>
      </c>
      <c r="K53" s="33" t="n">
        <v>5.276</v>
      </c>
      <c r="L53" s="33" t="n">
        <v>22</v>
      </c>
      <c r="M53" s="33" t="inlineStr">
        <is>
          <t>mww</t>
        </is>
      </c>
      <c r="N53" s="33" t="n">
        <v>33.729</v>
      </c>
      <c r="O53" s="33" t="n">
        <v>17.5978</v>
      </c>
      <c r="P53" s="33" t="n">
        <v>120.809</v>
      </c>
      <c r="Q53" s="33" t="inlineStr">
        <is>
          <t>Bantay, Philippines</t>
        </is>
      </c>
      <c r="R53" s="33" t="inlineStr">
        <is>
          <t>Asia</t>
        </is>
      </c>
      <c r="S53" s="33" t="inlineStr">
        <is>
          <t>Philippines</t>
        </is>
      </c>
      <c r="T53" s="36">
        <f>DATE(MID(C53,7,4),MID(C53,4,2),MID(C53,1,2))+TIME(MID(C53,12,2),MID(C53,15,2),0)</f>
        <v/>
      </c>
      <c r="U53" s="33">
        <f>IF(ISNUMBER(VALUE(MID(A53,7,1))),"Distance-prefix pattern","Named-region pattern")</f>
        <v/>
      </c>
      <c r="V53" s="33">
        <f>LOWER(M53)</f>
        <v/>
      </c>
      <c r="W53" s="33">
        <f>IF(COUNTIFS($A$2:$A$1001,A53,$C$2:$C$1001,C53)&gt;1,"Duplicate","Unique")</f>
        <v/>
      </c>
      <c r="X53" s="33">
        <f>YEAR(T53)</f>
        <v/>
      </c>
      <c r="Y53" s="33">
        <f>IF(B53&lt;6.5,"&lt;6.5",IF(B53&lt;7,"6.5–6.9",IF(B53&lt;7.5,"7.0–7.4",IF(B53&lt;8,"7.5–7.9","8.0+"))))</f>
        <v/>
      </c>
      <c r="Z53" s="33">
        <f>IF(F53="","Blank",F53)</f>
        <v/>
      </c>
    </row>
    <row r="54" ht="15" customHeight="1" s="34">
      <c r="A54" s="33" t="inlineStr">
        <is>
          <t>M 6.5 - 107 km SSW of Tarauacá, Brazil</t>
        </is>
      </c>
      <c r="B54" s="33" t="n">
        <v>6.5</v>
      </c>
      <c r="C54" s="33" t="inlineStr">
        <is>
          <t>08/06/2022 00:55</t>
        </is>
      </c>
      <c r="D54" s="33" t="n">
        <v>3</v>
      </c>
      <c r="E54" s="33" t="n">
        <v>2</v>
      </c>
      <c r="F54" s="33" t="inlineStr">
        <is>
          <t>green</t>
        </is>
      </c>
      <c r="G54" s="33" t="n">
        <v>0</v>
      </c>
      <c r="H54" s="33" t="n">
        <v>653</v>
      </c>
      <c r="I54" s="33" t="inlineStr">
        <is>
          <t>us</t>
        </is>
      </c>
      <c r="J54" s="33" t="n">
        <v>236</v>
      </c>
      <c r="K54" s="33" t="n">
        <v>1.999</v>
      </c>
      <c r="L54" s="33" t="n">
        <v>31</v>
      </c>
      <c r="M54" s="33" t="inlineStr">
        <is>
          <t>mww</t>
        </is>
      </c>
      <c r="N54" s="33" t="n">
        <v>622.73</v>
      </c>
      <c r="O54" s="33" t="n">
        <v>-9.0618</v>
      </c>
      <c r="P54" s="33" t="n">
        <v>-71.1647</v>
      </c>
      <c r="Q54" s="33" t="inlineStr">
        <is>
          <t>Tarauacá, Brazil</t>
        </is>
      </c>
      <c r="R54" s="33" t="inlineStr">
        <is>
          <t>South America</t>
        </is>
      </c>
      <c r="S54" s="33" t="inlineStr">
        <is>
          <t>Brazil</t>
        </is>
      </c>
      <c r="T54" s="36">
        <f>DATE(MID(C54,7,4),MID(C54,4,2),MID(C54,1,2))+TIME(MID(C54,12,2),MID(C54,15,2),0)</f>
        <v/>
      </c>
      <c r="U54" s="33">
        <f>IF(ISNUMBER(VALUE(MID(A54,7,1))),"Distance-prefix pattern","Named-region pattern")</f>
        <v/>
      </c>
      <c r="V54" s="33">
        <f>LOWER(M54)</f>
        <v/>
      </c>
      <c r="W54" s="33">
        <f>IF(COUNTIFS($A$2:$A$1001,A54,$C$2:$C$1001,C54)&gt;1,"Duplicate","Unique")</f>
        <v/>
      </c>
      <c r="X54" s="33">
        <f>YEAR(T54)</f>
        <v/>
      </c>
      <c r="Y54" s="33">
        <f>IF(B54&lt;6.5,"&lt;6.5",IF(B54&lt;7,"6.5–6.9",IF(B54&lt;7.5,"7.0–7.4",IF(B54&lt;8,"7.5–7.9","8.0+"))))</f>
        <v/>
      </c>
      <c r="Z54" s="33">
        <f>IF(F54="","Blank",F54)</f>
        <v/>
      </c>
    </row>
    <row r="55" ht="15" customHeight="1" s="34">
      <c r="A55" s="33" t="inlineStr">
        <is>
          <t>M 7.2 - 10 km W of Azángaro, Peru</t>
        </is>
      </c>
      <c r="B55" s="33" t="n">
        <v>7.2</v>
      </c>
      <c r="C55" s="33" t="inlineStr">
        <is>
          <t>26/05/2022 12:02</t>
        </is>
      </c>
      <c r="D55" s="33" t="n">
        <v>7</v>
      </c>
      <c r="E55" s="33" t="n">
        <v>5</v>
      </c>
      <c r="F55" s="33" t="inlineStr">
        <is>
          <t>green</t>
        </is>
      </c>
      <c r="G55" s="33" t="n">
        <v>1</v>
      </c>
      <c r="H55" s="33" t="n">
        <v>876</v>
      </c>
      <c r="I55" s="33" t="inlineStr">
        <is>
          <t>us</t>
        </is>
      </c>
      <c r="J55" s="33" t="n">
        <v>144</v>
      </c>
      <c r="K55" s="33" t="n">
        <v>2.494</v>
      </c>
      <c r="L55" s="33" t="n">
        <v>40</v>
      </c>
      <c r="M55" s="33" t="inlineStr">
        <is>
          <t>mww</t>
        </is>
      </c>
      <c r="N55" s="33" t="n">
        <v>236</v>
      </c>
      <c r="O55" s="33" t="n">
        <v>-14.8628</v>
      </c>
      <c r="P55" s="33" t="n">
        <v>-70.3081</v>
      </c>
      <c r="Q55" s="33" t="inlineStr">
        <is>
          <t>Azángaro, Peru</t>
        </is>
      </c>
      <c r="R55" s="33" t="inlineStr">
        <is>
          <t>South America</t>
        </is>
      </c>
      <c r="S55" s="33" t="inlineStr">
        <is>
          <t>Peru</t>
        </is>
      </c>
      <c r="T55" s="36">
        <f>DATE(MID(C55,7,4),MID(C55,4,2),MID(C55,1,2))+TIME(MID(C55,12,2),MID(C55,15,2),0)</f>
        <v/>
      </c>
      <c r="U55" s="33">
        <f>IF(ISNUMBER(VALUE(MID(A55,7,1))),"Distance-prefix pattern","Named-region pattern")</f>
        <v/>
      </c>
      <c r="V55" s="33">
        <f>LOWER(M55)</f>
        <v/>
      </c>
      <c r="W55" s="33">
        <f>IF(COUNTIFS($A$2:$A$1001,A55,$C$2:$C$1001,C55)&gt;1,"Duplicate","Unique")</f>
        <v/>
      </c>
      <c r="X55" s="33">
        <f>YEAR(T55)</f>
        <v/>
      </c>
      <c r="Y55" s="33">
        <f>IF(B55&lt;6.5,"&lt;6.5",IF(B55&lt;7,"6.5–6.9",IF(B55&lt;7.5,"7.0–7.4",IF(B55&lt;8,"7.5–7.9","8.0+"))))</f>
        <v/>
      </c>
      <c r="Z55" s="33">
        <f>IF(F55="","Blank",F55)</f>
        <v/>
      </c>
    </row>
    <row r="56" ht="15" customHeight="1" s="34">
      <c r="A56" s="33" t="inlineStr">
        <is>
          <t xml:space="preserve">M 6.9 - </t>
        </is>
      </c>
      <c r="B56" s="33" t="n">
        <v>6.9</v>
      </c>
      <c r="C56" s="33" t="inlineStr">
        <is>
          <t>19/05/2022 10:13</t>
        </is>
      </c>
      <c r="D56" s="33" t="n">
        <v>2</v>
      </c>
      <c r="E56" s="33" t="n">
        <v>5</v>
      </c>
      <c r="F56" s="33" t="inlineStr">
        <is>
          <t>green</t>
        </is>
      </c>
      <c r="G56" s="33" t="n">
        <v>1</v>
      </c>
      <c r="H56" s="33" t="n">
        <v>733</v>
      </c>
      <c r="I56" s="33" t="inlineStr">
        <is>
          <t>us</t>
        </is>
      </c>
      <c r="J56" s="33" t="n">
        <v>127</v>
      </c>
      <c r="K56" s="33" t="n">
        <v>0.371</v>
      </c>
      <c r="L56" s="33" t="n">
        <v>45</v>
      </c>
      <c r="M56" s="33" t="inlineStr">
        <is>
          <t>mww</t>
        </is>
      </c>
      <c r="N56" s="33" t="n">
        <v>10</v>
      </c>
      <c r="O56" s="33" t="n">
        <v>-54.1325</v>
      </c>
      <c r="P56" s="33" t="n">
        <v>159.027</v>
      </c>
      <c r="T56" s="36">
        <f>DATE(MID(C56,7,4),MID(C56,4,2),MID(C56,1,2))+TIME(MID(C56,12,2),MID(C56,15,2),0)</f>
        <v/>
      </c>
      <c r="U56" s="33">
        <f>IF(ISNUMBER(VALUE(MID(A56,7,1))),"Distance-prefix pattern","Named-region pattern")</f>
        <v/>
      </c>
      <c r="V56" s="33">
        <f>LOWER(M56)</f>
        <v/>
      </c>
      <c r="W56" s="33">
        <f>IF(COUNTIFS($A$2:$A$1001,A56,$C$2:$C$1001,C56)&gt;1,"Duplicate","Unique")</f>
        <v/>
      </c>
      <c r="X56" s="33">
        <f>YEAR(T56)</f>
        <v/>
      </c>
      <c r="Y56" s="33">
        <f>IF(B56&lt;6.5,"&lt;6.5",IF(B56&lt;7,"6.5–6.9",IF(B56&lt;7.5,"7.0–7.4",IF(B56&lt;8,"7.5–7.9","8.0+"))))</f>
        <v/>
      </c>
      <c r="Z56" s="33">
        <f>IF(F56="","Blank",F56)</f>
        <v/>
      </c>
    </row>
    <row r="57" ht="15" customHeight="1" s="34">
      <c r="A57" s="33" t="inlineStr">
        <is>
          <t>M 6.8 - 86 km NNW of San Antonio de los Cobres, Argentina</t>
        </is>
      </c>
      <c r="B57" s="33" t="n">
        <v>6.8</v>
      </c>
      <c r="C57" s="33" t="inlineStr">
        <is>
          <t>10/05/2022 23:06</t>
        </is>
      </c>
      <c r="D57" s="33" t="n">
        <v>6</v>
      </c>
      <c r="E57" s="33" t="n">
        <v>5</v>
      </c>
      <c r="F57" s="33" t="inlineStr">
        <is>
          <t>green</t>
        </is>
      </c>
      <c r="G57" s="33" t="n">
        <v>1</v>
      </c>
      <c r="H57" s="33" t="n">
        <v>762</v>
      </c>
      <c r="I57" s="33" t="inlineStr">
        <is>
          <t>us</t>
        </is>
      </c>
      <c r="J57" s="33" t="n">
        <v>162</v>
      </c>
      <c r="K57" s="33" t="n">
        <v>1.505</v>
      </c>
      <c r="L57" s="33" t="n">
        <v>30</v>
      </c>
      <c r="M57" s="33" t="inlineStr">
        <is>
          <t>mww</t>
        </is>
      </c>
      <c r="N57" s="33" t="n">
        <v>220</v>
      </c>
      <c r="O57" s="33" t="n">
        <v>-23.6141</v>
      </c>
      <c r="P57" s="33" t="n">
        <v>-66.7236</v>
      </c>
      <c r="Q57" s="33" t="inlineStr">
        <is>
          <t>San Antonio de los Cobres, Argentina</t>
        </is>
      </c>
      <c r="R57" s="33" t="inlineStr">
        <is>
          <t>South America</t>
        </is>
      </c>
      <c r="S57" s="33" t="inlineStr">
        <is>
          <t>Argentina</t>
        </is>
      </c>
      <c r="T57" s="36">
        <f>DATE(MID(C57,7,4),MID(C57,4,2),MID(C57,1,2))+TIME(MID(C57,12,2),MID(C57,15,2),0)</f>
        <v/>
      </c>
      <c r="U57" s="33">
        <f>IF(ISNUMBER(VALUE(MID(A57,7,1))),"Distance-prefix pattern","Named-region pattern")</f>
        <v/>
      </c>
      <c r="V57" s="33">
        <f>LOWER(M57)</f>
        <v/>
      </c>
      <c r="W57" s="33">
        <f>IF(COUNTIFS($A$2:$A$1001,A57,$C$2:$C$1001,C57)&gt;1,"Duplicate","Unique")</f>
        <v/>
      </c>
      <c r="X57" s="33">
        <f>YEAR(T57)</f>
        <v/>
      </c>
      <c r="Y57" s="33">
        <f>IF(B57&lt;6.5,"&lt;6.5",IF(B57&lt;7,"6.5–6.9",IF(B57&lt;7.5,"7.0–7.4",IF(B57&lt;8,"7.5–7.9","8.0+"))))</f>
        <v/>
      </c>
      <c r="Z57" s="33">
        <f>IF(F57="","Blank",F57)</f>
        <v/>
      </c>
    </row>
    <row r="58" ht="15" customHeight="1" s="34">
      <c r="A58" s="33" t="inlineStr">
        <is>
          <t>M 6.6 - 55 km WSW of Masachapa, Nicaragua</t>
        </is>
      </c>
      <c r="B58" s="33" t="n">
        <v>6.6</v>
      </c>
      <c r="C58" s="33" t="inlineStr">
        <is>
          <t>21/04/2022 07:42</t>
        </is>
      </c>
      <c r="D58" s="33" t="n">
        <v>6</v>
      </c>
      <c r="E58" s="33" t="n">
        <v>5</v>
      </c>
      <c r="F58" s="33" t="inlineStr">
        <is>
          <t>green</t>
        </is>
      </c>
      <c r="G58" s="33" t="n">
        <v>1</v>
      </c>
      <c r="H58" s="33" t="n">
        <v>762</v>
      </c>
      <c r="I58" s="33" t="inlineStr">
        <is>
          <t>us</t>
        </is>
      </c>
      <c r="J58" s="33" t="n">
        <v>0</v>
      </c>
      <c r="K58" s="33" t="n">
        <v>0.914</v>
      </c>
      <c r="L58" s="33" t="n">
        <v>94</v>
      </c>
      <c r="M58" s="33" t="inlineStr">
        <is>
          <t>mww</t>
        </is>
      </c>
      <c r="N58" s="33" t="n">
        <v>27</v>
      </c>
      <c r="O58" s="33" t="n">
        <v>11.5538</v>
      </c>
      <c r="P58" s="33" t="n">
        <v>-86.9919</v>
      </c>
      <c r="Q58" s="33" t="inlineStr">
        <is>
          <t>Masachapa, Nicaragua</t>
        </is>
      </c>
      <c r="T58" s="36">
        <f>DATE(MID(C58,7,4),MID(C58,4,2),MID(C58,1,2))+TIME(MID(C58,12,2),MID(C58,15,2),0)</f>
        <v/>
      </c>
      <c r="U58" s="33">
        <f>IF(ISNUMBER(VALUE(MID(A58,7,1))),"Distance-prefix pattern","Named-region pattern")</f>
        <v/>
      </c>
      <c r="V58" s="33">
        <f>LOWER(M58)</f>
        <v/>
      </c>
      <c r="W58" s="33">
        <f>IF(COUNTIFS($A$2:$A$1001,A58,$C$2:$C$1001,C58)&gt;1,"Duplicate","Unique")</f>
        <v/>
      </c>
      <c r="X58" s="33">
        <f>YEAR(T58)</f>
        <v/>
      </c>
      <c r="Y58" s="33">
        <f>IF(B58&lt;6.5,"&lt;6.5",IF(B58&lt;7,"6.5–6.9",IF(B58&lt;7.5,"7.0–7.4",IF(B58&lt;8,"7.5–7.9","8.0+"))))</f>
        <v/>
      </c>
      <c r="Z58" s="33">
        <f>IF(F58="","Blank",F58)</f>
        <v/>
      </c>
    </row>
    <row r="59" ht="15" customHeight="1" s="34">
      <c r="A59" s="33" t="inlineStr">
        <is>
          <t>M 7.0 - southeast of the Loyalty Islands</t>
        </is>
      </c>
      <c r="B59" s="33" t="n">
        <v>7</v>
      </c>
      <c r="C59" s="33" t="inlineStr">
        <is>
          <t>31/03/2022 05:44</t>
        </is>
      </c>
      <c r="D59" s="33" t="n">
        <v>6</v>
      </c>
      <c r="E59" s="33" t="n">
        <v>4</v>
      </c>
      <c r="F59" s="33" t="inlineStr">
        <is>
          <t>green</t>
        </is>
      </c>
      <c r="G59" s="33" t="n">
        <v>1</v>
      </c>
      <c r="H59" s="33" t="n">
        <v>763</v>
      </c>
      <c r="I59" s="33" t="inlineStr">
        <is>
          <t>us</t>
        </is>
      </c>
      <c r="J59" s="33" t="n">
        <v>0</v>
      </c>
      <c r="K59" s="33" t="n">
        <v>2.705</v>
      </c>
      <c r="L59" s="33" t="n">
        <v>26</v>
      </c>
      <c r="M59" s="33" t="inlineStr">
        <is>
          <t>mww</t>
        </is>
      </c>
      <c r="N59" s="33" t="n">
        <v>10</v>
      </c>
      <c r="O59" s="33" t="n">
        <v>-22.5732</v>
      </c>
      <c r="P59" s="33" t="n">
        <v>170.349</v>
      </c>
      <c r="Q59" s="33" t="inlineStr">
        <is>
          <t>the Loyalty Islands</t>
        </is>
      </c>
      <c r="T59" s="36">
        <f>DATE(MID(C59,7,4),MID(C59,4,2),MID(C59,1,2))+TIME(MID(C59,12,2),MID(C59,15,2),0)</f>
        <v/>
      </c>
      <c r="U59" s="33">
        <f>IF(ISNUMBER(VALUE(MID(A59,7,1))),"Distance-prefix pattern","Named-region pattern")</f>
        <v/>
      </c>
      <c r="V59" s="33">
        <f>LOWER(M59)</f>
        <v/>
      </c>
      <c r="W59" s="33">
        <f>IF(COUNTIFS($A$2:$A$1001,A59,$C$2:$C$1001,C59)&gt;1,"Duplicate","Unique")</f>
        <v/>
      </c>
      <c r="X59" s="33">
        <f>YEAR(T59)</f>
        <v/>
      </c>
      <c r="Y59" s="33">
        <f>IF(B59&lt;6.5,"&lt;6.5",IF(B59&lt;7,"6.5–6.9",IF(B59&lt;7.5,"7.0–7.4",IF(B59&lt;8,"7.5–7.9","8.0+"))))</f>
        <v/>
      </c>
      <c r="Z59" s="33">
        <f>IF(F59="","Blank",F59)</f>
        <v/>
      </c>
    </row>
    <row r="60" ht="15" customHeight="1" s="34">
      <c r="A60" s="33" t="inlineStr">
        <is>
          <t>M 6.9 - 284 km ESE of Tadine, New Caledonia</t>
        </is>
      </c>
      <c r="B60" s="33" t="n">
        <v>6.9</v>
      </c>
      <c r="C60" s="33" t="inlineStr">
        <is>
          <t>30/03/2022 20:56</t>
        </is>
      </c>
      <c r="D60" s="33" t="n">
        <v>6</v>
      </c>
      <c r="E60" s="33" t="n">
        <v>4</v>
      </c>
      <c r="F60" s="33" t="inlineStr">
        <is>
          <t>green</t>
        </is>
      </c>
      <c r="G60" s="33" t="n">
        <v>1</v>
      </c>
      <c r="H60" s="33" t="n">
        <v>738</v>
      </c>
      <c r="I60" s="33" t="inlineStr">
        <is>
          <t>us</t>
        </is>
      </c>
      <c r="J60" s="33" t="n">
        <v>0</v>
      </c>
      <c r="K60" s="33" t="n">
        <v>2.697</v>
      </c>
      <c r="L60" s="33" t="n">
        <v>42</v>
      </c>
      <c r="M60" s="33" t="inlineStr">
        <is>
          <t>mww</t>
        </is>
      </c>
      <c r="N60" s="33" t="n">
        <v>10</v>
      </c>
      <c r="O60" s="33" t="n">
        <v>-22.72</v>
      </c>
      <c r="P60" s="33" t="n">
        <v>170.277</v>
      </c>
      <c r="Q60" s="33" t="inlineStr">
        <is>
          <t>Tadine, New Caledonia</t>
        </is>
      </c>
      <c r="T60" s="36">
        <f>DATE(MID(C60,7,4),MID(C60,4,2),MID(C60,1,2))+TIME(MID(C60,12,2),MID(C60,15,2),0)</f>
        <v/>
      </c>
      <c r="U60" s="33">
        <f>IF(ISNUMBER(VALUE(MID(A60,7,1))),"Distance-prefix pattern","Named-region pattern")</f>
        <v/>
      </c>
      <c r="V60" s="33">
        <f>LOWER(M60)</f>
        <v/>
      </c>
      <c r="W60" s="33">
        <f>IF(COUNTIFS($A$2:$A$1001,A60,$C$2:$C$1001,C60)&gt;1,"Duplicate","Unique")</f>
        <v/>
      </c>
      <c r="X60" s="33">
        <f>YEAR(T60)</f>
        <v/>
      </c>
      <c r="Y60" s="33">
        <f>IF(B60&lt;6.5,"&lt;6.5",IF(B60&lt;7,"6.5–6.9",IF(B60&lt;7.5,"7.0–7.4",IF(B60&lt;8,"7.5–7.9","8.0+"))))</f>
        <v/>
      </c>
      <c r="Z60" s="33">
        <f>IF(F60="","Blank",F60)</f>
        <v/>
      </c>
    </row>
    <row r="61" ht="15" customHeight="1" s="34">
      <c r="A61" s="33" t="inlineStr">
        <is>
          <t>M 6.7 - 65 km S of Hualien City, Taiwan</t>
        </is>
      </c>
      <c r="B61" s="33" t="n">
        <v>6.7</v>
      </c>
      <c r="C61" s="33" t="inlineStr">
        <is>
          <t>22/03/2022 17:41</t>
        </is>
      </c>
      <c r="D61" s="33" t="n">
        <v>8</v>
      </c>
      <c r="E61" s="33" t="n">
        <v>7</v>
      </c>
      <c r="F61" s="33" t="inlineStr">
        <is>
          <t>green</t>
        </is>
      </c>
      <c r="G61" s="33" t="n">
        <v>1</v>
      </c>
      <c r="H61" s="33" t="n">
        <v>806</v>
      </c>
      <c r="I61" s="33" t="inlineStr">
        <is>
          <t>us</t>
        </is>
      </c>
      <c r="J61" s="33" t="n">
        <v>0</v>
      </c>
      <c r="K61" s="33" t="n">
        <v>0.289</v>
      </c>
      <c r="L61" s="33" t="n">
        <v>32</v>
      </c>
      <c r="M61" s="33" t="inlineStr">
        <is>
          <t>mww</t>
        </is>
      </c>
      <c r="N61" s="33" t="n">
        <v>24</v>
      </c>
      <c r="O61" s="33" t="n">
        <v>23.3421</v>
      </c>
      <c r="P61" s="33" t="n">
        <v>121.636</v>
      </c>
      <c r="Q61" s="33" t="inlineStr">
        <is>
          <t>Hualien City, Taiwan</t>
        </is>
      </c>
      <c r="R61" s="33" t="inlineStr">
        <is>
          <t>Asia</t>
        </is>
      </c>
      <c r="S61" s="33" t="inlineStr">
        <is>
          <t>Taiwan</t>
        </is>
      </c>
      <c r="T61" s="36">
        <f>DATE(MID(C61,7,4),MID(C61,4,2),MID(C61,1,2))+TIME(MID(C61,12,2),MID(C61,15,2),0)</f>
        <v/>
      </c>
      <c r="U61" s="33">
        <f>IF(ISNUMBER(VALUE(MID(A61,7,1))),"Distance-prefix pattern","Named-region pattern")</f>
        <v/>
      </c>
      <c r="V61" s="33">
        <f>LOWER(M61)</f>
        <v/>
      </c>
      <c r="W61" s="33">
        <f>IF(COUNTIFS($A$2:$A$1001,A61,$C$2:$C$1001,C61)&gt;1,"Duplicate","Unique")</f>
        <v/>
      </c>
      <c r="X61" s="33">
        <f>YEAR(T61)</f>
        <v/>
      </c>
      <c r="Y61" s="33">
        <f>IF(B61&lt;6.5,"&lt;6.5",IF(B61&lt;7,"6.5–6.9",IF(B61&lt;7.5,"7.0–7.4",IF(B61&lt;8,"7.5–7.9","8.0+"))))</f>
        <v/>
      </c>
      <c r="Z61" s="33">
        <f>IF(F61="","Blank",F61)</f>
        <v/>
      </c>
    </row>
    <row r="62" ht="15" customHeight="1" s="34">
      <c r="A62" s="33" t="inlineStr">
        <is>
          <t>M 7.3 - 57 km ENE of Namie, Japan</t>
        </is>
      </c>
      <c r="B62" s="33" t="n">
        <v>7.3</v>
      </c>
      <c r="C62" s="33" t="inlineStr">
        <is>
          <t>16/03/2022 14:36</t>
        </is>
      </c>
      <c r="D62" s="33" t="n">
        <v>9</v>
      </c>
      <c r="E62" s="33" t="n">
        <v>8</v>
      </c>
      <c r="F62" s="33" t="inlineStr">
        <is>
          <t>red</t>
        </is>
      </c>
      <c r="G62" s="33" t="n">
        <v>1</v>
      </c>
      <c r="H62" s="33" t="n">
        <v>2397</v>
      </c>
      <c r="I62" s="33" t="inlineStr">
        <is>
          <t>us</t>
        </is>
      </c>
      <c r="J62" s="33" t="n">
        <v>0</v>
      </c>
      <c r="K62" s="33" t="n">
        <v>2.936</v>
      </c>
      <c r="L62" s="33" t="n">
        <v>29</v>
      </c>
      <c r="M62" s="33" t="inlineStr">
        <is>
          <t>mww</t>
        </is>
      </c>
      <c r="N62" s="33" t="n">
        <v>41</v>
      </c>
      <c r="O62" s="33" t="n">
        <v>37.7015</v>
      </c>
      <c r="P62" s="33" t="n">
        <v>141.587</v>
      </c>
      <c r="Q62" s="33" t="inlineStr">
        <is>
          <t>Namie, Japan</t>
        </is>
      </c>
      <c r="T62" s="36">
        <f>DATE(MID(C62,7,4),MID(C62,4,2),MID(C62,1,2))+TIME(MID(C62,12,2),MID(C62,15,2),0)</f>
        <v/>
      </c>
      <c r="U62" s="33">
        <f>IF(ISNUMBER(VALUE(MID(A62,7,1))),"Distance-prefix pattern","Named-region pattern")</f>
        <v/>
      </c>
      <c r="V62" s="33">
        <f>LOWER(M62)</f>
        <v/>
      </c>
      <c r="W62" s="33">
        <f>IF(COUNTIFS($A$2:$A$1001,A62,$C$2:$C$1001,C62)&gt;1,"Duplicate","Unique")</f>
        <v/>
      </c>
      <c r="X62" s="33">
        <f>YEAR(T62)</f>
        <v/>
      </c>
      <c r="Y62" s="33">
        <f>IF(B62&lt;6.5,"&lt;6.5",IF(B62&lt;7,"6.5–6.9",IF(B62&lt;7.5,"7.0–7.4",IF(B62&lt;8,"7.5–7.9","8.0+"))))</f>
        <v/>
      </c>
      <c r="Z62" s="33">
        <f>IF(F62="","Blank",F62)</f>
        <v/>
      </c>
    </row>
    <row r="63" ht="15" customHeight="1" s="34">
      <c r="A63" s="33" t="inlineStr">
        <is>
          <t>M 6.7 - 166 km W of Pariaman, Indonesia</t>
        </is>
      </c>
      <c r="B63" s="33" t="n">
        <v>6.7</v>
      </c>
      <c r="C63" s="33" t="inlineStr">
        <is>
          <t>13/03/2022 21:09</t>
        </is>
      </c>
      <c r="D63" s="33" t="n">
        <v>9</v>
      </c>
      <c r="E63" s="33" t="n">
        <v>6</v>
      </c>
      <c r="F63" s="33" t="inlineStr">
        <is>
          <t>green</t>
        </is>
      </c>
      <c r="G63" s="33" t="n">
        <v>0</v>
      </c>
      <c r="H63" s="33" t="n">
        <v>708</v>
      </c>
      <c r="I63" s="33" t="inlineStr">
        <is>
          <t>us</t>
        </is>
      </c>
      <c r="J63" s="33" t="n">
        <v>0</v>
      </c>
      <c r="K63" s="33" t="n">
        <v>2.188</v>
      </c>
      <c r="L63" s="33" t="n">
        <v>43</v>
      </c>
      <c r="M63" s="33" t="inlineStr">
        <is>
          <t>mww</t>
        </is>
      </c>
      <c r="N63" s="33" t="n">
        <v>28</v>
      </c>
      <c r="O63" s="33" t="n">
        <v>-0.6831</v>
      </c>
      <c r="P63" s="33" t="n">
        <v>98.60339999999999</v>
      </c>
      <c r="Q63" s="33" t="inlineStr">
        <is>
          <t>Pariaman, Indonesia</t>
        </is>
      </c>
      <c r="R63" s="33" t="inlineStr">
        <is>
          <t>Asia</t>
        </is>
      </c>
      <c r="S63" s="33" t="inlineStr">
        <is>
          <t>Indonesia</t>
        </is>
      </c>
      <c r="T63" s="36">
        <f>DATE(MID(C63,7,4),MID(C63,4,2),MID(C63,1,2))+TIME(MID(C63,12,2),MID(C63,15,2),0)</f>
        <v/>
      </c>
      <c r="U63" s="33">
        <f>IF(ISNUMBER(VALUE(MID(A63,7,1))),"Distance-prefix pattern","Named-region pattern")</f>
        <v/>
      </c>
      <c r="V63" s="33">
        <f>LOWER(M63)</f>
        <v/>
      </c>
      <c r="W63" s="33">
        <f>IF(COUNTIFS($A$2:$A$1001,A63,$C$2:$C$1001,C63)&gt;1,"Duplicate","Unique")</f>
        <v/>
      </c>
      <c r="X63" s="33">
        <f>YEAR(T63)</f>
        <v/>
      </c>
      <c r="Y63" s="33">
        <f>IF(B63&lt;6.5,"&lt;6.5",IF(B63&lt;7,"6.5–6.9",IF(B63&lt;7.5,"7.0–7.4",IF(B63&lt;8,"7.5–7.9","8.0+"))))</f>
        <v/>
      </c>
      <c r="Z63" s="33">
        <f>IF(F63="","Blank",F63)</f>
        <v/>
      </c>
    </row>
    <row r="64" ht="15" customHeight="1" s="34">
      <c r="A64" s="33" t="inlineStr">
        <is>
          <t>M 6.6 - Kermadec Islands, New Zealand</t>
        </is>
      </c>
      <c r="B64" s="33" t="n">
        <v>6.6</v>
      </c>
      <c r="C64" s="33" t="inlineStr">
        <is>
          <t>02/03/2022 12:52</t>
        </is>
      </c>
      <c r="D64" s="33" t="n">
        <v>2</v>
      </c>
      <c r="E64" s="33" t="n">
        <v>7</v>
      </c>
      <c r="F64" s="33" t="inlineStr">
        <is>
          <t>green</t>
        </is>
      </c>
      <c r="G64" s="33" t="n">
        <v>1</v>
      </c>
      <c r="H64" s="33" t="n">
        <v>670</v>
      </c>
      <c r="I64" s="33" t="inlineStr">
        <is>
          <t>us</t>
        </is>
      </c>
      <c r="J64" s="33" t="n">
        <v>0</v>
      </c>
      <c r="K64" s="33" t="n">
        <v>0.827</v>
      </c>
      <c r="L64" s="33" t="n">
        <v>46</v>
      </c>
      <c r="M64" s="33" t="inlineStr">
        <is>
          <t>mww</t>
        </is>
      </c>
      <c r="N64" s="33" t="n">
        <v>24</v>
      </c>
      <c r="O64" s="33" t="n">
        <v>-30.0528</v>
      </c>
      <c r="P64" s="33" t="n">
        <v>-177.74</v>
      </c>
      <c r="Q64" s="33" t="inlineStr">
        <is>
          <t>Kermadec Islands, New Zealand</t>
        </is>
      </c>
      <c r="T64" s="36">
        <f>DATE(MID(C64,7,4),MID(C64,4,2),MID(C64,1,2))+TIME(MID(C64,12,2),MID(C64,15,2),0)</f>
        <v/>
      </c>
      <c r="U64" s="33">
        <f>IF(ISNUMBER(VALUE(MID(A64,7,1))),"Distance-prefix pattern","Named-region pattern")</f>
        <v/>
      </c>
      <c r="V64" s="33">
        <f>LOWER(M64)</f>
        <v/>
      </c>
      <c r="W64" s="33">
        <f>IF(COUNTIFS($A$2:$A$1001,A64,$C$2:$C$1001,C64)&gt;1,"Duplicate","Unique")</f>
        <v/>
      </c>
      <c r="X64" s="33">
        <f>YEAR(T64)</f>
        <v/>
      </c>
      <c r="Y64" s="33">
        <f>IF(B64&lt;6.5,"&lt;6.5",IF(B64&lt;7,"6.5–6.9",IF(B64&lt;7.5,"7.0–7.4",IF(B64&lt;8,"7.5–7.9","8.0+"))))</f>
        <v/>
      </c>
      <c r="Z64" s="33">
        <f>IF(F64="","Blank",F64)</f>
        <v/>
      </c>
    </row>
    <row r="65" ht="15" customHeight="1" s="34">
      <c r="A65" s="33" t="inlineStr">
        <is>
          <t>M 6.8 - south of the Fiji Islands</t>
        </is>
      </c>
      <c r="B65" s="33" t="n">
        <v>6.8</v>
      </c>
      <c r="C65" s="33" t="inlineStr">
        <is>
          <t>16/02/2022 20:21</t>
        </is>
      </c>
      <c r="D65" s="33" t="n">
        <v>2</v>
      </c>
      <c r="E65" s="33" t="n">
        <v>3</v>
      </c>
      <c r="F65" s="33" t="inlineStr">
        <is>
          <t>green</t>
        </is>
      </c>
      <c r="G65" s="33" t="n">
        <v>1</v>
      </c>
      <c r="H65" s="33" t="n">
        <v>712</v>
      </c>
      <c r="I65" s="33" t="inlineStr">
        <is>
          <t>us</t>
        </is>
      </c>
      <c r="J65" s="33" t="n">
        <v>0</v>
      </c>
      <c r="K65" s="33" t="n">
        <v>5.78</v>
      </c>
      <c r="L65" s="33" t="n">
        <v>12</v>
      </c>
      <c r="M65" s="33" t="inlineStr">
        <is>
          <t>mww</t>
        </is>
      </c>
      <c r="N65" s="33" t="n">
        <v>535</v>
      </c>
      <c r="O65" s="33" t="n">
        <v>-23.7852</v>
      </c>
      <c r="P65" s="33" t="n">
        <v>-179.968</v>
      </c>
      <c r="Q65" s="33" t="inlineStr">
        <is>
          <t>the Fiji Islands</t>
        </is>
      </c>
      <c r="T65" s="36">
        <f>DATE(MID(C65,7,4),MID(C65,4,2),MID(C65,1,2))+TIME(MID(C65,12,2),MID(C65,15,2),0)</f>
        <v/>
      </c>
      <c r="U65" s="33">
        <f>IF(ISNUMBER(VALUE(MID(A65,7,1))),"Distance-prefix pattern","Named-region pattern")</f>
        <v/>
      </c>
      <c r="V65" s="33">
        <f>LOWER(M65)</f>
        <v/>
      </c>
      <c r="W65" s="33">
        <f>IF(COUNTIFS($A$2:$A$1001,A65,$C$2:$C$1001,C65)&gt;1,"Duplicate","Unique")</f>
        <v/>
      </c>
      <c r="X65" s="33">
        <f>YEAR(T65)</f>
        <v/>
      </c>
      <c r="Y65" s="33">
        <f>IF(B65&lt;6.5,"&lt;6.5",IF(B65&lt;7,"6.5–6.9",IF(B65&lt;7.5,"7.0–7.4",IF(B65&lt;8,"7.5–7.9","8.0+"))))</f>
        <v/>
      </c>
      <c r="Z65" s="33">
        <f>IF(F65="","Blank",F65)</f>
        <v/>
      </c>
    </row>
    <row r="66" ht="15" customHeight="1" s="34">
      <c r="A66" s="33" t="inlineStr">
        <is>
          <t>M 6.5 - 49 km NW of Barranca, Peru</t>
        </is>
      </c>
      <c r="B66" s="33" t="n">
        <v>6.5</v>
      </c>
      <c r="C66" s="33" t="inlineStr">
        <is>
          <t>03/02/2022 15:58</t>
        </is>
      </c>
      <c r="D66" s="33" t="n">
        <v>8</v>
      </c>
      <c r="E66" s="33" t="n">
        <v>6</v>
      </c>
      <c r="F66" s="33" t="inlineStr">
        <is>
          <t>green</t>
        </is>
      </c>
      <c r="G66" s="33" t="n">
        <v>0</v>
      </c>
      <c r="H66" s="33" t="n">
        <v>690</v>
      </c>
      <c r="I66" s="33" t="inlineStr">
        <is>
          <t>us</t>
        </is>
      </c>
      <c r="J66" s="33" t="n">
        <v>0</v>
      </c>
      <c r="K66" s="33" t="n">
        <v>3.026</v>
      </c>
      <c r="L66" s="33" t="n">
        <v>22</v>
      </c>
      <c r="M66" s="33" t="inlineStr">
        <is>
          <t>mww</t>
        </is>
      </c>
      <c r="N66" s="33" t="n">
        <v>110</v>
      </c>
      <c r="O66" s="33" t="n">
        <v>-4.455</v>
      </c>
      <c r="P66" s="33" t="n">
        <v>-76.9395</v>
      </c>
      <c r="Q66" s="33" t="inlineStr">
        <is>
          <t>Barranca, Peru</t>
        </is>
      </c>
      <c r="R66" s="33" t="inlineStr">
        <is>
          <t>South America</t>
        </is>
      </c>
      <c r="S66" s="33" t="inlineStr">
        <is>
          <t>Peru</t>
        </is>
      </c>
      <c r="T66" s="36">
        <f>DATE(MID(C66,7,4),MID(C66,4,2),MID(C66,1,2))+TIME(MID(C66,12,2),MID(C66,15,2),0)</f>
        <v/>
      </c>
      <c r="U66" s="33">
        <f>IF(ISNUMBER(VALUE(MID(A66,7,1))),"Distance-prefix pattern","Named-region pattern")</f>
        <v/>
      </c>
      <c r="V66" s="33">
        <f>LOWER(M66)</f>
        <v/>
      </c>
      <c r="W66" s="33">
        <f>IF(COUNTIFS($A$2:$A$1001,A66,$C$2:$C$1001,C66)&gt;1,"Duplicate","Unique")</f>
        <v/>
      </c>
      <c r="X66" s="33">
        <f>YEAR(T66)</f>
        <v/>
      </c>
      <c r="Y66" s="33">
        <f>IF(B66&lt;6.5,"&lt;6.5",IF(B66&lt;7,"6.5–6.9",IF(B66&lt;7.5,"7.0–7.4",IF(B66&lt;8,"7.5–7.9","8.0+"))))</f>
        <v/>
      </c>
      <c r="Z66" s="33">
        <f>IF(F66="","Blank",F66)</f>
        <v/>
      </c>
    </row>
    <row r="67" ht="15" customHeight="1" s="34">
      <c r="A67" s="33" t="inlineStr">
        <is>
          <t>M 6.5 - Kermadec Islands region</t>
        </is>
      </c>
      <c r="B67" s="33" t="n">
        <v>6.5</v>
      </c>
      <c r="C67" s="33" t="inlineStr">
        <is>
          <t>29/01/2022 02:46</t>
        </is>
      </c>
      <c r="D67" s="33" t="n">
        <v>7</v>
      </c>
      <c r="E67" s="33" t="n">
        <v>4</v>
      </c>
      <c r="F67" s="33" t="inlineStr">
        <is>
          <t>green</t>
        </is>
      </c>
      <c r="G67" s="33" t="n">
        <v>1</v>
      </c>
      <c r="H67" s="33" t="n">
        <v>651</v>
      </c>
      <c r="I67" s="33" t="inlineStr">
        <is>
          <t>us</t>
        </is>
      </c>
      <c r="J67" s="33" t="n">
        <v>0</v>
      </c>
      <c r="K67" s="33" t="n">
        <v>1.088</v>
      </c>
      <c r="L67" s="33" t="n">
        <v>57</v>
      </c>
      <c r="M67" s="33" t="inlineStr">
        <is>
          <t>mww</t>
        </is>
      </c>
      <c r="N67" s="33" t="n">
        <v>8</v>
      </c>
      <c r="O67" s="33" t="n">
        <v>-29.535</v>
      </c>
      <c r="P67" s="33" t="n">
        <v>-176.729</v>
      </c>
      <c r="Q67" s="33" t="inlineStr">
        <is>
          <t>Kermadec Islands region</t>
        </is>
      </c>
      <c r="T67" s="36">
        <f>DATE(MID(C67,7,4),MID(C67,4,2),MID(C67,1,2))+TIME(MID(C67,12,2),MID(C67,15,2),0)</f>
        <v/>
      </c>
      <c r="U67" s="33">
        <f>IF(ISNUMBER(VALUE(MID(A67,7,1))),"Distance-prefix pattern","Named-region pattern")</f>
        <v/>
      </c>
      <c r="V67" s="33">
        <f>LOWER(M67)</f>
        <v/>
      </c>
      <c r="W67" s="33">
        <f>IF(COUNTIFS($A$2:$A$1001,A67,$C$2:$C$1001,C67)&gt;1,"Duplicate","Unique")</f>
        <v/>
      </c>
      <c r="X67" s="33">
        <f>YEAR(T67)</f>
        <v/>
      </c>
      <c r="Y67" s="33">
        <f>IF(B67&lt;6.5,"&lt;6.5",IF(B67&lt;7,"6.5–6.9",IF(B67&lt;7.5,"7.0–7.4",IF(B67&lt;8,"7.5–7.9","8.0+"))))</f>
        <v/>
      </c>
      <c r="Z67" s="33">
        <f>IF(F67="","Blank",F67)</f>
        <v/>
      </c>
    </row>
    <row r="68" ht="15" customHeight="1" s="34">
      <c r="A68" s="33" t="inlineStr">
        <is>
          <t>M 6.6 - 80 km SW of Labuan, Indonesia</t>
        </is>
      </c>
      <c r="B68" s="33" t="n">
        <v>6.6</v>
      </c>
      <c r="C68" s="33" t="inlineStr">
        <is>
          <t>14/01/2022 09:05</t>
        </is>
      </c>
      <c r="D68" s="33" t="n">
        <v>8</v>
      </c>
      <c r="E68" s="33" t="n">
        <v>6</v>
      </c>
      <c r="F68" s="33" t="inlineStr">
        <is>
          <t>green</t>
        </is>
      </c>
      <c r="G68" s="33" t="n">
        <v>0</v>
      </c>
      <c r="H68" s="33" t="n">
        <v>785</v>
      </c>
      <c r="I68" s="33" t="inlineStr">
        <is>
          <t>us</t>
        </is>
      </c>
      <c r="J68" s="33" t="n">
        <v>0</v>
      </c>
      <c r="K68" s="33" t="n">
        <v>2.418</v>
      </c>
      <c r="L68" s="33" t="n">
        <v>22</v>
      </c>
      <c r="M68" s="33" t="inlineStr">
        <is>
          <t>mww</t>
        </is>
      </c>
      <c r="N68" s="33" t="n">
        <v>33</v>
      </c>
      <c r="O68" s="33" t="n">
        <v>-6.9291</v>
      </c>
      <c r="P68" s="33" t="n">
        <v>105.251</v>
      </c>
      <c r="Q68" s="33" t="inlineStr">
        <is>
          <t>Labuan, Indonesia</t>
        </is>
      </c>
      <c r="S68" s="33" t="inlineStr">
        <is>
          <t>Indonesia</t>
        </is>
      </c>
      <c r="T68" s="36">
        <f>DATE(MID(C68,7,4),MID(C68,4,2),MID(C68,1,2))+TIME(MID(C68,12,2),MID(C68,15,2),0)</f>
        <v/>
      </c>
      <c r="U68" s="33">
        <f>IF(ISNUMBER(VALUE(MID(A68,7,1))),"Distance-prefix pattern","Named-region pattern")</f>
        <v/>
      </c>
      <c r="V68" s="33">
        <f>LOWER(M68)</f>
        <v/>
      </c>
      <c r="W68" s="33">
        <f>IF(COUNTIFS($A$2:$A$1001,A68,$C$2:$C$1001,C68)&gt;1,"Duplicate","Unique")</f>
        <v/>
      </c>
      <c r="X68" s="33">
        <f>YEAR(T68)</f>
        <v/>
      </c>
      <c r="Y68" s="33">
        <f>IF(B68&lt;6.5,"&lt;6.5",IF(B68&lt;7,"6.5–6.9",IF(B68&lt;7.5,"7.0–7.4",IF(B68&lt;8,"7.5–7.9","8.0+"))))</f>
        <v/>
      </c>
      <c r="Z68" s="33">
        <f>IF(F68="","Blank",F68)</f>
        <v/>
      </c>
    </row>
    <row r="69" ht="15" customHeight="1" s="34">
      <c r="A69" s="33" t="inlineStr">
        <is>
          <t>M 6.5 - 71 km SE of Nikolski, Alaska</t>
        </is>
      </c>
      <c r="B69" s="33" t="n">
        <v>6.5</v>
      </c>
      <c r="C69" s="33" t="inlineStr">
        <is>
          <t>11/01/2022 12:39</t>
        </is>
      </c>
      <c r="D69" s="33" t="n">
        <v>0</v>
      </c>
      <c r="E69" s="33" t="n">
        <v>3</v>
      </c>
      <c r="G69" s="33" t="n">
        <v>1</v>
      </c>
      <c r="H69" s="33" t="n">
        <v>650</v>
      </c>
      <c r="I69" s="33" t="inlineStr">
        <is>
          <t>at</t>
        </is>
      </c>
      <c r="J69" s="33" t="n">
        <v>97</v>
      </c>
      <c r="K69" s="33" t="n">
        <v>1.61607</v>
      </c>
      <c r="L69" s="33" t="n">
        <v>108</v>
      </c>
      <c r="M69" s="33" t="inlineStr">
        <is>
          <t>Mi</t>
        </is>
      </c>
      <c r="N69" s="33" t="n">
        <v>37</v>
      </c>
      <c r="O69" s="33" t="n">
        <v>52.502</v>
      </c>
      <c r="P69" s="33" t="n">
        <v>-168.08</v>
      </c>
      <c r="Q69" s="33" t="inlineStr">
        <is>
          <t>Nikolski, Alaska</t>
        </is>
      </c>
      <c r="T69" s="36">
        <f>DATE(MID(C69,7,4),MID(C69,4,2),MID(C69,1,2))+TIME(MID(C69,12,2),MID(C69,15,2),0)</f>
        <v/>
      </c>
      <c r="U69" s="33">
        <f>IF(ISNUMBER(VALUE(MID(A69,7,1))),"Distance-prefix pattern","Named-region pattern")</f>
        <v/>
      </c>
      <c r="V69" s="33">
        <f>LOWER(M69)</f>
        <v/>
      </c>
      <c r="W69" s="33">
        <f>IF(COUNTIFS($A$2:$A$1001,A69,$C$2:$C$1001,C69)&gt;1,"Duplicate","Unique")</f>
        <v/>
      </c>
      <c r="X69" s="33">
        <f>YEAR(T69)</f>
        <v/>
      </c>
      <c r="Y69" s="33">
        <f>IF(B69&lt;6.5,"&lt;6.5",IF(B69&lt;7,"6.5–6.9",IF(B69&lt;7.5,"7.0–7.4",IF(B69&lt;8,"7.5–7.9","8.0+"))))</f>
        <v/>
      </c>
      <c r="Z69" s="33">
        <f>IF(F69="","Blank",F69)</f>
        <v/>
      </c>
    </row>
    <row r="70" ht="15" customHeight="1" s="34">
      <c r="A70" s="33" t="inlineStr">
        <is>
          <t>M 6.5 - 71 km SE of Nikolski, Alaska</t>
        </is>
      </c>
      <c r="B70" s="33" t="n">
        <v>6.5</v>
      </c>
      <c r="C70" s="33" t="inlineStr">
        <is>
          <t>11/01/2022 12:39</t>
        </is>
      </c>
      <c r="D70" s="33" t="n">
        <v>0</v>
      </c>
      <c r="E70" s="33" t="n">
        <v>3</v>
      </c>
      <c r="G70" s="33" t="n">
        <v>1</v>
      </c>
      <c r="H70" s="33" t="n">
        <v>650</v>
      </c>
      <c r="I70" s="33" t="inlineStr">
        <is>
          <t>pt</t>
        </is>
      </c>
      <c r="J70" s="33" t="n">
        <v>23</v>
      </c>
      <c r="K70" s="33" t="n">
        <v>0</v>
      </c>
      <c r="L70" s="33" t="n">
        <v>208.8</v>
      </c>
      <c r="M70" s="33" t="inlineStr">
        <is>
          <t>Mi</t>
        </is>
      </c>
      <c r="N70" s="33" t="n">
        <v>37</v>
      </c>
      <c r="O70" s="33" t="n">
        <v>52.502</v>
      </c>
      <c r="P70" s="33" t="n">
        <v>-168.08</v>
      </c>
      <c r="Q70" s="33" t="inlineStr">
        <is>
          <t>Nikolski, Alaska</t>
        </is>
      </c>
      <c r="T70" s="36">
        <f>DATE(MID(C70,7,4),MID(C70,4,2),MID(C70,1,2))+TIME(MID(C70,12,2),MID(C70,15,2),0)</f>
        <v/>
      </c>
      <c r="U70" s="33">
        <f>IF(ISNUMBER(VALUE(MID(A70,7,1))),"Distance-prefix pattern","Named-region pattern")</f>
        <v/>
      </c>
      <c r="V70" s="33">
        <f>LOWER(M70)</f>
        <v/>
      </c>
      <c r="W70" s="33">
        <f>IF(COUNTIFS($A$2:$A$1001,A70,$C$2:$C$1001,C70)&gt;1,"Duplicate","Unique")</f>
        <v/>
      </c>
      <c r="X70" s="33">
        <f>YEAR(T70)</f>
        <v/>
      </c>
      <c r="Y70" s="33">
        <f>IF(B70&lt;6.5,"&lt;6.5",IF(B70&lt;7,"6.5–6.9",IF(B70&lt;7.5,"7.0–7.4",IF(B70&lt;8,"7.5–7.9","8.0+"))))</f>
        <v/>
      </c>
      <c r="Z70" s="33">
        <f>IF(F70="","Blank",F70)</f>
        <v/>
      </c>
    </row>
    <row r="71" ht="15" customHeight="1" s="34">
      <c r="A71" s="33" t="inlineStr">
        <is>
          <t>M 6.6 - 53 km SE of Nikolski, Alaska</t>
        </is>
      </c>
      <c r="B71" s="33" t="n">
        <v>6.6</v>
      </c>
      <c r="C71" s="33" t="inlineStr">
        <is>
          <t>11/01/2022 12:39</t>
        </is>
      </c>
      <c r="D71" s="33" t="n">
        <v>8</v>
      </c>
      <c r="E71" s="33" t="n">
        <v>5</v>
      </c>
      <c r="F71" s="33" t="inlineStr">
        <is>
          <t>green</t>
        </is>
      </c>
      <c r="G71" s="33" t="n">
        <v>1</v>
      </c>
      <c r="H71" s="33" t="n">
        <v>674</v>
      </c>
      <c r="I71" s="33" t="inlineStr">
        <is>
          <t>us</t>
        </is>
      </c>
      <c r="J71" s="33" t="n">
        <v>0</v>
      </c>
      <c r="K71" s="33" t="n">
        <v>0.507</v>
      </c>
      <c r="L71" s="33" t="n">
        <v>49</v>
      </c>
      <c r="M71" s="33" t="inlineStr">
        <is>
          <t>mww</t>
        </is>
      </c>
      <c r="N71" s="33" t="n">
        <v>19</v>
      </c>
      <c r="O71" s="33" t="n">
        <v>52.6252</v>
      </c>
      <c r="P71" s="33" t="n">
        <v>-168.15</v>
      </c>
      <c r="Q71" s="33" t="inlineStr">
        <is>
          <t>Nikolski, Alaska</t>
        </is>
      </c>
      <c r="T71" s="36">
        <f>DATE(MID(C71,7,4),MID(C71,4,2),MID(C71,1,2))+TIME(MID(C71,12,2),MID(C71,15,2),0)</f>
        <v/>
      </c>
      <c r="U71" s="33">
        <f>IF(ISNUMBER(VALUE(MID(A71,7,1))),"Distance-prefix pattern","Named-region pattern")</f>
        <v/>
      </c>
      <c r="V71" s="33">
        <f>LOWER(M71)</f>
        <v/>
      </c>
      <c r="W71" s="33">
        <f>IF(COUNTIFS($A$2:$A$1001,A71,$C$2:$C$1001,C71)&gt;1,"Duplicate","Unique")</f>
        <v/>
      </c>
      <c r="X71" s="33">
        <f>YEAR(T71)</f>
        <v/>
      </c>
      <c r="Y71" s="33">
        <f>IF(B71&lt;6.5,"&lt;6.5",IF(B71&lt;7,"6.5–6.9",IF(B71&lt;7.5,"7.0–7.4",IF(B71&lt;8,"7.5–7.9","8.0+"))))</f>
        <v/>
      </c>
      <c r="Z71" s="33">
        <f>IF(F71="","Blank",F71)</f>
        <v/>
      </c>
    </row>
    <row r="72" ht="15" customHeight="1" s="34">
      <c r="A72" s="33" t="inlineStr">
        <is>
          <t>M 6.7 - 91 km SE of Nikolski, Alaska</t>
        </is>
      </c>
      <c r="B72" s="33" t="n">
        <v>6.7</v>
      </c>
      <c r="C72" s="33" t="inlineStr">
        <is>
          <t>11/01/2022 11:35</t>
        </is>
      </c>
      <c r="D72" s="33" t="n">
        <v>0</v>
      </c>
      <c r="E72" s="33" t="n">
        <v>4</v>
      </c>
      <c r="G72" s="33" t="n">
        <v>1</v>
      </c>
      <c r="H72" s="33" t="n">
        <v>691</v>
      </c>
      <c r="I72" s="33" t="inlineStr">
        <is>
          <t>at</t>
        </is>
      </c>
      <c r="J72" s="33" t="n">
        <v>50</v>
      </c>
      <c r="K72" s="33" t="n">
        <v>0.936943</v>
      </c>
      <c r="L72" s="33" t="n">
        <v>126</v>
      </c>
      <c r="M72" s="33" t="inlineStr">
        <is>
          <t>Mi</t>
        </is>
      </c>
      <c r="N72" s="33" t="n">
        <v>33</v>
      </c>
      <c r="O72" s="33" t="n">
        <v>52.48</v>
      </c>
      <c r="P72" s="33" t="n">
        <v>-167.736</v>
      </c>
      <c r="Q72" s="33" t="inlineStr">
        <is>
          <t>Nikolski, Alaska</t>
        </is>
      </c>
      <c r="T72" s="36">
        <f>DATE(MID(C72,7,4),MID(C72,4,2),MID(C72,1,2))+TIME(MID(C72,12,2),MID(C72,15,2),0)</f>
        <v/>
      </c>
      <c r="U72" s="33">
        <f>IF(ISNUMBER(VALUE(MID(A72,7,1))),"Distance-prefix pattern","Named-region pattern")</f>
        <v/>
      </c>
      <c r="V72" s="33">
        <f>LOWER(M72)</f>
        <v/>
      </c>
      <c r="W72" s="33">
        <f>IF(COUNTIFS($A$2:$A$1001,A72,$C$2:$C$1001,C72)&gt;1,"Duplicate","Unique")</f>
        <v/>
      </c>
      <c r="X72" s="33">
        <f>YEAR(T72)</f>
        <v/>
      </c>
      <c r="Y72" s="33">
        <f>IF(B72&lt;6.5,"&lt;6.5",IF(B72&lt;7,"6.5–6.9",IF(B72&lt;7.5,"7.0–7.4",IF(B72&lt;8,"7.5–7.9","8.0+"))))</f>
        <v/>
      </c>
      <c r="Z72" s="33">
        <f>IF(F72="","Blank",F72)</f>
        <v/>
      </c>
    </row>
    <row r="73" ht="15" customHeight="1" s="34">
      <c r="A73" s="33" t="inlineStr">
        <is>
          <t>M 6.7 - 91 km SE of Nikolski, Alaska</t>
        </is>
      </c>
      <c r="B73" s="33" t="n">
        <v>6.7</v>
      </c>
      <c r="C73" s="33" t="inlineStr">
        <is>
          <t>11/01/2022 11:35</t>
        </is>
      </c>
      <c r="D73" s="33" t="n">
        <v>0</v>
      </c>
      <c r="E73" s="33" t="n">
        <v>4</v>
      </c>
      <c r="G73" s="33" t="n">
        <v>1</v>
      </c>
      <c r="H73" s="33" t="n">
        <v>691</v>
      </c>
      <c r="I73" s="33" t="inlineStr">
        <is>
          <t>pt</t>
        </is>
      </c>
      <c r="J73" s="33" t="n">
        <v>20</v>
      </c>
      <c r="K73" s="33" t="n">
        <v>0</v>
      </c>
      <c r="L73" s="33" t="n">
        <v>205.2</v>
      </c>
      <c r="M73" s="33" t="inlineStr">
        <is>
          <t>Mi</t>
        </is>
      </c>
      <c r="N73" s="33" t="n">
        <v>33</v>
      </c>
      <c r="O73" s="33" t="n">
        <v>52.48</v>
      </c>
      <c r="P73" s="33" t="n">
        <v>-167.736</v>
      </c>
      <c r="Q73" s="33" t="inlineStr">
        <is>
          <t>Nikolski, Alaska</t>
        </is>
      </c>
      <c r="T73" s="36">
        <f>DATE(MID(C73,7,4),MID(C73,4,2),MID(C73,1,2))+TIME(MID(C73,12,2),MID(C73,15,2),0)</f>
        <v/>
      </c>
      <c r="U73" s="33">
        <f>IF(ISNUMBER(VALUE(MID(A73,7,1))),"Distance-prefix pattern","Named-region pattern")</f>
        <v/>
      </c>
      <c r="V73" s="33">
        <f>LOWER(M73)</f>
        <v/>
      </c>
      <c r="W73" s="33">
        <f>IF(COUNTIFS($A$2:$A$1001,A73,$C$2:$C$1001,C73)&gt;1,"Duplicate","Unique")</f>
        <v/>
      </c>
      <c r="X73" s="33">
        <f>YEAR(T73)</f>
        <v/>
      </c>
      <c r="Y73" s="33">
        <f>IF(B73&lt;6.5,"&lt;6.5",IF(B73&lt;7,"6.5–6.9",IF(B73&lt;7.5,"7.0–7.4",IF(B73&lt;8,"7.5–7.9","8.0+"))))</f>
        <v/>
      </c>
      <c r="Z73" s="33">
        <f>IF(F73="","Blank",F73)</f>
        <v/>
      </c>
    </row>
    <row r="74" ht="15" customHeight="1" s="34">
      <c r="A74" s="33" t="inlineStr">
        <is>
          <t>M 6.8 - 100 km SE of Nikolski, Alaska</t>
        </is>
      </c>
      <c r="B74" s="33" t="n">
        <v>6.8</v>
      </c>
      <c r="C74" s="33" t="inlineStr">
        <is>
          <t>11/01/2022 11:35</t>
        </is>
      </c>
      <c r="D74" s="33" t="n">
        <v>7</v>
      </c>
      <c r="E74" s="33" t="n">
        <v>6</v>
      </c>
      <c r="F74" s="33" t="inlineStr">
        <is>
          <t>green</t>
        </is>
      </c>
      <c r="G74" s="33" t="n">
        <v>1</v>
      </c>
      <c r="H74" s="33" t="n">
        <v>730</v>
      </c>
      <c r="I74" s="33" t="inlineStr">
        <is>
          <t>us</t>
        </is>
      </c>
      <c r="J74" s="33" t="n">
        <v>0</v>
      </c>
      <c r="K74" s="33" t="n">
        <v>0.92</v>
      </c>
      <c r="L74" s="33" t="n">
        <v>61</v>
      </c>
      <c r="M74" s="33" t="inlineStr">
        <is>
          <t>mww</t>
        </is>
      </c>
      <c r="N74" s="33" t="n">
        <v>20</v>
      </c>
      <c r="O74" s="33" t="n">
        <v>52.6563</v>
      </c>
      <c r="P74" s="33" t="n">
        <v>-167.917</v>
      </c>
      <c r="Q74" s="33" t="inlineStr">
        <is>
          <t>Nikolski, Alaska</t>
        </is>
      </c>
      <c r="T74" s="36">
        <f>DATE(MID(C74,7,4),MID(C74,4,2),MID(C74,1,2))+TIME(MID(C74,12,2),MID(C74,15,2),0)</f>
        <v/>
      </c>
      <c r="U74" s="33">
        <f>IF(ISNUMBER(VALUE(MID(A74,7,1))),"Distance-prefix pattern","Named-region pattern")</f>
        <v/>
      </c>
      <c r="V74" s="33">
        <f>LOWER(M74)</f>
        <v/>
      </c>
      <c r="W74" s="33">
        <f>IF(COUNTIFS($A$2:$A$1001,A74,$C$2:$C$1001,C74)&gt;1,"Duplicate","Unique")</f>
        <v/>
      </c>
      <c r="X74" s="33">
        <f>YEAR(T74)</f>
        <v/>
      </c>
      <c r="Y74" s="33">
        <f>IF(B74&lt;6.5,"&lt;6.5",IF(B74&lt;7,"6.5–6.9",IF(B74&lt;7.5,"7.0–7.4",IF(B74&lt;8,"7.5–7.9","8.0+"))))</f>
        <v/>
      </c>
      <c r="Z74" s="33">
        <f>IF(F74="","Blank",F74)</f>
        <v/>
      </c>
    </row>
    <row r="75" ht="15" customHeight="1" s="34">
      <c r="A75" s="33" t="inlineStr">
        <is>
          <t>M 6.6 - 48 km WNW of Pólis, Cyprus</t>
        </is>
      </c>
      <c r="B75" s="33" t="n">
        <v>6.6</v>
      </c>
      <c r="C75" s="33" t="inlineStr">
        <is>
          <t>11/01/2022 01:07</t>
        </is>
      </c>
      <c r="D75" s="33" t="n">
        <v>6</v>
      </c>
      <c r="E75" s="33" t="n">
        <v>6</v>
      </c>
      <c r="F75" s="33" t="inlineStr">
        <is>
          <t>green</t>
        </is>
      </c>
      <c r="G75" s="33" t="n">
        <v>0</v>
      </c>
      <c r="H75" s="33" t="n">
        <v>976</v>
      </c>
      <c r="I75" s="33" t="inlineStr">
        <is>
          <t>us</t>
        </is>
      </c>
      <c r="J75" s="33" t="n">
        <v>0</v>
      </c>
      <c r="K75" s="33" t="n">
        <v>1.168</v>
      </c>
      <c r="L75" s="33" t="n">
        <v>21</v>
      </c>
      <c r="M75" s="33" t="inlineStr">
        <is>
          <t>mww</t>
        </is>
      </c>
      <c r="N75" s="33" t="n">
        <v>21</v>
      </c>
      <c r="O75" s="33" t="n">
        <v>35.1456</v>
      </c>
      <c r="P75" s="33" t="n">
        <v>31.9095</v>
      </c>
      <c r="Q75" s="33" t="inlineStr">
        <is>
          <t>Pólis, Cyprus</t>
        </is>
      </c>
      <c r="R75" s="33" t="inlineStr">
        <is>
          <t>Asia</t>
        </is>
      </c>
      <c r="T75" s="36">
        <f>DATE(MID(C75,7,4),MID(C75,4,2),MID(C75,1,2))+TIME(MID(C75,12,2),MID(C75,15,2),0)</f>
        <v/>
      </c>
      <c r="U75" s="33">
        <f>IF(ISNUMBER(VALUE(MID(A75,7,1))),"Distance-prefix pattern","Named-region pattern")</f>
        <v/>
      </c>
      <c r="V75" s="33">
        <f>LOWER(M75)</f>
        <v/>
      </c>
      <c r="W75" s="33">
        <f>IF(COUNTIFS($A$2:$A$1001,A75,$C$2:$C$1001,C75)&gt;1,"Duplicate","Unique")</f>
        <v/>
      </c>
      <c r="X75" s="33">
        <f>YEAR(T75)</f>
        <v/>
      </c>
      <c r="Y75" s="33">
        <f>IF(B75&lt;6.5,"&lt;6.5",IF(B75&lt;7,"6.5–6.9",IF(B75&lt;7.5,"7.0–7.4",IF(B75&lt;8,"7.5–7.9","8.0+"))))</f>
        <v/>
      </c>
      <c r="Z75" s="33">
        <f>IF(F75="","Blank",F75)</f>
        <v/>
      </c>
    </row>
    <row r="76" ht="15" customHeight="1" s="34">
      <c r="A76" s="33" t="inlineStr">
        <is>
          <t>M 6.6 - northern Qinghai, China</t>
        </is>
      </c>
      <c r="B76" s="33" t="n">
        <v>6.6</v>
      </c>
      <c r="C76" s="33" t="inlineStr">
        <is>
          <t>07/01/2022 17:45</t>
        </is>
      </c>
      <c r="D76" s="33" t="n">
        <v>9</v>
      </c>
      <c r="E76" s="33" t="n">
        <v>8</v>
      </c>
      <c r="F76" s="33" t="inlineStr">
        <is>
          <t>orange</t>
        </is>
      </c>
      <c r="G76" s="33" t="n">
        <v>0</v>
      </c>
      <c r="H76" s="33" t="n">
        <v>1012</v>
      </c>
      <c r="I76" s="33" t="inlineStr">
        <is>
          <t>us</t>
        </is>
      </c>
      <c r="J76" s="33" t="n">
        <v>0</v>
      </c>
      <c r="K76" s="33" t="n">
        <v>2.685</v>
      </c>
      <c r="L76" s="33" t="n">
        <v>13</v>
      </c>
      <c r="M76" s="33" t="inlineStr">
        <is>
          <t>mww</t>
        </is>
      </c>
      <c r="N76" s="33" t="n">
        <v>13</v>
      </c>
      <c r="O76" s="33" t="n">
        <v>37.8167</v>
      </c>
      <c r="P76" s="33" t="n">
        <v>101.299</v>
      </c>
      <c r="Q76" s="33" t="inlineStr">
        <is>
          <t>northern Qinghai, China</t>
        </is>
      </c>
      <c r="R76" s="33" t="inlineStr">
        <is>
          <t>Asia</t>
        </is>
      </c>
      <c r="S76" s="33" t="inlineStr">
        <is>
          <t>People's Republic of China</t>
        </is>
      </c>
      <c r="T76" s="36">
        <f>DATE(MID(C76,7,4),MID(C76,4,2),MID(C76,1,2))+TIME(MID(C76,12,2),MID(C76,15,2),0)</f>
        <v/>
      </c>
      <c r="U76" s="33">
        <f>IF(ISNUMBER(VALUE(MID(A76,7,1))),"Distance-prefix pattern","Named-region pattern")</f>
        <v/>
      </c>
      <c r="V76" s="33">
        <f>LOWER(M76)</f>
        <v/>
      </c>
      <c r="W76" s="33">
        <f>IF(COUNTIFS($A$2:$A$1001,A76,$C$2:$C$1001,C76)&gt;1,"Duplicate","Unique")</f>
        <v/>
      </c>
      <c r="X76" s="33">
        <f>YEAR(T76)</f>
        <v/>
      </c>
      <c r="Y76" s="33">
        <f>IF(B76&lt;6.5,"&lt;6.5",IF(B76&lt;7,"6.5–6.9",IF(B76&lt;7.5,"7.0–7.4",IF(B76&lt;8,"7.5–7.9","8.0+"))))</f>
        <v/>
      </c>
      <c r="Z76" s="33">
        <f>IF(F76="","Blank",F76)</f>
        <v/>
      </c>
    </row>
    <row r="77" ht="15" customHeight="1" s="34">
      <c r="A77" s="33" t="inlineStr">
        <is>
          <t>M 7.3 - 125 km NNE of Lospalos, Timor Leste</t>
        </is>
      </c>
      <c r="B77" s="33" t="n">
        <v>7.3</v>
      </c>
      <c r="C77" s="33" t="inlineStr">
        <is>
          <t>29/12/2021 18:25</t>
        </is>
      </c>
      <c r="D77" s="33" t="n">
        <v>8</v>
      </c>
      <c r="E77" s="33" t="n">
        <v>7</v>
      </c>
      <c r="F77" s="33" t="inlineStr">
        <is>
          <t>green</t>
        </is>
      </c>
      <c r="G77" s="33" t="n">
        <v>0</v>
      </c>
      <c r="H77" s="33" t="n">
        <v>921</v>
      </c>
      <c r="I77" s="33" t="inlineStr">
        <is>
          <t>us</t>
        </is>
      </c>
      <c r="J77" s="33" t="n">
        <v>0</v>
      </c>
      <c r="K77" s="33" t="n">
        <v>3.713</v>
      </c>
      <c r="L77" s="33" t="n">
        <v>19</v>
      </c>
      <c r="M77" s="33" t="inlineStr">
        <is>
          <t>mww</t>
        </is>
      </c>
      <c r="N77" s="33" t="n">
        <v>165.49</v>
      </c>
      <c r="O77" s="33" t="n">
        <v>-7.5924</v>
      </c>
      <c r="P77" s="33" t="n">
        <v>127.581</v>
      </c>
      <c r="Q77" s="33" t="inlineStr">
        <is>
          <t>Lospalos, Timor Leste</t>
        </is>
      </c>
      <c r="S77" s="33" t="inlineStr">
        <is>
          <t>Indonesia</t>
        </is>
      </c>
      <c r="T77" s="36">
        <f>DATE(MID(C77,7,4),MID(C77,4,2),MID(C77,1,2))+TIME(MID(C77,12,2),MID(C77,15,2),0)</f>
        <v/>
      </c>
      <c r="U77" s="33">
        <f>IF(ISNUMBER(VALUE(MID(A77,7,1))),"Distance-prefix pattern","Named-region pattern")</f>
        <v/>
      </c>
      <c r="V77" s="33">
        <f>LOWER(M77)</f>
        <v/>
      </c>
      <c r="W77" s="33">
        <f>IF(COUNTIFS($A$2:$A$1001,A77,$C$2:$C$1001,C77)&gt;1,"Duplicate","Unique")</f>
        <v/>
      </c>
      <c r="X77" s="33">
        <f>YEAR(T77)</f>
        <v/>
      </c>
      <c r="Y77" s="33">
        <f>IF(B77&lt;6.5,"&lt;6.5",IF(B77&lt;7,"6.5–6.9",IF(B77&lt;7.5,"7.0–7.4",IF(B77&lt;8,"7.5–7.9","8.0+"))))</f>
        <v/>
      </c>
      <c r="Z77" s="33">
        <f>IF(F77="","Blank",F77)</f>
        <v/>
      </c>
    </row>
    <row r="78" ht="15" customHeight="1" s="34">
      <c r="A78" s="33" t="inlineStr">
        <is>
          <t>M 7.3 - Flores Sea</t>
        </is>
      </c>
      <c r="B78" s="33" t="n">
        <v>7.3</v>
      </c>
      <c r="C78" s="33" t="inlineStr">
        <is>
          <t>14/12/2021 03:20</t>
        </is>
      </c>
      <c r="D78" s="33" t="n">
        <v>9</v>
      </c>
      <c r="E78" s="33" t="n">
        <v>5</v>
      </c>
      <c r="F78" s="33" t="inlineStr">
        <is>
          <t>green</t>
        </is>
      </c>
      <c r="G78" s="33" t="n">
        <v>1</v>
      </c>
      <c r="H78" s="33" t="n">
        <v>854</v>
      </c>
      <c r="I78" s="33" t="inlineStr">
        <is>
          <t>us</t>
        </is>
      </c>
      <c r="J78" s="33" t="n">
        <v>0</v>
      </c>
      <c r="K78" s="33" t="n">
        <v>1.025</v>
      </c>
      <c r="L78" s="33" t="n">
        <v>32</v>
      </c>
      <c r="M78" s="33" t="inlineStr">
        <is>
          <t>mww</t>
        </is>
      </c>
      <c r="N78" s="33" t="n">
        <v>14.27</v>
      </c>
      <c r="O78" s="33" t="n">
        <v>-7.6033</v>
      </c>
      <c r="P78" s="33" t="n">
        <v>122.2</v>
      </c>
      <c r="Q78" s="33" t="inlineStr">
        <is>
          <t>Flores Sea</t>
        </is>
      </c>
      <c r="R78" s="33" t="inlineStr">
        <is>
          <t>Asia</t>
        </is>
      </c>
      <c r="S78" s="33" t="inlineStr">
        <is>
          <t>Indonesia</t>
        </is>
      </c>
      <c r="T78" s="36">
        <f>DATE(MID(C78,7,4),MID(C78,4,2),MID(C78,1,2))+TIME(MID(C78,12,2),MID(C78,15,2),0)</f>
        <v/>
      </c>
      <c r="U78" s="33">
        <f>IF(ISNUMBER(VALUE(MID(A78,7,1))),"Distance-prefix pattern","Named-region pattern")</f>
        <v/>
      </c>
      <c r="V78" s="33">
        <f>LOWER(M78)</f>
        <v/>
      </c>
      <c r="W78" s="33">
        <f>IF(COUNTIFS($A$2:$A$1001,A78,$C$2:$C$1001,C78)&gt;1,"Duplicate","Unique")</f>
        <v/>
      </c>
      <c r="X78" s="33">
        <f>YEAR(T78)</f>
        <v/>
      </c>
      <c r="Y78" s="33">
        <f>IF(B78&lt;6.5,"&lt;6.5",IF(B78&lt;7,"6.5–6.9",IF(B78&lt;7.5,"7.0–7.4",IF(B78&lt;8,"7.5–7.9","8.0+"))))</f>
        <v/>
      </c>
      <c r="Z78" s="33">
        <f>IF(F78="","Blank",F78)</f>
        <v/>
      </c>
    </row>
    <row r="79" ht="15" customHeight="1" s="34">
      <c r="A79" s="33" t="inlineStr">
        <is>
          <t>M 7.5 - 43 km NNW of Barranca, Peru</t>
        </is>
      </c>
      <c r="B79" s="33" t="n">
        <v>7.5</v>
      </c>
      <c r="C79" s="33" t="inlineStr">
        <is>
          <t>28/11/2021 10:52</t>
        </is>
      </c>
      <c r="D79" s="33" t="n">
        <v>8</v>
      </c>
      <c r="E79" s="33" t="n">
        <v>8</v>
      </c>
      <c r="F79" s="33" t="inlineStr">
        <is>
          <t>yellow</t>
        </is>
      </c>
      <c r="G79" s="33" t="n">
        <v>1</v>
      </c>
      <c r="H79" s="33" t="n">
        <v>1094</v>
      </c>
      <c r="I79" s="33" t="inlineStr">
        <is>
          <t>us</t>
        </is>
      </c>
      <c r="J79" s="33" t="n">
        <v>0</v>
      </c>
      <c r="K79" s="33" t="n">
        <v>4.951</v>
      </c>
      <c r="L79" s="33" t="n">
        <v>40</v>
      </c>
      <c r="M79" s="33" t="inlineStr">
        <is>
          <t>mww</t>
        </is>
      </c>
      <c r="N79" s="33" t="n">
        <v>126</v>
      </c>
      <c r="O79" s="33" t="n">
        <v>-4.4898</v>
      </c>
      <c r="P79" s="33" t="n">
        <v>-76.84610000000001</v>
      </c>
      <c r="Q79" s="33" t="inlineStr">
        <is>
          <t>Barranca, Peru</t>
        </is>
      </c>
      <c r="R79" s="33" t="inlineStr">
        <is>
          <t>South America</t>
        </is>
      </c>
      <c r="S79" s="33" t="inlineStr">
        <is>
          <t>Peru</t>
        </is>
      </c>
      <c r="T79" s="36">
        <f>DATE(MID(C79,7,4),MID(C79,4,2),MID(C79,1,2))+TIME(MID(C79,12,2),MID(C79,15,2),0)</f>
        <v/>
      </c>
      <c r="U79" s="33">
        <f>IF(ISNUMBER(VALUE(MID(A79,7,1))),"Distance-prefix pattern","Named-region pattern")</f>
        <v/>
      </c>
      <c r="V79" s="33">
        <f>LOWER(M79)</f>
        <v/>
      </c>
      <c r="W79" s="33">
        <f>IF(COUNTIFS($A$2:$A$1001,A79,$C$2:$C$1001,C79)&gt;1,"Duplicate","Unique")</f>
        <v/>
      </c>
      <c r="X79" s="33">
        <f>YEAR(T79)</f>
        <v/>
      </c>
      <c r="Y79" s="33">
        <f>IF(B79&lt;6.5,"&lt;6.5",IF(B79&lt;7,"6.5–6.9",IF(B79&lt;7.5,"7.0–7.4",IF(B79&lt;8,"7.5–7.9","8.0+"))))</f>
        <v/>
      </c>
      <c r="Z79" s="33">
        <f>IF(F79="","Blank",F79)</f>
        <v/>
      </c>
    </row>
    <row r="80" ht="15" customHeight="1" s="34">
      <c r="A80" s="33" t="inlineStr">
        <is>
          <t>M 6.6 - 177 km SE of Hirara, Japan</t>
        </is>
      </c>
      <c r="B80" s="33" t="n">
        <v>6.6</v>
      </c>
      <c r="C80" s="33" t="inlineStr">
        <is>
          <t>10/11/2021 15:45</t>
        </is>
      </c>
      <c r="D80" s="33" t="n">
        <v>7</v>
      </c>
      <c r="E80" s="33" t="n">
        <v>4</v>
      </c>
      <c r="F80" s="33" t="inlineStr">
        <is>
          <t>green</t>
        </is>
      </c>
      <c r="G80" s="33" t="n">
        <v>1</v>
      </c>
      <c r="H80" s="33" t="n">
        <v>688</v>
      </c>
      <c r="I80" s="33" t="inlineStr">
        <is>
          <t>us</t>
        </is>
      </c>
      <c r="J80" s="33" t="n">
        <v>0</v>
      </c>
      <c r="K80" s="33" t="n">
        <v>3.259</v>
      </c>
      <c r="L80" s="33" t="n">
        <v>15</v>
      </c>
      <c r="M80" s="33" t="inlineStr">
        <is>
          <t>mww</t>
        </is>
      </c>
      <c r="N80" s="33" t="n">
        <v>12</v>
      </c>
      <c r="O80" s="33" t="n">
        <v>23.5414</v>
      </c>
      <c r="P80" s="33" t="n">
        <v>126.48</v>
      </c>
      <c r="Q80" s="33" t="inlineStr">
        <is>
          <t>Hirara, Japan</t>
        </is>
      </c>
      <c r="T80" s="36">
        <f>DATE(MID(C80,7,4),MID(C80,4,2),MID(C80,1,2))+TIME(MID(C80,12,2),MID(C80,15,2),0)</f>
        <v/>
      </c>
      <c r="U80" s="33">
        <f>IF(ISNUMBER(VALUE(MID(A80,7,1))),"Distance-prefix pattern","Named-region pattern")</f>
        <v/>
      </c>
      <c r="V80" s="33">
        <f>LOWER(M80)</f>
        <v/>
      </c>
      <c r="W80" s="33">
        <f>IF(COUNTIFS($A$2:$A$1001,A80,$C$2:$C$1001,C80)&gt;1,"Duplicate","Unique")</f>
        <v/>
      </c>
      <c r="X80" s="33">
        <f>YEAR(T80)</f>
        <v/>
      </c>
      <c r="Y80" s="33">
        <f>IF(B80&lt;6.5,"&lt;6.5",IF(B80&lt;7,"6.5–6.9",IF(B80&lt;7.5,"7.0–7.4",IF(B80&lt;8,"7.5–7.9","8.0+"))))</f>
        <v/>
      </c>
      <c r="Z80" s="33">
        <f>IF(F80="","Blank",F80)</f>
        <v/>
      </c>
    </row>
    <row r="81" ht="15" customHeight="1" s="34">
      <c r="A81" s="33" t="inlineStr">
        <is>
          <t>M 6.9 - 112 km E of Chignik, Alaska</t>
        </is>
      </c>
      <c r="B81" s="33" t="n">
        <v>6.9</v>
      </c>
      <c r="C81" s="33" t="inlineStr">
        <is>
          <t>11/10/2021 09:10</t>
        </is>
      </c>
      <c r="D81" s="33" t="n">
        <v>8</v>
      </c>
      <c r="E81" s="33" t="n">
        <v>6</v>
      </c>
      <c r="F81" s="33" t="inlineStr">
        <is>
          <t>green</t>
        </is>
      </c>
      <c r="G81" s="33" t="n">
        <v>1</v>
      </c>
      <c r="H81" s="33" t="n">
        <v>995</v>
      </c>
      <c r="I81" s="33" t="inlineStr">
        <is>
          <t>ak</t>
        </is>
      </c>
      <c r="J81" s="33" t="n">
        <v>0</v>
      </c>
      <c r="K81" s="33" t="n">
        <v>0</v>
      </c>
      <c r="L81" s="33" t="n">
        <v>0</v>
      </c>
      <c r="M81" s="33" t="inlineStr">
        <is>
          <t>mww</t>
        </is>
      </c>
      <c r="N81" s="33" t="n">
        <v>51.6</v>
      </c>
      <c r="O81" s="33" t="n">
        <v>56.2581</v>
      </c>
      <c r="P81" s="33" t="n">
        <v>-156.492</v>
      </c>
      <c r="Q81" s="33" t="inlineStr">
        <is>
          <t>Chignik, Alaska</t>
        </is>
      </c>
      <c r="R81" s="33" t="inlineStr">
        <is>
          <t>North America</t>
        </is>
      </c>
      <c r="S81" s="33" t="inlineStr">
        <is>
          <t>United States of America</t>
        </is>
      </c>
      <c r="T81" s="36">
        <f>DATE(MID(C81,7,4),MID(C81,4,2),MID(C81,1,2))+TIME(MID(C81,12,2),MID(C81,15,2),0)</f>
        <v/>
      </c>
      <c r="U81" s="33">
        <f>IF(ISNUMBER(VALUE(MID(A81,7,1))),"Distance-prefix pattern","Named-region pattern")</f>
        <v/>
      </c>
      <c r="V81" s="33">
        <f>LOWER(M81)</f>
        <v/>
      </c>
      <c r="W81" s="33">
        <f>IF(COUNTIFS($A$2:$A$1001,A81,$C$2:$C$1001,C81)&gt;1,"Duplicate","Unique")</f>
        <v/>
      </c>
      <c r="X81" s="33">
        <f>YEAR(T81)</f>
        <v/>
      </c>
      <c r="Y81" s="33">
        <f>IF(B81&lt;6.5,"&lt;6.5",IF(B81&lt;7,"6.5–6.9",IF(B81&lt;7.5,"7.0–7.4",IF(B81&lt;8,"7.5–7.9","8.0+"))))</f>
        <v/>
      </c>
      <c r="Z81" s="33">
        <f>IF(F81="","Blank",F81)</f>
        <v/>
      </c>
    </row>
    <row r="82" ht="15" customHeight="1" s="34">
      <c r="A82" s="33" t="inlineStr">
        <is>
          <t>M 6.9 - Vanuatu region</t>
        </is>
      </c>
      <c r="B82" s="33" t="n">
        <v>6.9</v>
      </c>
      <c r="C82" s="33" t="inlineStr">
        <is>
          <t>09/10/2021 10:58</t>
        </is>
      </c>
      <c r="D82" s="33" t="n">
        <v>4</v>
      </c>
      <c r="E82" s="33" t="n">
        <v>3</v>
      </c>
      <c r="F82" s="33" t="inlineStr">
        <is>
          <t>green</t>
        </is>
      </c>
      <c r="G82" s="33" t="n">
        <v>1</v>
      </c>
      <c r="H82" s="33" t="n">
        <v>740</v>
      </c>
      <c r="I82" s="33" t="inlineStr">
        <is>
          <t>us</t>
        </is>
      </c>
      <c r="J82" s="33" t="n">
        <v>0</v>
      </c>
      <c r="K82" s="33" t="n">
        <v>4.778</v>
      </c>
      <c r="L82" s="33" t="n">
        <v>31</v>
      </c>
      <c r="M82" s="33" t="inlineStr">
        <is>
          <t>mww</t>
        </is>
      </c>
      <c r="N82" s="33" t="n">
        <v>535</v>
      </c>
      <c r="O82" s="33" t="n">
        <v>-21.1704</v>
      </c>
      <c r="P82" s="33" t="n">
        <v>174.54</v>
      </c>
      <c r="Q82" s="33" t="inlineStr">
        <is>
          <t>Vanuatu region</t>
        </is>
      </c>
      <c r="T82" s="36">
        <f>DATE(MID(C82,7,4),MID(C82,4,2),MID(C82,1,2))+TIME(MID(C82,12,2),MID(C82,15,2),0)</f>
        <v/>
      </c>
      <c r="U82" s="33">
        <f>IF(ISNUMBER(VALUE(MID(A82,7,1))),"Distance-prefix pattern","Named-region pattern")</f>
        <v/>
      </c>
      <c r="V82" s="33">
        <f>LOWER(M82)</f>
        <v/>
      </c>
      <c r="W82" s="33">
        <f>IF(COUNTIFS($A$2:$A$1001,A82,$C$2:$C$1001,C82)&gt;1,"Duplicate","Unique")</f>
        <v/>
      </c>
      <c r="X82" s="33">
        <f>YEAR(T82)</f>
        <v/>
      </c>
      <c r="Y82" s="33">
        <f>IF(B82&lt;6.5,"&lt;6.5",IF(B82&lt;7,"6.5–6.9",IF(B82&lt;7.5,"7.0–7.4",IF(B82&lt;8,"7.5–7.9","8.0+"))))</f>
        <v/>
      </c>
      <c r="Z82" s="33">
        <f>IF(F82="","Blank",F82)</f>
        <v/>
      </c>
    </row>
    <row r="83" ht="15" customHeight="1" s="34">
      <c r="A83" s="33" t="inlineStr">
        <is>
          <t>M 7.3 - Vanuatu region</t>
        </is>
      </c>
      <c r="B83" s="33" t="n">
        <v>7.3</v>
      </c>
      <c r="C83" s="33" t="inlineStr">
        <is>
          <t>02/10/2021 06:29</t>
        </is>
      </c>
      <c r="D83" s="33" t="n">
        <v>4</v>
      </c>
      <c r="E83" s="33" t="n">
        <v>4</v>
      </c>
      <c r="F83" s="33" t="inlineStr">
        <is>
          <t>green</t>
        </is>
      </c>
      <c r="G83" s="33" t="n">
        <v>1</v>
      </c>
      <c r="H83" s="33" t="n">
        <v>826</v>
      </c>
      <c r="I83" s="33" t="inlineStr">
        <is>
          <t>us</t>
        </is>
      </c>
      <c r="J83" s="33" t="n">
        <v>0</v>
      </c>
      <c r="K83" s="33" t="n">
        <v>4.493</v>
      </c>
      <c r="L83" s="33" t="n">
        <v>32</v>
      </c>
      <c r="M83" s="33" t="inlineStr">
        <is>
          <t>mww</t>
        </is>
      </c>
      <c r="N83" s="33" t="n">
        <v>527</v>
      </c>
      <c r="O83" s="33" t="n">
        <v>-21.1036</v>
      </c>
      <c r="P83" s="33" t="n">
        <v>174.895</v>
      </c>
      <c r="Q83" s="33" t="inlineStr">
        <is>
          <t>Vanuatu region</t>
        </is>
      </c>
      <c r="T83" s="36">
        <f>DATE(MID(C83,7,4),MID(C83,4,2),MID(C83,1,2))+TIME(MID(C83,12,2),MID(C83,15,2),0)</f>
        <v/>
      </c>
      <c r="U83" s="33">
        <f>IF(ISNUMBER(VALUE(MID(A83,7,1))),"Distance-prefix pattern","Named-region pattern")</f>
        <v/>
      </c>
      <c r="V83" s="33">
        <f>LOWER(M83)</f>
        <v/>
      </c>
      <c r="W83" s="33">
        <f>IF(COUNTIFS($A$2:$A$1001,A83,$C$2:$C$1001,C83)&gt;1,"Duplicate","Unique")</f>
        <v/>
      </c>
      <c r="X83" s="33">
        <f>YEAR(T83)</f>
        <v/>
      </c>
      <c r="Y83" s="33">
        <f>IF(B83&lt;6.5,"&lt;6.5",IF(B83&lt;7,"6.5–6.9",IF(B83&lt;7.5,"7.0–7.4",IF(B83&lt;8,"7.5–7.9","8.0+"))))</f>
        <v/>
      </c>
      <c r="Z83" s="33">
        <f>IF(F83="","Blank",F83)</f>
        <v/>
      </c>
    </row>
    <row r="84" ht="15" customHeight="1" s="34">
      <c r="A84" s="33" t="inlineStr">
        <is>
          <t>M 6.5 - 80 km SW of Jiquilillo, Nicaragua</t>
        </is>
      </c>
      <c r="B84" s="33" t="n">
        <v>6.5</v>
      </c>
      <c r="C84" s="33" t="inlineStr">
        <is>
          <t>22/09/2021 09:57</t>
        </is>
      </c>
      <c r="D84" s="33" t="n">
        <v>7</v>
      </c>
      <c r="E84" s="33" t="n">
        <v>5</v>
      </c>
      <c r="F84" s="33" t="inlineStr">
        <is>
          <t>green</t>
        </is>
      </c>
      <c r="G84" s="33" t="n">
        <v>1</v>
      </c>
      <c r="H84" s="33" t="n">
        <v>684</v>
      </c>
      <c r="I84" s="33" t="inlineStr">
        <is>
          <t>us</t>
        </is>
      </c>
      <c r="J84" s="33" t="n">
        <v>0</v>
      </c>
      <c r="K84" s="33" t="n">
        <v>0.993</v>
      </c>
      <c r="L84" s="33" t="n">
        <v>114</v>
      </c>
      <c r="M84" s="33" t="inlineStr">
        <is>
          <t>mww</t>
        </is>
      </c>
      <c r="N84" s="33" t="n">
        <v>21</v>
      </c>
      <c r="O84" s="33" t="n">
        <v>12.1598</v>
      </c>
      <c r="P84" s="33" t="n">
        <v>-87.85420000000001</v>
      </c>
      <c r="Q84" s="33" t="inlineStr">
        <is>
          <t>Jiquilillo, Nicaragua</t>
        </is>
      </c>
      <c r="T84" s="36">
        <f>DATE(MID(C84,7,4),MID(C84,4,2),MID(C84,1,2))+TIME(MID(C84,12,2),MID(C84,15,2),0)</f>
        <v/>
      </c>
      <c r="U84" s="33">
        <f>IF(ISNUMBER(VALUE(MID(A84,7,1))),"Distance-prefix pattern","Named-region pattern")</f>
        <v/>
      </c>
      <c r="V84" s="33">
        <f>LOWER(M84)</f>
        <v/>
      </c>
      <c r="W84" s="33">
        <f>IF(COUNTIFS($A$2:$A$1001,A84,$C$2:$C$1001,C84)&gt;1,"Duplicate","Unique")</f>
        <v/>
      </c>
      <c r="X84" s="33">
        <f>YEAR(T84)</f>
        <v/>
      </c>
      <c r="Y84" s="33">
        <f>IF(B84&lt;6.5,"&lt;6.5",IF(B84&lt;7,"6.5–6.9",IF(B84&lt;7.5,"7.0–7.4",IF(B84&lt;8,"7.5–7.9","8.0+"))))</f>
        <v/>
      </c>
      <c r="Z84" s="33">
        <f>IF(F84="","Blank",F84)</f>
        <v/>
      </c>
    </row>
    <row r="85" ht="15" customHeight="1" s="34">
      <c r="A85" s="33" t="inlineStr">
        <is>
          <t>M 7.0 - Acapulco, Mexico</t>
        </is>
      </c>
      <c r="B85" s="33" t="n">
        <v>7</v>
      </c>
      <c r="C85" s="33" t="inlineStr">
        <is>
          <t>08/09/2021 01:47</t>
        </is>
      </c>
      <c r="D85" s="33" t="n">
        <v>8</v>
      </c>
      <c r="E85" s="33" t="n">
        <v>8</v>
      </c>
      <c r="F85" s="33" t="inlineStr">
        <is>
          <t>red</t>
        </is>
      </c>
      <c r="G85" s="33" t="n">
        <v>1</v>
      </c>
      <c r="H85" s="33" t="n">
        <v>2504</v>
      </c>
      <c r="I85" s="33" t="inlineStr">
        <is>
          <t>us</t>
        </is>
      </c>
      <c r="J85" s="33" t="n">
        <v>0</v>
      </c>
      <c r="K85" s="33" t="n">
        <v>0.07000000000000001</v>
      </c>
      <c r="L85" s="33" t="n">
        <v>43</v>
      </c>
      <c r="M85" s="33" t="inlineStr">
        <is>
          <t>mww</t>
        </is>
      </c>
      <c r="N85" s="33" t="n">
        <v>20</v>
      </c>
      <c r="O85" s="33" t="n">
        <v>16.9502</v>
      </c>
      <c r="P85" s="33" t="n">
        <v>-99.7877</v>
      </c>
      <c r="Q85" s="33" t="inlineStr">
        <is>
          <t>Acapulco, Mexico</t>
        </is>
      </c>
      <c r="R85" s="33" t="inlineStr">
        <is>
          <t>North America</t>
        </is>
      </c>
      <c r="S85" s="33" t="inlineStr">
        <is>
          <t>Mexico</t>
        </is>
      </c>
      <c r="T85" s="36">
        <f>DATE(MID(C85,7,4),MID(C85,4,2),MID(C85,1,2))+TIME(MID(C85,12,2),MID(C85,15,2),0)</f>
        <v/>
      </c>
      <c r="U85" s="33">
        <f>IF(ISNUMBER(VALUE(MID(A85,7,1))),"Distance-prefix pattern","Named-region pattern")</f>
        <v/>
      </c>
      <c r="V85" s="33">
        <f>LOWER(M85)</f>
        <v/>
      </c>
      <c r="W85" s="33">
        <f>IF(COUNTIFS($A$2:$A$1001,A85,$C$2:$C$1001,C85)&gt;1,"Duplicate","Unique")</f>
        <v/>
      </c>
      <c r="X85" s="33">
        <f>YEAR(T85)</f>
        <v/>
      </c>
      <c r="Y85" s="33">
        <f>IF(B85&lt;6.5,"&lt;6.5",IF(B85&lt;7,"6.5–6.9",IF(B85&lt;7.5,"7.0–7.4",IF(B85&lt;8,"7.5–7.9","8.0+"))))</f>
        <v/>
      </c>
      <c r="Z85" s="33">
        <f>IF(F85="","Blank",F85)</f>
        <v/>
      </c>
    </row>
    <row r="86" ht="15" customHeight="1" s="34">
      <c r="A86" s="33" t="inlineStr">
        <is>
          <t>M 7.1 - South Sandwich Islands region</t>
        </is>
      </c>
      <c r="B86" s="33" t="n">
        <v>7.1</v>
      </c>
      <c r="C86" s="33" t="inlineStr">
        <is>
          <t>22/08/2021 21:33</t>
        </is>
      </c>
      <c r="D86" s="33" t="n">
        <v>1</v>
      </c>
      <c r="E86" s="33" t="n">
        <v>4</v>
      </c>
      <c r="F86" s="33" t="inlineStr">
        <is>
          <t>green</t>
        </is>
      </c>
      <c r="G86" s="33" t="n">
        <v>1</v>
      </c>
      <c r="H86" s="33" t="n">
        <v>776</v>
      </c>
      <c r="I86" s="33" t="inlineStr">
        <is>
          <t>us</t>
        </is>
      </c>
      <c r="J86" s="33" t="n">
        <v>0</v>
      </c>
      <c r="K86" s="33" t="n">
        <v>9.798999999999999</v>
      </c>
      <c r="L86" s="33" t="n">
        <v>32</v>
      </c>
      <c r="M86" s="33" t="inlineStr">
        <is>
          <t>mww</t>
        </is>
      </c>
      <c r="N86" s="33" t="n">
        <v>6</v>
      </c>
      <c r="O86" s="33" t="n">
        <v>-60.3026</v>
      </c>
      <c r="P86" s="33" t="n">
        <v>-24.9992</v>
      </c>
      <c r="Q86" s="33" t="inlineStr">
        <is>
          <t>South Sandwich Islands region</t>
        </is>
      </c>
      <c r="S86" s="33" t="inlineStr">
        <is>
          <t>Antarctica</t>
        </is>
      </c>
      <c r="T86" s="36">
        <f>DATE(MID(C86,7,4),MID(C86,4,2),MID(C86,1,2))+TIME(MID(C86,12,2),MID(C86,15,2),0)</f>
        <v/>
      </c>
      <c r="U86" s="33">
        <f>IF(ISNUMBER(VALUE(MID(A86,7,1))),"Distance-prefix pattern","Named-region pattern")</f>
        <v/>
      </c>
      <c r="V86" s="33">
        <f>LOWER(M86)</f>
        <v/>
      </c>
      <c r="W86" s="33">
        <f>IF(COUNTIFS($A$2:$A$1001,A86,$C$2:$C$1001,C86)&gt;1,"Duplicate","Unique")</f>
        <v/>
      </c>
      <c r="X86" s="33">
        <f>YEAR(T86)</f>
        <v/>
      </c>
      <c r="Y86" s="33">
        <f>IF(B86&lt;6.5,"&lt;6.5",IF(B86&lt;7,"6.5–6.9",IF(B86&lt;7.5,"7.0–7.4",IF(B86&lt;8,"7.5–7.9","8.0+"))))</f>
        <v/>
      </c>
      <c r="Z86" s="33">
        <f>IF(F86="","Blank",F86)</f>
        <v/>
      </c>
    </row>
    <row r="87" ht="15" customHeight="1" s="34">
      <c r="A87" s="33" t="inlineStr">
        <is>
          <t>M 6.6 - South Sandwich Islands region</t>
        </is>
      </c>
      <c r="B87" s="33" t="n">
        <v>6.6</v>
      </c>
      <c r="C87" s="33" t="inlineStr">
        <is>
          <t>22/08/2021 00:45</t>
        </is>
      </c>
      <c r="D87" s="33" t="n">
        <v>1</v>
      </c>
      <c r="E87" s="33" t="n">
        <v>3</v>
      </c>
      <c r="F87" s="33" t="inlineStr">
        <is>
          <t>green</t>
        </is>
      </c>
      <c r="G87" s="33" t="n">
        <v>1</v>
      </c>
      <c r="H87" s="33" t="n">
        <v>670</v>
      </c>
      <c r="I87" s="33" t="inlineStr">
        <is>
          <t>us</t>
        </is>
      </c>
      <c r="J87" s="33" t="n">
        <v>0</v>
      </c>
      <c r="K87" s="33" t="n">
        <v>8.865</v>
      </c>
      <c r="L87" s="33" t="n">
        <v>19</v>
      </c>
      <c r="M87" s="33" t="inlineStr">
        <is>
          <t>mww</t>
        </is>
      </c>
      <c r="N87" s="33" t="n">
        <v>7</v>
      </c>
      <c r="O87" s="33" t="n">
        <v>-60.1023</v>
      </c>
      <c r="P87" s="33" t="n">
        <v>-24.4608</v>
      </c>
      <c r="Q87" s="33" t="inlineStr">
        <is>
          <t>South Sandwich Islands region</t>
        </is>
      </c>
      <c r="S87" s="33" t="inlineStr">
        <is>
          <t>Antarctica</t>
        </is>
      </c>
      <c r="T87" s="36">
        <f>DATE(MID(C87,7,4),MID(C87,4,2),MID(C87,1,2))+TIME(MID(C87,12,2),MID(C87,15,2),0)</f>
        <v/>
      </c>
      <c r="U87" s="33">
        <f>IF(ISNUMBER(VALUE(MID(A87,7,1))),"Distance-prefix pattern","Named-region pattern")</f>
        <v/>
      </c>
      <c r="V87" s="33">
        <f>LOWER(M87)</f>
        <v/>
      </c>
      <c r="W87" s="33">
        <f>IF(COUNTIFS($A$2:$A$1001,A87,$C$2:$C$1001,C87)&gt;1,"Duplicate","Unique")</f>
        <v/>
      </c>
      <c r="X87" s="33">
        <f>YEAR(T87)</f>
        <v/>
      </c>
      <c r="Y87" s="33">
        <f>IF(B87&lt;6.5,"&lt;6.5",IF(B87&lt;7,"6.5–6.9",IF(B87&lt;7.5,"7.0–7.4",IF(B87&lt;8,"7.5–7.9","8.0+"))))</f>
        <v/>
      </c>
      <c r="Z87" s="33">
        <f>IF(F87="","Blank",F87)</f>
        <v/>
      </c>
    </row>
    <row r="88" ht="15" customHeight="1" s="34">
      <c r="A88" s="33" t="inlineStr">
        <is>
          <t>M 6.9 - 17 km N of Port-Olry, Vanuatu</t>
        </is>
      </c>
      <c r="B88" s="33" t="n">
        <v>6.9</v>
      </c>
      <c r="C88" s="33" t="inlineStr">
        <is>
          <t>18/08/2021 10:10</t>
        </is>
      </c>
      <c r="D88" s="33" t="n">
        <v>8</v>
      </c>
      <c r="E88" s="33" t="n">
        <v>7</v>
      </c>
      <c r="F88" s="33" t="inlineStr">
        <is>
          <t>green</t>
        </is>
      </c>
      <c r="G88" s="33" t="n">
        <v>1</v>
      </c>
      <c r="H88" s="33" t="n">
        <v>741</v>
      </c>
      <c r="I88" s="33" t="inlineStr">
        <is>
          <t>us</t>
        </is>
      </c>
      <c r="J88" s="33" t="n">
        <v>0</v>
      </c>
      <c r="K88" s="33" t="n">
        <v>0.579</v>
      </c>
      <c r="L88" s="33" t="n">
        <v>54</v>
      </c>
      <c r="M88" s="33" t="inlineStr">
        <is>
          <t>mww</t>
        </is>
      </c>
      <c r="N88" s="33" t="n">
        <v>93</v>
      </c>
      <c r="O88" s="33" t="n">
        <v>-14.892</v>
      </c>
      <c r="P88" s="33" t="n">
        <v>167.085</v>
      </c>
      <c r="Q88" s="33" t="inlineStr">
        <is>
          <t>Port-Olry, Vanuatu</t>
        </is>
      </c>
      <c r="R88" s="33" t="inlineStr">
        <is>
          <t>Oceania</t>
        </is>
      </c>
      <c r="S88" s="33" t="inlineStr">
        <is>
          <t>Vanuatu</t>
        </is>
      </c>
      <c r="T88" s="36">
        <f>DATE(MID(C88,7,4),MID(C88,4,2),MID(C88,1,2))+TIME(MID(C88,12,2),MID(C88,15,2),0)</f>
        <v/>
      </c>
      <c r="U88" s="33">
        <f>IF(ISNUMBER(VALUE(MID(A88,7,1))),"Distance-prefix pattern","Named-region pattern")</f>
        <v/>
      </c>
      <c r="V88" s="33">
        <f>LOWER(M88)</f>
        <v/>
      </c>
      <c r="W88" s="33">
        <f>IF(COUNTIFS($A$2:$A$1001,A88,$C$2:$C$1001,C88)&gt;1,"Duplicate","Unique")</f>
        <v/>
      </c>
      <c r="X88" s="33">
        <f>YEAR(T88)</f>
        <v/>
      </c>
      <c r="Y88" s="33">
        <f>IF(B88&lt;6.5,"&lt;6.5",IF(B88&lt;7,"6.5–6.9",IF(B88&lt;7.5,"7.0–7.4",IF(B88&lt;8,"7.5–7.9","8.0+"))))</f>
        <v/>
      </c>
      <c r="Z88" s="33">
        <f>IF(F88="","Blank",F88)</f>
        <v/>
      </c>
    </row>
    <row r="89" ht="15" customHeight="1" s="34">
      <c r="A89" s="33" t="inlineStr">
        <is>
          <t>M 6.9 - South Sandwich Islands region</t>
        </is>
      </c>
      <c r="B89" s="33" t="n">
        <v>6.9</v>
      </c>
      <c r="C89" s="33" t="inlineStr">
        <is>
          <t>16/08/2021 11:10</t>
        </is>
      </c>
      <c r="D89" s="33" t="n">
        <v>6</v>
      </c>
      <c r="E89" s="33" t="n">
        <v>4</v>
      </c>
      <c r="F89" s="33" t="inlineStr">
        <is>
          <t>green</t>
        </is>
      </c>
      <c r="G89" s="33" t="n">
        <v>1</v>
      </c>
      <c r="H89" s="33" t="n">
        <v>734</v>
      </c>
      <c r="I89" s="33" t="inlineStr">
        <is>
          <t>us</t>
        </is>
      </c>
      <c r="J89" s="33" t="n">
        <v>0</v>
      </c>
      <c r="K89" s="33" t="n">
        <v>8.363</v>
      </c>
      <c r="L89" s="33" t="n">
        <v>48</v>
      </c>
      <c r="M89" s="33" t="inlineStr">
        <is>
          <t>mww</t>
        </is>
      </c>
      <c r="N89" s="33" t="n">
        <v>16.7</v>
      </c>
      <c r="O89" s="33" t="n">
        <v>-58.3814</v>
      </c>
      <c r="P89" s="33" t="n">
        <v>-23.3318</v>
      </c>
      <c r="Q89" s="33" t="inlineStr">
        <is>
          <t>South Sandwich Islands region</t>
        </is>
      </c>
      <c r="T89" s="36">
        <f>DATE(MID(C89,7,4),MID(C89,4,2),MID(C89,1,2))+TIME(MID(C89,12,2),MID(C89,15,2),0)</f>
        <v/>
      </c>
      <c r="U89" s="33">
        <f>IF(ISNUMBER(VALUE(MID(A89,7,1))),"Distance-prefix pattern","Named-region pattern")</f>
        <v/>
      </c>
      <c r="V89" s="33">
        <f>LOWER(M89)</f>
        <v/>
      </c>
      <c r="W89" s="33">
        <f>IF(COUNTIFS($A$2:$A$1001,A89,$C$2:$C$1001,C89)&gt;1,"Duplicate","Unique")</f>
        <v/>
      </c>
      <c r="X89" s="33">
        <f>YEAR(T89)</f>
        <v/>
      </c>
      <c r="Y89" s="33">
        <f>IF(B89&lt;6.5,"&lt;6.5",IF(B89&lt;7,"6.5–6.9",IF(B89&lt;7.5,"7.0–7.4",IF(B89&lt;8,"7.5–7.9","8.0+"))))</f>
        <v/>
      </c>
      <c r="Z89" s="33">
        <f>IF(F89="","Blank",F89)</f>
        <v/>
      </c>
    </row>
    <row r="90" ht="15" customHeight="1" s="34">
      <c r="A90" s="33" t="inlineStr">
        <is>
          <t>M 7.2 - Nippes, Haiti</t>
        </is>
      </c>
      <c r="B90" s="33" t="n">
        <v>7.2</v>
      </c>
      <c r="C90" s="33" t="inlineStr">
        <is>
          <t>14/08/2021 12:29</t>
        </is>
      </c>
      <c r="D90" s="33" t="n">
        <v>9</v>
      </c>
      <c r="E90" s="33" t="n">
        <v>8</v>
      </c>
      <c r="F90" s="33" t="inlineStr">
        <is>
          <t>red</t>
        </is>
      </c>
      <c r="G90" s="33" t="n">
        <v>1</v>
      </c>
      <c r="H90" s="33" t="n">
        <v>2331</v>
      </c>
      <c r="I90" s="33" t="inlineStr">
        <is>
          <t>us</t>
        </is>
      </c>
      <c r="J90" s="33" t="n">
        <v>0</v>
      </c>
      <c r="K90" s="33" t="n">
        <v>1.178</v>
      </c>
      <c r="L90" s="33" t="n">
        <v>23</v>
      </c>
      <c r="M90" s="33" t="inlineStr">
        <is>
          <t>mww</t>
        </is>
      </c>
      <c r="N90" s="33" t="n">
        <v>10</v>
      </c>
      <c r="O90" s="33" t="n">
        <v>18.3521</v>
      </c>
      <c r="P90" s="33" t="n">
        <v>-73.4804</v>
      </c>
      <c r="Q90" s="33" t="inlineStr">
        <is>
          <t>Nippes, Haiti</t>
        </is>
      </c>
      <c r="R90" s="33" t="inlineStr">
        <is>
          <t>North America</t>
        </is>
      </c>
      <c r="S90" s="33" t="inlineStr">
        <is>
          <t>Haiti</t>
        </is>
      </c>
      <c r="T90" s="36">
        <f>DATE(MID(C90,7,4),MID(C90,4,2),MID(C90,1,2))+TIME(MID(C90,12,2),MID(C90,15,2),0)</f>
        <v/>
      </c>
      <c r="U90" s="33">
        <f>IF(ISNUMBER(VALUE(MID(A90,7,1))),"Distance-prefix pattern","Named-region pattern")</f>
        <v/>
      </c>
      <c r="V90" s="33">
        <f>LOWER(M90)</f>
        <v/>
      </c>
      <c r="W90" s="33">
        <f>IF(COUNTIFS($A$2:$A$1001,A90,$C$2:$C$1001,C90)&gt;1,"Duplicate","Unique")</f>
        <v/>
      </c>
      <c r="X90" s="33">
        <f>YEAR(T90)</f>
        <v/>
      </c>
      <c r="Y90" s="33">
        <f>IF(B90&lt;6.5,"&lt;6.5",IF(B90&lt;7,"6.5–6.9",IF(B90&lt;7.5,"7.0–7.4",IF(B90&lt;8,"7.5–7.9","8.0+"))))</f>
        <v/>
      </c>
      <c r="Z90" s="33">
        <f>IF(F90="","Blank",F90)</f>
        <v/>
      </c>
    </row>
    <row r="91" ht="15" customHeight="1" s="34">
      <c r="A91" s="33" t="inlineStr">
        <is>
          <t>M 6.9 - 136 km SE of Perryville, Alaska</t>
        </is>
      </c>
      <c r="B91" s="33" t="n">
        <v>6.9</v>
      </c>
      <c r="C91" s="33" t="inlineStr">
        <is>
          <t>14/08/2021 11:57</t>
        </is>
      </c>
      <c r="D91" s="33" t="n">
        <v>5</v>
      </c>
      <c r="E91" s="33" t="n">
        <v>4</v>
      </c>
      <c r="F91" s="33" t="inlineStr">
        <is>
          <t>green</t>
        </is>
      </c>
      <c r="G91" s="33" t="n">
        <v>1</v>
      </c>
      <c r="H91" s="33" t="n">
        <v>738</v>
      </c>
      <c r="I91" s="33" t="inlineStr">
        <is>
          <t>ak</t>
        </is>
      </c>
      <c r="J91" s="33" t="n">
        <v>0</v>
      </c>
      <c r="K91" s="33" t="n">
        <v>0</v>
      </c>
      <c r="L91" s="33" t="n">
        <v>0</v>
      </c>
      <c r="M91" s="33" t="inlineStr">
        <is>
          <t>mww</t>
        </is>
      </c>
      <c r="N91" s="33" t="n">
        <v>33.3</v>
      </c>
      <c r="O91" s="33" t="n">
        <v>55.2364</v>
      </c>
      <c r="P91" s="33" t="n">
        <v>-157.707</v>
      </c>
      <c r="Q91" s="33" t="inlineStr">
        <is>
          <t>Perryville, Alaska</t>
        </is>
      </c>
      <c r="T91" s="36">
        <f>DATE(MID(C91,7,4),MID(C91,4,2),MID(C91,1,2))+TIME(MID(C91,12,2),MID(C91,15,2),0)</f>
        <v/>
      </c>
      <c r="U91" s="33">
        <f>IF(ISNUMBER(VALUE(MID(A91,7,1))),"Distance-prefix pattern","Named-region pattern")</f>
        <v/>
      </c>
      <c r="V91" s="33">
        <f>LOWER(M91)</f>
        <v/>
      </c>
      <c r="W91" s="33">
        <f>IF(COUNTIFS($A$2:$A$1001,A91,$C$2:$C$1001,C91)&gt;1,"Duplicate","Unique")</f>
        <v/>
      </c>
      <c r="X91" s="33">
        <f>YEAR(T91)</f>
        <v/>
      </c>
      <c r="Y91" s="33">
        <f>IF(B91&lt;6.5,"&lt;6.5",IF(B91&lt;7,"6.5–6.9",IF(B91&lt;7.5,"7.0–7.4",IF(B91&lt;8,"7.5–7.9","8.0+"))))</f>
        <v/>
      </c>
      <c r="Z91" s="33">
        <f>IF(F91="","Blank",F91)</f>
        <v/>
      </c>
    </row>
    <row r="92" ht="15" customHeight="1" s="34">
      <c r="A92" s="33" t="inlineStr">
        <is>
          <t>M 6.9 - 125 km SE of Perryville, Alaska</t>
        </is>
      </c>
      <c r="B92" s="33" t="n">
        <v>6.9</v>
      </c>
      <c r="C92" s="33" t="inlineStr">
        <is>
          <t>14/08/2021 11:57</t>
        </is>
      </c>
      <c r="D92" s="33" t="n">
        <v>5</v>
      </c>
      <c r="E92" s="33" t="n">
        <v>4</v>
      </c>
      <c r="F92" s="33" t="inlineStr">
        <is>
          <t>green</t>
        </is>
      </c>
      <c r="G92" s="33" t="n">
        <v>1</v>
      </c>
      <c r="H92" s="33" t="n">
        <v>738</v>
      </c>
      <c r="I92" s="33" t="inlineStr">
        <is>
          <t>us</t>
        </is>
      </c>
      <c r="J92" s="33" t="n">
        <v>0</v>
      </c>
      <c r="K92" s="33" t="n">
        <v>1.173</v>
      </c>
      <c r="L92" s="33" t="n">
        <v>36</v>
      </c>
      <c r="M92" s="33" t="inlineStr">
        <is>
          <t>mww</t>
        </is>
      </c>
      <c r="N92" s="33" t="n">
        <v>20.74</v>
      </c>
      <c r="O92" s="33" t="n">
        <v>55.2657</v>
      </c>
      <c r="P92" s="33" t="n">
        <v>-157.68</v>
      </c>
      <c r="Q92" s="33" t="inlineStr">
        <is>
          <t>Perryville, Alaska</t>
        </is>
      </c>
      <c r="T92" s="36">
        <f>DATE(MID(C92,7,4),MID(C92,4,2),MID(C92,1,2))+TIME(MID(C92,12,2),MID(C92,15,2),0)</f>
        <v/>
      </c>
      <c r="U92" s="33">
        <f>IF(ISNUMBER(VALUE(MID(A92,7,1))),"Distance-prefix pattern","Named-region pattern")</f>
        <v/>
      </c>
      <c r="V92" s="33">
        <f>LOWER(M92)</f>
        <v/>
      </c>
      <c r="W92" s="33">
        <f>IF(COUNTIFS($A$2:$A$1001,A92,$C$2:$C$1001,C92)&gt;1,"Duplicate","Unique")</f>
        <v/>
      </c>
      <c r="X92" s="33">
        <f>YEAR(T92)</f>
        <v/>
      </c>
      <c r="Y92" s="33">
        <f>IF(B92&lt;6.5,"&lt;6.5",IF(B92&lt;7,"6.5–6.9",IF(B92&lt;7.5,"7.0–7.4",IF(B92&lt;8,"7.5–7.9","8.0+"))))</f>
        <v/>
      </c>
      <c r="Z92" s="33">
        <f>IF(F92="","Blank",F92)</f>
        <v/>
      </c>
    </row>
    <row r="93" ht="15" customHeight="1" s="34">
      <c r="A93" s="33" t="inlineStr">
        <is>
          <t>M 8.1 - South Sandwich Islands region</t>
        </is>
      </c>
      <c r="B93" s="33" t="n">
        <v>8.1</v>
      </c>
      <c r="C93" s="33" t="inlineStr">
        <is>
          <t>12/08/2021 18:35</t>
        </is>
      </c>
      <c r="D93" s="33" t="n">
        <v>0</v>
      </c>
      <c r="E93" s="33" t="n">
        <v>7</v>
      </c>
      <c r="F93" s="33" t="inlineStr">
        <is>
          <t>green</t>
        </is>
      </c>
      <c r="G93" s="33" t="n">
        <v>0</v>
      </c>
      <c r="H93" s="33" t="n">
        <v>1009</v>
      </c>
      <c r="I93" s="33" t="inlineStr">
        <is>
          <t>us</t>
        </is>
      </c>
      <c r="J93" s="33" t="n">
        <v>0</v>
      </c>
      <c r="K93" s="33" t="n">
        <v>7.463</v>
      </c>
      <c r="L93" s="33" t="n">
        <v>78</v>
      </c>
      <c r="M93" s="33" t="inlineStr">
        <is>
          <t>mww</t>
        </is>
      </c>
      <c r="N93" s="33" t="n">
        <v>22.79</v>
      </c>
      <c r="O93" s="33" t="n">
        <v>-58.4157</v>
      </c>
      <c r="P93" s="33" t="n">
        <v>-25.3206</v>
      </c>
      <c r="Q93" s="33" t="inlineStr">
        <is>
          <t>South Sandwich Islands region</t>
        </is>
      </c>
      <c r="T93" s="36">
        <f>DATE(MID(C93,7,4),MID(C93,4,2),MID(C93,1,2))+TIME(MID(C93,12,2),MID(C93,15,2),0)</f>
        <v/>
      </c>
      <c r="U93" s="33">
        <f>IF(ISNUMBER(VALUE(MID(A93,7,1))),"Distance-prefix pattern","Named-region pattern")</f>
        <v/>
      </c>
      <c r="V93" s="33">
        <f>LOWER(M93)</f>
        <v/>
      </c>
      <c r="W93" s="33">
        <f>IF(COUNTIFS($A$2:$A$1001,A93,$C$2:$C$1001,C93)&gt;1,"Duplicate","Unique")</f>
        <v/>
      </c>
      <c r="X93" s="33">
        <f>YEAR(T93)</f>
        <v/>
      </c>
      <c r="Y93" s="33">
        <f>IF(B93&lt;6.5,"&lt;6.5",IF(B93&lt;7,"6.5–6.9",IF(B93&lt;7.5,"7.0–7.4",IF(B93&lt;8,"7.5–7.9","8.0+"))))</f>
        <v/>
      </c>
      <c r="Z93" s="33">
        <f>IF(F93="","Blank",F93)</f>
        <v/>
      </c>
    </row>
    <row r="94" ht="15" customHeight="1" s="34">
      <c r="A94" s="33" t="inlineStr">
        <is>
          <t>M 7.5 - South Sandwich Islands region</t>
        </is>
      </c>
      <c r="B94" s="33" t="n">
        <v>7.5</v>
      </c>
      <c r="C94" s="33" t="inlineStr">
        <is>
          <t>12/08/2021 18:32</t>
        </is>
      </c>
      <c r="D94" s="33" t="n">
        <v>9</v>
      </c>
      <c r="E94" s="33" t="n">
        <v>6</v>
      </c>
      <c r="F94" s="33" t="inlineStr">
        <is>
          <t>green</t>
        </is>
      </c>
      <c r="G94" s="33" t="n">
        <v>1</v>
      </c>
      <c r="H94" s="33" t="n">
        <v>868</v>
      </c>
      <c r="I94" s="33" t="inlineStr">
        <is>
          <t>us</t>
        </is>
      </c>
      <c r="J94" s="33" t="n">
        <v>0</v>
      </c>
      <c r="K94" s="33" t="n">
        <v>7.227</v>
      </c>
      <c r="L94" s="33" t="n">
        <v>38</v>
      </c>
      <c r="M94" s="33" t="inlineStr">
        <is>
          <t>mww</t>
        </is>
      </c>
      <c r="N94" s="33" t="n">
        <v>47.23</v>
      </c>
      <c r="O94" s="33" t="n">
        <v>-57.5959</v>
      </c>
      <c r="P94" s="33" t="n">
        <v>-25.1874</v>
      </c>
      <c r="Q94" s="33" t="inlineStr">
        <is>
          <t>South Sandwich Islands region</t>
        </is>
      </c>
      <c r="T94" s="36">
        <f>DATE(MID(C94,7,4),MID(C94,4,2),MID(C94,1,2))+TIME(MID(C94,12,2),MID(C94,15,2),0)</f>
        <v/>
      </c>
      <c r="U94" s="33">
        <f>IF(ISNUMBER(VALUE(MID(A94,7,1))),"Distance-prefix pattern","Named-region pattern")</f>
        <v/>
      </c>
      <c r="V94" s="33">
        <f>LOWER(M94)</f>
        <v/>
      </c>
      <c r="W94" s="33">
        <f>IF(COUNTIFS($A$2:$A$1001,A94,$C$2:$C$1001,C94)&gt;1,"Duplicate","Unique")</f>
        <v/>
      </c>
      <c r="X94" s="33">
        <f>YEAR(T94)</f>
        <v/>
      </c>
      <c r="Y94" s="33">
        <f>IF(B94&lt;6.5,"&lt;6.5",IF(B94&lt;7,"6.5–6.9",IF(B94&lt;7.5,"7.0–7.4",IF(B94&lt;8,"7.5–7.9","8.0+"))))</f>
        <v/>
      </c>
      <c r="Z94" s="33">
        <f>IF(F94="","Blank",F94)</f>
        <v/>
      </c>
    </row>
    <row r="95" ht="15" customHeight="1" s="34">
      <c r="A95" s="33" t="inlineStr">
        <is>
          <t>M 7.1 - 60 km ENE of Pondaguitan, Philippines</t>
        </is>
      </c>
      <c r="B95" s="33" t="n">
        <v>7.1</v>
      </c>
      <c r="C95" s="33" t="inlineStr">
        <is>
          <t>11/08/2021 17:46</t>
        </is>
      </c>
      <c r="D95" s="33" t="n">
        <v>9</v>
      </c>
      <c r="E95" s="33" t="n">
        <v>7</v>
      </c>
      <c r="F95" s="33" t="inlineStr">
        <is>
          <t>green</t>
        </is>
      </c>
      <c r="G95" s="33" t="n">
        <v>1</v>
      </c>
      <c r="H95" s="33" t="n">
        <v>846</v>
      </c>
      <c r="I95" s="33" t="inlineStr">
        <is>
          <t>us</t>
        </is>
      </c>
      <c r="J95" s="33" t="n">
        <v>0</v>
      </c>
      <c r="K95" s="33" t="n">
        <v>1.273</v>
      </c>
      <c r="L95" s="33" t="n">
        <v>25</v>
      </c>
      <c r="M95" s="33" t="inlineStr">
        <is>
          <t>mww</t>
        </is>
      </c>
      <c r="N95" s="33" t="n">
        <v>55.14</v>
      </c>
      <c r="O95" s="33" t="n">
        <v>6.4547</v>
      </c>
      <c r="P95" s="33" t="n">
        <v>126.742</v>
      </c>
      <c r="Q95" s="33" t="inlineStr">
        <is>
          <t>Pondaguitan, Philippines</t>
        </is>
      </c>
      <c r="T95" s="36">
        <f>DATE(MID(C95,7,4),MID(C95,4,2),MID(C95,1,2))+TIME(MID(C95,12,2),MID(C95,15,2),0)</f>
        <v/>
      </c>
      <c r="U95" s="33">
        <f>IF(ISNUMBER(VALUE(MID(A95,7,1))),"Distance-prefix pattern","Named-region pattern")</f>
        <v/>
      </c>
      <c r="V95" s="33">
        <f>LOWER(M95)</f>
        <v/>
      </c>
      <c r="W95" s="33">
        <f>IF(COUNTIFS($A$2:$A$1001,A95,$C$2:$C$1001,C95)&gt;1,"Duplicate","Unique")</f>
        <v/>
      </c>
      <c r="X95" s="33">
        <f>YEAR(T95)</f>
        <v/>
      </c>
      <c r="Y95" s="33">
        <f>IF(B95&lt;6.5,"&lt;6.5",IF(B95&lt;7,"6.5–6.9",IF(B95&lt;7.5,"7.0–7.4",IF(B95&lt;8,"7.5–7.9","8.0+"))))</f>
        <v/>
      </c>
      <c r="Z95" s="33">
        <f>IF(F95="","Blank",F95)</f>
        <v/>
      </c>
    </row>
    <row r="96" ht="15" customHeight="1" s="34">
      <c r="A96" s="33" t="inlineStr">
        <is>
          <t>M 8.2 - 91 km ESE of Perryville, Alaska</t>
        </is>
      </c>
      <c r="B96" s="33" t="n">
        <v>8.199999999999999</v>
      </c>
      <c r="C96" s="33" t="inlineStr">
        <is>
          <t>29/07/2021 06:15</t>
        </is>
      </c>
      <c r="D96" s="33" t="n">
        <v>8</v>
      </c>
      <c r="E96" s="33" t="n">
        <v>6</v>
      </c>
      <c r="F96" s="33" t="inlineStr">
        <is>
          <t>green</t>
        </is>
      </c>
      <c r="G96" s="33" t="n">
        <v>1</v>
      </c>
      <c r="H96" s="33" t="n">
        <v>1237</v>
      </c>
      <c r="I96" s="33" t="inlineStr">
        <is>
          <t>us</t>
        </is>
      </c>
      <c r="J96" s="33" t="n">
        <v>0</v>
      </c>
      <c r="K96" s="33" t="n">
        <v>0.875</v>
      </c>
      <c r="L96" s="33" t="n">
        <v>66</v>
      </c>
      <c r="M96" s="33" t="inlineStr">
        <is>
          <t>mww</t>
        </is>
      </c>
      <c r="N96" s="33" t="n">
        <v>46.66</v>
      </c>
      <c r="O96" s="33" t="n">
        <v>55.4742</v>
      </c>
      <c r="P96" s="33" t="n">
        <v>-157.917</v>
      </c>
      <c r="Q96" s="33" t="inlineStr">
        <is>
          <t>Perryville, Alaska</t>
        </is>
      </c>
      <c r="T96" s="36">
        <f>DATE(MID(C96,7,4),MID(C96,4,2),MID(C96,1,2))+TIME(MID(C96,12,2),MID(C96,15,2),0)</f>
        <v/>
      </c>
      <c r="U96" s="33">
        <f>IF(ISNUMBER(VALUE(MID(A96,7,1))),"Distance-prefix pattern","Named-region pattern")</f>
        <v/>
      </c>
      <c r="V96" s="33">
        <f>LOWER(M96)</f>
        <v/>
      </c>
      <c r="W96" s="33">
        <f>IF(COUNTIFS($A$2:$A$1001,A96,$C$2:$C$1001,C96)&gt;1,"Duplicate","Unique")</f>
        <v/>
      </c>
      <c r="X96" s="33">
        <f>YEAR(T96)</f>
        <v/>
      </c>
      <c r="Y96" s="33">
        <f>IF(B96&lt;6.5,"&lt;6.5",IF(B96&lt;7,"6.5–6.9",IF(B96&lt;7.5,"7.0–7.4",IF(B96&lt;8,"7.5–7.9","8.0+"))))</f>
        <v/>
      </c>
      <c r="Z96" s="33">
        <f>IF(F96="","Blank",F96)</f>
        <v/>
      </c>
    </row>
    <row r="97" ht="15" customHeight="1" s="34">
      <c r="A97" s="33" t="inlineStr">
        <is>
          <t>M 8.2 - 99 km SE of Perryville, Alaska</t>
        </is>
      </c>
      <c r="B97" s="33" t="n">
        <v>8.199999999999999</v>
      </c>
      <c r="C97" s="33" t="inlineStr">
        <is>
          <t>29/07/2021 06:15</t>
        </is>
      </c>
      <c r="D97" s="33" t="n">
        <v>8</v>
      </c>
      <c r="E97" s="33" t="n">
        <v>7</v>
      </c>
      <c r="F97" s="33" t="inlineStr">
        <is>
          <t>yellow</t>
        </is>
      </c>
      <c r="G97" s="33" t="n">
        <v>1</v>
      </c>
      <c r="H97" s="33" t="n">
        <v>1252</v>
      </c>
      <c r="I97" s="33" t="inlineStr">
        <is>
          <t>ak</t>
        </is>
      </c>
      <c r="J97" s="33" t="n">
        <v>0</v>
      </c>
      <c r="K97" s="33" t="n">
        <v>0</v>
      </c>
      <c r="L97" s="33" t="n">
        <v>0</v>
      </c>
      <c r="M97" s="33" t="inlineStr">
        <is>
          <t>mww</t>
        </is>
      </c>
      <c r="N97" s="33" t="n">
        <v>35</v>
      </c>
      <c r="O97" s="33" t="n">
        <v>55.3154</v>
      </c>
      <c r="P97" s="33" t="n">
        <v>-157.829</v>
      </c>
      <c r="Q97" s="33" t="inlineStr">
        <is>
          <t>Perryville, Alaska</t>
        </is>
      </c>
      <c r="T97" s="36">
        <f>DATE(MID(C97,7,4),MID(C97,4,2),MID(C97,1,2))+TIME(MID(C97,12,2),MID(C97,15,2),0)</f>
        <v/>
      </c>
      <c r="U97" s="33">
        <f>IF(ISNUMBER(VALUE(MID(A97,7,1))),"Distance-prefix pattern","Named-region pattern")</f>
        <v/>
      </c>
      <c r="V97" s="33">
        <f>LOWER(M97)</f>
        <v/>
      </c>
      <c r="W97" s="33">
        <f>IF(COUNTIFS($A$2:$A$1001,A97,$C$2:$C$1001,C97)&gt;1,"Duplicate","Unique")</f>
        <v/>
      </c>
      <c r="X97" s="33">
        <f>YEAR(T97)</f>
        <v/>
      </c>
      <c r="Y97" s="33">
        <f>IF(B97&lt;6.5,"&lt;6.5",IF(B97&lt;7,"6.5–6.9",IF(B97&lt;7.5,"7.0–7.4",IF(B97&lt;8,"7.5–7.9","8.0+"))))</f>
        <v/>
      </c>
      <c r="Z97" s="33">
        <f>IF(F97="","Blank",F97)</f>
        <v/>
      </c>
    </row>
    <row r="98" ht="15" customHeight="1" s="34">
      <c r="A98" s="33" t="inlineStr">
        <is>
          <t>M 6.7 - 15 km S of Hukay, Philippines</t>
        </is>
      </c>
      <c r="B98" s="33" t="n">
        <v>6.7</v>
      </c>
      <c r="C98" s="33" t="inlineStr">
        <is>
          <t>23/07/2021 20:48</t>
        </is>
      </c>
      <c r="D98" s="33" t="n">
        <v>8</v>
      </c>
      <c r="E98" s="33" t="n">
        <v>5</v>
      </c>
      <c r="F98" s="33" t="inlineStr">
        <is>
          <t>green</t>
        </is>
      </c>
      <c r="G98" s="33" t="n">
        <v>1</v>
      </c>
      <c r="H98" s="33" t="n">
        <v>935</v>
      </c>
      <c r="I98" s="33" t="inlineStr">
        <is>
          <t>us</t>
        </is>
      </c>
      <c r="J98" s="33" t="n">
        <v>0</v>
      </c>
      <c r="K98" s="33" t="n">
        <v>8.138999999999999</v>
      </c>
      <c r="L98" s="33" t="n">
        <v>12</v>
      </c>
      <c r="M98" s="33" t="inlineStr">
        <is>
          <t>mww</t>
        </is>
      </c>
      <c r="N98" s="33" t="n">
        <v>110</v>
      </c>
      <c r="O98" s="33" t="n">
        <v>13.6989</v>
      </c>
      <c r="P98" s="33" t="n">
        <v>120.713</v>
      </c>
      <c r="Q98" s="33" t="inlineStr">
        <is>
          <t>Hukay, Philippines</t>
        </is>
      </c>
      <c r="R98" s="33" t="inlineStr">
        <is>
          <t>Asia</t>
        </is>
      </c>
      <c r="S98" s="33" t="inlineStr">
        <is>
          <t>Philippines</t>
        </is>
      </c>
      <c r="T98" s="36">
        <f>DATE(MID(C98,7,4),MID(C98,4,2),MID(C98,1,2))+TIME(MID(C98,12,2),MID(C98,15,2),0)</f>
        <v/>
      </c>
      <c r="U98" s="33">
        <f>IF(ISNUMBER(VALUE(MID(A98,7,1))),"Distance-prefix pattern","Named-region pattern")</f>
        <v/>
      </c>
      <c r="V98" s="33">
        <f>LOWER(M98)</f>
        <v/>
      </c>
      <c r="W98" s="33">
        <f>IF(COUNTIFS($A$2:$A$1001,A98,$C$2:$C$1001,C98)&gt;1,"Duplicate","Unique")</f>
        <v/>
      </c>
      <c r="X98" s="33">
        <f>YEAR(T98)</f>
        <v/>
      </c>
      <c r="Y98" s="33">
        <f>IF(B98&lt;6.5,"&lt;6.5",IF(B98&lt;7,"6.5–6.9",IF(B98&lt;7.5,"7.0–7.4",IF(B98&lt;8,"7.5–7.9","8.0+"))))</f>
        <v/>
      </c>
      <c r="Z98" s="33">
        <f>IF(F98="","Blank",F98)</f>
        <v/>
      </c>
    </row>
    <row r="99" ht="15" customHeight="1" s="34">
      <c r="A99" s="33" t="inlineStr">
        <is>
          <t>M 6.7 - 71 km S of Burica, Panama</t>
        </is>
      </c>
      <c r="B99" s="33" t="n">
        <v>6.7</v>
      </c>
      <c r="C99" s="33" t="inlineStr">
        <is>
          <t>21/07/2021 21:15</t>
        </is>
      </c>
      <c r="D99" s="33" t="n">
        <v>6</v>
      </c>
      <c r="E99" s="33" t="n">
        <v>6</v>
      </c>
      <c r="F99" s="33" t="inlineStr">
        <is>
          <t>green</t>
        </is>
      </c>
      <c r="G99" s="33" t="n">
        <v>1</v>
      </c>
      <c r="H99" s="33" t="n">
        <v>830</v>
      </c>
      <c r="I99" s="33" t="inlineStr">
        <is>
          <t>us</t>
        </is>
      </c>
      <c r="J99" s="33" t="n">
        <v>0</v>
      </c>
      <c r="K99" s="33" t="n">
        <v>1.395</v>
      </c>
      <c r="L99" s="33" t="n">
        <v>61</v>
      </c>
      <c r="M99" s="33" t="inlineStr">
        <is>
          <t>mww</t>
        </is>
      </c>
      <c r="N99" s="33" t="n">
        <v>10</v>
      </c>
      <c r="O99" s="33" t="n">
        <v>7.5904</v>
      </c>
      <c r="P99" s="33" t="n">
        <v>-82.8813</v>
      </c>
      <c r="Q99" s="33" t="inlineStr">
        <is>
          <t>Burica, Panama</t>
        </is>
      </c>
      <c r="T99" s="36">
        <f>DATE(MID(C99,7,4),MID(C99,4,2),MID(C99,1,2))+TIME(MID(C99,12,2),MID(C99,15,2),0)</f>
        <v/>
      </c>
      <c r="U99" s="33">
        <f>IF(ISNUMBER(VALUE(MID(A99,7,1))),"Distance-prefix pattern","Named-region pattern")</f>
        <v/>
      </c>
      <c r="V99" s="33">
        <f>LOWER(M99)</f>
        <v/>
      </c>
      <c r="W99" s="33">
        <f>IF(COUNTIFS($A$2:$A$1001,A99,$C$2:$C$1001,C99)&gt;1,"Duplicate","Unique")</f>
        <v/>
      </c>
      <c r="X99" s="33">
        <f>YEAR(T99)</f>
        <v/>
      </c>
      <c r="Y99" s="33">
        <f>IF(B99&lt;6.5,"&lt;6.5",IF(B99&lt;7,"6.5–6.9",IF(B99&lt;7.5,"7.0–7.4",IF(B99&lt;8,"7.5–7.9","8.0+"))))</f>
        <v/>
      </c>
      <c r="Z99" s="33">
        <f>IF(F99="","Blank",F99)</f>
        <v/>
      </c>
    </row>
    <row r="100" ht="15" customHeight="1" s="34">
      <c r="A100" s="33" t="inlineStr">
        <is>
          <t>M 6.5 - Kermadec Islands, New Zealand</t>
        </is>
      </c>
      <c r="B100" s="33" t="n">
        <v>6.5</v>
      </c>
      <c r="C100" s="33" t="inlineStr">
        <is>
          <t>20/06/2021 17:05</t>
        </is>
      </c>
      <c r="D100" s="33" t="n">
        <v>0</v>
      </c>
      <c r="E100" s="33" t="n">
        <v>4</v>
      </c>
      <c r="F100" s="33" t="inlineStr">
        <is>
          <t>green</t>
        </is>
      </c>
      <c r="G100" s="33" t="n">
        <v>1</v>
      </c>
      <c r="H100" s="33" t="n">
        <v>650</v>
      </c>
      <c r="I100" s="33" t="inlineStr">
        <is>
          <t>us</t>
        </is>
      </c>
      <c r="J100" s="33" t="n">
        <v>0</v>
      </c>
      <c r="K100" s="33" t="n">
        <v>7.994</v>
      </c>
      <c r="L100" s="33" t="n">
        <v>24</v>
      </c>
      <c r="M100" s="33" t="inlineStr">
        <is>
          <t>mww</t>
        </is>
      </c>
      <c r="N100" s="33" t="n">
        <v>25</v>
      </c>
      <c r="O100" s="33" t="n">
        <v>-30.2144</v>
      </c>
      <c r="P100" s="33" t="n">
        <v>-177.773</v>
      </c>
      <c r="Q100" s="33" t="inlineStr">
        <is>
          <t>Kermadec Islands, New Zealand</t>
        </is>
      </c>
      <c r="T100" s="36">
        <f>DATE(MID(C100,7,4),MID(C100,4,2),MID(C100,1,2))+TIME(MID(C100,12,2),MID(C100,15,2),0)</f>
        <v/>
      </c>
      <c r="U100" s="33">
        <f>IF(ISNUMBER(VALUE(MID(A100,7,1))),"Distance-prefix pattern","Named-region pattern")</f>
        <v/>
      </c>
      <c r="V100" s="33">
        <f>LOWER(M100)</f>
        <v/>
      </c>
      <c r="W100" s="33">
        <f>IF(COUNTIFS($A$2:$A$1001,A100,$C$2:$C$1001,C100)&gt;1,"Duplicate","Unique")</f>
        <v/>
      </c>
      <c r="X100" s="33">
        <f>YEAR(T100)</f>
        <v/>
      </c>
      <c r="Y100" s="33">
        <f>IF(B100&lt;6.5,"&lt;6.5",IF(B100&lt;7,"6.5–6.9",IF(B100&lt;7.5,"7.0–7.4",IF(B100&lt;8,"7.5–7.9","8.0+"))))</f>
        <v/>
      </c>
      <c r="Z100" s="33">
        <f>IF(F100="","Blank",F100)</f>
        <v/>
      </c>
    </row>
    <row r="101" ht="15" customHeight="1" s="34">
      <c r="A101" s="33" t="inlineStr">
        <is>
          <t>M 6.5 - 265 km SSE of Alo, Wallis and Futuna</t>
        </is>
      </c>
      <c r="B101" s="33" t="n">
        <v>6.5</v>
      </c>
      <c r="C101" s="33" t="inlineStr">
        <is>
          <t>21/05/2021 22:13</t>
        </is>
      </c>
      <c r="D101" s="33" t="n">
        <v>5</v>
      </c>
      <c r="E101" s="33" t="n">
        <v>7</v>
      </c>
      <c r="F101" s="33" t="inlineStr">
        <is>
          <t>green</t>
        </is>
      </c>
      <c r="G101" s="33" t="n">
        <v>1</v>
      </c>
      <c r="H101" s="33" t="n">
        <v>652</v>
      </c>
      <c r="I101" s="33" t="inlineStr">
        <is>
          <t>us</t>
        </is>
      </c>
      <c r="J101" s="33" t="n">
        <v>0</v>
      </c>
      <c r="K101" s="33" t="n">
        <v>4.518</v>
      </c>
      <c r="L101" s="33" t="n">
        <v>44</v>
      </c>
      <c r="M101" s="33" t="inlineStr">
        <is>
          <t>mww</t>
        </is>
      </c>
      <c r="N101" s="33" t="n">
        <v>10</v>
      </c>
      <c r="O101" s="33" t="n">
        <v>-16.4796</v>
      </c>
      <c r="P101" s="33" t="n">
        <v>-177.356</v>
      </c>
      <c r="Q101" s="33" t="inlineStr">
        <is>
          <t>Alo, Wallis and Futuna</t>
        </is>
      </c>
      <c r="T101" s="36">
        <f>DATE(MID(C101,7,4),MID(C101,4,2),MID(C101,1,2))+TIME(MID(C101,12,2),MID(C101,15,2),0)</f>
        <v/>
      </c>
      <c r="U101" s="33">
        <f>IF(ISNUMBER(VALUE(MID(A101,7,1))),"Distance-prefix pattern","Named-region pattern")</f>
        <v/>
      </c>
      <c r="V101" s="33">
        <f>LOWER(M101)</f>
        <v/>
      </c>
      <c r="W101" s="33">
        <f>IF(COUNTIFS($A$2:$A$1001,A101,$C$2:$C$1001,C101)&gt;1,"Duplicate","Unique")</f>
        <v/>
      </c>
      <c r="X101" s="33">
        <f>YEAR(T101)</f>
        <v/>
      </c>
      <c r="Y101" s="33">
        <f>IF(B101&lt;6.5,"&lt;6.5",IF(B101&lt;7,"6.5–6.9",IF(B101&lt;7.5,"7.0–7.4",IF(B101&lt;8,"7.5–7.9","8.0+"))))</f>
        <v/>
      </c>
      <c r="Z101" s="33">
        <f>IF(F101="","Blank",F101)</f>
        <v/>
      </c>
    </row>
    <row r="102" ht="15" customHeight="1" s="34">
      <c r="A102" s="33" t="inlineStr">
        <is>
          <t>M 7.3 - Southern Qinghai, China</t>
        </is>
      </c>
      <c r="B102" s="33" t="n">
        <v>7.3</v>
      </c>
      <c r="C102" s="33" t="inlineStr">
        <is>
          <t>21/05/2021 18:04</t>
        </is>
      </c>
      <c r="D102" s="33" t="n">
        <v>9</v>
      </c>
      <c r="E102" s="33" t="n">
        <v>9</v>
      </c>
      <c r="F102" s="33" t="inlineStr">
        <is>
          <t>orange</t>
        </is>
      </c>
      <c r="G102" s="33" t="n">
        <v>0</v>
      </c>
      <c r="H102" s="33" t="n">
        <v>1025</v>
      </c>
      <c r="I102" s="33" t="inlineStr">
        <is>
          <t>us</t>
        </is>
      </c>
      <c r="J102" s="33" t="n">
        <v>0</v>
      </c>
      <c r="K102" s="33" t="n">
        <v>4.655</v>
      </c>
      <c r="L102" s="33" t="n">
        <v>9</v>
      </c>
      <c r="M102" s="33" t="inlineStr">
        <is>
          <t>mww</t>
        </is>
      </c>
      <c r="N102" s="33" t="n">
        <v>10</v>
      </c>
      <c r="O102" s="33" t="n">
        <v>34.5861</v>
      </c>
      <c r="P102" s="33" t="n">
        <v>98.2551</v>
      </c>
      <c r="Q102" s="33" t="inlineStr">
        <is>
          <t>Southern Qinghai, China</t>
        </is>
      </c>
      <c r="R102" s="33" t="inlineStr">
        <is>
          <t>Asia</t>
        </is>
      </c>
      <c r="S102" s="33" t="inlineStr">
        <is>
          <t>People's Republic of China</t>
        </is>
      </c>
      <c r="T102" s="36">
        <f>DATE(MID(C102,7,4),MID(C102,4,2),MID(C102,1,2))+TIME(MID(C102,12,2),MID(C102,15,2),0)</f>
        <v/>
      </c>
      <c r="U102" s="33">
        <f>IF(ISNUMBER(VALUE(MID(A102,7,1))),"Distance-prefix pattern","Named-region pattern")</f>
        <v/>
      </c>
      <c r="V102" s="33">
        <f>LOWER(M102)</f>
        <v/>
      </c>
      <c r="W102" s="33">
        <f>IF(COUNTIFS($A$2:$A$1001,A102,$C$2:$C$1001,C102)&gt;1,"Duplicate","Unique")</f>
        <v/>
      </c>
      <c r="X102" s="33">
        <f>YEAR(T102)</f>
        <v/>
      </c>
      <c r="Y102" s="33">
        <f>IF(B102&lt;6.5,"&lt;6.5",IF(B102&lt;7,"6.5–6.9",IF(B102&lt;7.5,"7.0–7.4",IF(B102&lt;8,"7.5–7.9","8.0+"))))</f>
        <v/>
      </c>
      <c r="Z102" s="33">
        <f>IF(F102="","Blank",F102)</f>
        <v/>
      </c>
    </row>
    <row r="103" ht="15" customHeight="1" s="34">
      <c r="A103" s="33" t="inlineStr">
        <is>
          <t>M 6.7 - 260 km S of Sinabang, Indonesia</t>
        </is>
      </c>
      <c r="B103" s="33" t="n">
        <v>6.7</v>
      </c>
      <c r="C103" s="33" t="inlineStr">
        <is>
          <t>14/05/2021 06:33</t>
        </is>
      </c>
      <c r="D103" s="33" t="n">
        <v>8</v>
      </c>
      <c r="E103" s="33" t="n">
        <v>4</v>
      </c>
      <c r="F103" s="33" t="inlineStr">
        <is>
          <t>green</t>
        </is>
      </c>
      <c r="G103" s="33" t="n">
        <v>0</v>
      </c>
      <c r="H103" s="33" t="n">
        <v>698</v>
      </c>
      <c r="I103" s="33" t="inlineStr">
        <is>
          <t>us</t>
        </is>
      </c>
      <c r="J103" s="33" t="n">
        <v>0</v>
      </c>
      <c r="K103" s="33" t="n">
        <v>1.487</v>
      </c>
      <c r="L103" s="33" t="n">
        <v>37</v>
      </c>
      <c r="M103" s="33" t="inlineStr">
        <is>
          <t>mww</t>
        </is>
      </c>
      <c r="N103" s="33" t="n">
        <v>11</v>
      </c>
      <c r="O103" s="33" t="n">
        <v>0.1684</v>
      </c>
      <c r="P103" s="33" t="n">
        <v>96.64749999999999</v>
      </c>
      <c r="Q103" s="33" t="inlineStr">
        <is>
          <t>Sinabang, Indonesia</t>
        </is>
      </c>
      <c r="T103" s="36">
        <f>DATE(MID(C103,7,4),MID(C103,4,2),MID(C103,1,2))+TIME(MID(C103,12,2),MID(C103,15,2),0)</f>
        <v/>
      </c>
      <c r="U103" s="33">
        <f>IF(ISNUMBER(VALUE(MID(A103,7,1))),"Distance-prefix pattern","Named-region pattern")</f>
        <v/>
      </c>
      <c r="V103" s="33">
        <f>LOWER(M103)</f>
        <v/>
      </c>
      <c r="W103" s="33">
        <f>IF(COUNTIFS($A$2:$A$1001,A103,$C$2:$C$1001,C103)&gt;1,"Duplicate","Unique")</f>
        <v/>
      </c>
      <c r="X103" s="33">
        <f>YEAR(T103)</f>
        <v/>
      </c>
      <c r="Y103" s="33">
        <f>IF(B103&lt;6.5,"&lt;6.5",IF(B103&lt;7,"6.5–6.9",IF(B103&lt;7.5,"7.0–7.4",IF(B103&lt;8,"7.5–7.9","8.0+"))))</f>
        <v/>
      </c>
      <c r="Z103" s="33">
        <f>IF(F103="","Blank",F103)</f>
        <v/>
      </c>
    </row>
    <row r="104" ht="15" customHeight="1" s="34">
      <c r="A104" s="33" t="inlineStr">
        <is>
          <t>M 6.7 - Mauritius - Reunion region</t>
        </is>
      </c>
      <c r="B104" s="33" t="n">
        <v>6.7</v>
      </c>
      <c r="C104" s="33" t="inlineStr">
        <is>
          <t>12/05/2021 14:05</t>
        </is>
      </c>
      <c r="D104" s="33" t="n">
        <v>9</v>
      </c>
      <c r="E104" s="33" t="n">
        <v>3</v>
      </c>
      <c r="F104" s="33" t="inlineStr">
        <is>
          <t>green</t>
        </is>
      </c>
      <c r="G104" s="33" t="n">
        <v>0</v>
      </c>
      <c r="H104" s="33" t="n">
        <v>694</v>
      </c>
      <c r="I104" s="33" t="inlineStr">
        <is>
          <t>us</t>
        </is>
      </c>
      <c r="J104" s="33" t="n">
        <v>0</v>
      </c>
      <c r="K104" s="33" t="n">
        <v>10.669</v>
      </c>
      <c r="L104" s="33" t="n">
        <v>45</v>
      </c>
      <c r="M104" s="33" t="inlineStr">
        <is>
          <t>mww</t>
        </is>
      </c>
      <c r="N104" s="33" t="n">
        <v>10</v>
      </c>
      <c r="O104" s="33" t="n">
        <v>-17.2495</v>
      </c>
      <c r="P104" s="33" t="n">
        <v>66.3745</v>
      </c>
      <c r="Q104" s="33" t="inlineStr">
        <is>
          <t>Mauritius - Reunion region</t>
        </is>
      </c>
      <c r="T104" s="36">
        <f>DATE(MID(C104,7,4),MID(C104,4,2),MID(C104,1,2))+TIME(MID(C104,12,2),MID(C104,15,2),0)</f>
        <v/>
      </c>
      <c r="U104" s="33">
        <f>IF(ISNUMBER(VALUE(MID(A104,7,1))),"Distance-prefix pattern","Named-region pattern")</f>
        <v/>
      </c>
      <c r="V104" s="33">
        <f>LOWER(M104)</f>
        <v/>
      </c>
      <c r="W104" s="33">
        <f>IF(COUNTIFS($A$2:$A$1001,A104,$C$2:$C$1001,C104)&gt;1,"Duplicate","Unique")</f>
        <v/>
      </c>
      <c r="X104" s="33">
        <f>YEAR(T104)</f>
        <v/>
      </c>
      <c r="Y104" s="33">
        <f>IF(B104&lt;6.5,"&lt;6.5",IF(B104&lt;7,"6.5–6.9",IF(B104&lt;7.5,"7.0–7.4",IF(B104&lt;8,"7.5–7.9","8.0+"))))</f>
        <v/>
      </c>
      <c r="Z104" s="33">
        <f>IF(F104="","Blank",F104)</f>
        <v/>
      </c>
    </row>
    <row r="105" ht="15" customHeight="1" s="34">
      <c r="A105" s="33" t="inlineStr">
        <is>
          <t xml:space="preserve">M 6.9 - </t>
        </is>
      </c>
      <c r="B105" s="33" t="n">
        <v>6.9</v>
      </c>
      <c r="C105" s="33" t="inlineStr">
        <is>
          <t>01/05/2021 01:27</t>
        </is>
      </c>
      <c r="D105" s="33" t="n">
        <v>7</v>
      </c>
      <c r="E105" s="33" t="n">
        <v>6</v>
      </c>
      <c r="F105" s="33" t="inlineStr">
        <is>
          <t>green</t>
        </is>
      </c>
      <c r="G105" s="33" t="n">
        <v>1</v>
      </c>
      <c r="H105" s="33" t="n">
        <v>919</v>
      </c>
      <c r="I105" s="33" t="inlineStr">
        <is>
          <t>us</t>
        </is>
      </c>
      <c r="J105" s="33" t="n">
        <v>0</v>
      </c>
      <c r="K105" s="33" t="n">
        <v>2.619</v>
      </c>
      <c r="L105" s="33" t="n">
        <v>35</v>
      </c>
      <c r="M105" s="33" t="inlineStr">
        <is>
          <t>mww</t>
        </is>
      </c>
      <c r="N105" s="33" t="n">
        <v>43</v>
      </c>
      <c r="O105" s="33" t="n">
        <v>38.2296</v>
      </c>
      <c r="P105" s="33" t="n">
        <v>141.665</v>
      </c>
      <c r="R105" s="33" t="inlineStr">
        <is>
          <t>Asia</t>
        </is>
      </c>
      <c r="S105" s="33" t="inlineStr">
        <is>
          <t>Japan</t>
        </is>
      </c>
      <c r="T105" s="36">
        <f>DATE(MID(C105,7,4),MID(C105,4,2),MID(C105,1,2))+TIME(MID(C105,12,2),MID(C105,15,2),0)</f>
        <v/>
      </c>
      <c r="U105" s="33">
        <f>IF(ISNUMBER(VALUE(MID(A105,7,1))),"Distance-prefix pattern","Named-region pattern")</f>
        <v/>
      </c>
      <c r="V105" s="33">
        <f>LOWER(M105)</f>
        <v/>
      </c>
      <c r="W105" s="33">
        <f>IF(COUNTIFS($A$2:$A$1001,A105,$C$2:$C$1001,C105)&gt;1,"Duplicate","Unique")</f>
        <v/>
      </c>
      <c r="X105" s="33">
        <f>YEAR(T105)</f>
        <v/>
      </c>
      <c r="Y105" s="33">
        <f>IF(B105&lt;6.5,"&lt;6.5",IF(B105&lt;7,"6.5–6.9",IF(B105&lt;7.5,"7.0–7.4",IF(B105&lt;8,"7.5–7.9","8.0+"))))</f>
        <v/>
      </c>
      <c r="Z105" s="33">
        <f>IF(F105="","Blank",F105)</f>
        <v/>
      </c>
    </row>
    <row r="106" ht="15" customHeight="1" s="34">
      <c r="A106" s="33" t="inlineStr">
        <is>
          <t>M 6.5 - 207 km WSW of Haveluloto, Tonga</t>
        </is>
      </c>
      <c r="B106" s="33" t="n">
        <v>6.5</v>
      </c>
      <c r="C106" s="33" t="inlineStr">
        <is>
          <t>25/04/2021 22:28</t>
        </is>
      </c>
      <c r="D106" s="33" t="n">
        <v>4</v>
      </c>
      <c r="E106" s="33" t="n">
        <v>4</v>
      </c>
      <c r="F106" s="33" t="inlineStr">
        <is>
          <t>green</t>
        </is>
      </c>
      <c r="G106" s="33" t="n">
        <v>0</v>
      </c>
      <c r="H106" s="33" t="n">
        <v>651</v>
      </c>
      <c r="I106" s="33" t="inlineStr">
        <is>
          <t>us</t>
        </is>
      </c>
      <c r="J106" s="33" t="n">
        <v>0</v>
      </c>
      <c r="K106" s="33" t="n">
        <v>5.931</v>
      </c>
      <c r="L106" s="33" t="n">
        <v>20</v>
      </c>
      <c r="M106" s="33" t="inlineStr">
        <is>
          <t>mww</t>
        </is>
      </c>
      <c r="N106" s="33" t="n">
        <v>246</v>
      </c>
      <c r="O106" s="33" t="n">
        <v>-21.6857</v>
      </c>
      <c r="P106" s="33" t="n">
        <v>-177.064</v>
      </c>
      <c r="Q106" s="33" t="inlineStr">
        <is>
          <t>Haveluloto, Tonga</t>
        </is>
      </c>
      <c r="T106" s="36">
        <f>DATE(MID(C106,7,4),MID(C106,4,2),MID(C106,1,2))+TIME(MID(C106,12,2),MID(C106,15,2),0)</f>
        <v/>
      </c>
      <c r="U106" s="33">
        <f>IF(ISNUMBER(VALUE(MID(A106,7,1))),"Distance-prefix pattern","Named-region pattern")</f>
        <v/>
      </c>
      <c r="V106" s="33">
        <f>LOWER(M106)</f>
        <v/>
      </c>
      <c r="W106" s="33">
        <f>IF(COUNTIFS($A$2:$A$1001,A106,$C$2:$C$1001,C106)&gt;1,"Duplicate","Unique")</f>
        <v/>
      </c>
      <c r="X106" s="33">
        <f>YEAR(T106)</f>
        <v/>
      </c>
      <c r="Y106" s="33">
        <f>IF(B106&lt;6.5,"&lt;6.5",IF(B106&lt;7,"6.5–6.9",IF(B106&lt;7.5,"7.0–7.4",IF(B106&lt;8,"7.5–7.9","8.0+"))))</f>
        <v/>
      </c>
      <c r="Z106" s="33">
        <f>IF(F106="","Blank",F106)</f>
        <v/>
      </c>
    </row>
    <row r="107" ht="15" customHeight="1" s="34">
      <c r="A107" s="33" t="inlineStr">
        <is>
          <t>M 6.5 - 225 km WNW of Pangai, Tonga</t>
        </is>
      </c>
      <c r="B107" s="33" t="n">
        <v>6.5</v>
      </c>
      <c r="C107" s="33" t="inlineStr">
        <is>
          <t>24/04/2021 00:23</t>
        </is>
      </c>
      <c r="D107" s="33" t="n">
        <v>6</v>
      </c>
      <c r="E107" s="33" t="n">
        <v>4</v>
      </c>
      <c r="F107" s="33" t="inlineStr">
        <is>
          <t>green</t>
        </is>
      </c>
      <c r="G107" s="33" t="n">
        <v>0</v>
      </c>
      <c r="H107" s="33" t="n">
        <v>652</v>
      </c>
      <c r="I107" s="33" t="inlineStr">
        <is>
          <t>us</t>
        </is>
      </c>
      <c r="J107" s="33" t="n">
        <v>0</v>
      </c>
      <c r="K107" s="33" t="n">
        <v>10.405</v>
      </c>
      <c r="L107" s="33" t="n">
        <v>19</v>
      </c>
      <c r="M107" s="33" t="inlineStr">
        <is>
          <t>mww</t>
        </is>
      </c>
      <c r="N107" s="33" t="n">
        <v>301</v>
      </c>
      <c r="O107" s="33" t="n">
        <v>-18.9204</v>
      </c>
      <c r="P107" s="33" t="n">
        <v>-176.235</v>
      </c>
      <c r="Q107" s="33" t="inlineStr">
        <is>
          <t>Pangai, Tonga</t>
        </is>
      </c>
      <c r="T107" s="36">
        <f>DATE(MID(C107,7,4),MID(C107,4,2),MID(C107,1,2))+TIME(MID(C107,12,2),MID(C107,15,2),0)</f>
        <v/>
      </c>
      <c r="U107" s="33">
        <f>IF(ISNUMBER(VALUE(MID(A107,7,1))),"Distance-prefix pattern","Named-region pattern")</f>
        <v/>
      </c>
      <c r="V107" s="33">
        <f>LOWER(M107)</f>
        <v/>
      </c>
      <c r="W107" s="33">
        <f>IF(COUNTIFS($A$2:$A$1001,A107,$C$2:$C$1001,C107)&gt;1,"Duplicate","Unique")</f>
        <v/>
      </c>
      <c r="X107" s="33">
        <f>YEAR(T107)</f>
        <v/>
      </c>
      <c r="Y107" s="33">
        <f>IF(B107&lt;6.5,"&lt;6.5",IF(B107&lt;7,"6.5–6.9",IF(B107&lt;7.5,"7.0–7.4",IF(B107&lt;8,"7.5–7.9","8.0+"))))</f>
        <v/>
      </c>
      <c r="Z107" s="33">
        <f>IF(F107="","Blank",F107)</f>
        <v/>
      </c>
    </row>
    <row r="108" ht="15" customHeight="1" s="34">
      <c r="A108" s="33" t="inlineStr">
        <is>
          <t>M 7.0 - 30 km E of Ishinomaki, Japan</t>
        </is>
      </c>
      <c r="B108" s="33" t="n">
        <v>7</v>
      </c>
      <c r="C108" s="33" t="inlineStr">
        <is>
          <t>20/03/2021 09:09</t>
        </is>
      </c>
      <c r="D108" s="33" t="n">
        <v>7</v>
      </c>
      <c r="E108" s="33" t="n">
        <v>7</v>
      </c>
      <c r="F108" s="33" t="inlineStr">
        <is>
          <t>yellow</t>
        </is>
      </c>
      <c r="G108" s="33" t="n">
        <v>1</v>
      </c>
      <c r="H108" s="33" t="n">
        <v>1052</v>
      </c>
      <c r="I108" s="33" t="inlineStr">
        <is>
          <t>us</t>
        </is>
      </c>
      <c r="J108" s="33" t="n">
        <v>0</v>
      </c>
      <c r="K108" s="33" t="n">
        <v>2.378</v>
      </c>
      <c r="L108" s="33" t="n">
        <v>35</v>
      </c>
      <c r="M108" s="33" t="inlineStr">
        <is>
          <t>mww</t>
        </is>
      </c>
      <c r="N108" s="33" t="n">
        <v>43</v>
      </c>
      <c r="O108" s="33" t="n">
        <v>38.4752</v>
      </c>
      <c r="P108" s="33" t="n">
        <v>141.607</v>
      </c>
      <c r="Q108" s="33" t="inlineStr">
        <is>
          <t>Ishinomaki, Japan</t>
        </is>
      </c>
      <c r="R108" s="33" t="inlineStr">
        <is>
          <t>Asia</t>
        </is>
      </c>
      <c r="S108" s="33" t="inlineStr">
        <is>
          <t>Japan</t>
        </is>
      </c>
      <c r="T108" s="36">
        <f>DATE(MID(C108,7,4),MID(C108,4,2),MID(C108,1,2))+TIME(MID(C108,12,2),MID(C108,15,2),0)</f>
        <v/>
      </c>
      <c r="U108" s="33">
        <f>IF(ISNUMBER(VALUE(MID(A108,7,1))),"Distance-prefix pattern","Named-region pattern")</f>
        <v/>
      </c>
      <c r="V108" s="33">
        <f>LOWER(M108)</f>
        <v/>
      </c>
      <c r="W108" s="33">
        <f>IF(COUNTIFS($A$2:$A$1001,A108,$C$2:$C$1001,C108)&gt;1,"Duplicate","Unique")</f>
        <v/>
      </c>
      <c r="X108" s="33">
        <f>YEAR(T108)</f>
        <v/>
      </c>
      <c r="Y108" s="33">
        <f>IF(B108&lt;6.5,"&lt;6.5",IF(B108&lt;7,"6.5–6.9",IF(B108&lt;7.5,"7.0–7.4",IF(B108&lt;8,"7.5–7.9","8.0+"))))</f>
        <v/>
      </c>
      <c r="Z108" s="33">
        <f>IF(F108="","Blank",F108)</f>
        <v/>
      </c>
    </row>
    <row r="109" ht="15" customHeight="1" s="34">
      <c r="A109" s="33" t="inlineStr">
        <is>
          <t>M 6.6 - 171 km SSE of Ust’-Kamchatsk Staryy, Russia</t>
        </is>
      </c>
      <c r="B109" s="33" t="n">
        <v>6.6</v>
      </c>
      <c r="C109" s="33" t="inlineStr">
        <is>
          <t>16/03/2021 18:38</t>
        </is>
      </c>
      <c r="D109" s="33" t="n">
        <v>5</v>
      </c>
      <c r="E109" s="33" t="n">
        <v>5</v>
      </c>
      <c r="F109" s="33" t="inlineStr">
        <is>
          <t>green</t>
        </is>
      </c>
      <c r="G109" s="33" t="n">
        <v>1</v>
      </c>
      <c r="H109" s="33" t="n">
        <v>672</v>
      </c>
      <c r="I109" s="33" t="inlineStr">
        <is>
          <t>us</t>
        </is>
      </c>
      <c r="J109" s="33" t="n">
        <v>0</v>
      </c>
      <c r="K109" s="33" t="n">
        <v>3.183</v>
      </c>
      <c r="L109" s="33" t="n">
        <v>18</v>
      </c>
      <c r="M109" s="33" t="inlineStr">
        <is>
          <t>mww</t>
        </is>
      </c>
      <c r="N109" s="33" t="n">
        <v>13.23</v>
      </c>
      <c r="O109" s="33" t="n">
        <v>54.7018</v>
      </c>
      <c r="P109" s="33" t="n">
        <v>163.208</v>
      </c>
      <c r="Q109" s="33" t="inlineStr">
        <is>
          <t>Ust’-Kamchatsk Staryy, Russia</t>
        </is>
      </c>
      <c r="T109" s="36">
        <f>DATE(MID(C109,7,4),MID(C109,4,2),MID(C109,1,2))+TIME(MID(C109,12,2),MID(C109,15,2),0)</f>
        <v/>
      </c>
      <c r="U109" s="33">
        <f>IF(ISNUMBER(VALUE(MID(A109,7,1))),"Distance-prefix pattern","Named-region pattern")</f>
        <v/>
      </c>
      <c r="V109" s="33">
        <f>LOWER(M109)</f>
        <v/>
      </c>
      <c r="W109" s="33">
        <f>IF(COUNTIFS($A$2:$A$1001,A109,$C$2:$C$1001,C109)&gt;1,"Duplicate","Unique")</f>
        <v/>
      </c>
      <c r="X109" s="33">
        <f>YEAR(T109)</f>
        <v/>
      </c>
      <c r="Y109" s="33">
        <f>IF(B109&lt;6.5,"&lt;6.5",IF(B109&lt;7,"6.5–6.9",IF(B109&lt;7.5,"7.0–7.4",IF(B109&lt;8,"7.5–7.9","8.0+"))))</f>
        <v/>
      </c>
      <c r="Z109" s="33">
        <f>IF(F109="","Blank",F109)</f>
        <v/>
      </c>
    </row>
    <row r="110" ht="15" customHeight="1" s="34">
      <c r="A110" s="33" t="inlineStr">
        <is>
          <t>M 6.5 - Kermadec Islands region</t>
        </is>
      </c>
      <c r="B110" s="33" t="n">
        <v>6.5</v>
      </c>
      <c r="C110" s="33" t="inlineStr">
        <is>
          <t>04/03/2021 23:12</t>
        </is>
      </c>
      <c r="D110" s="33" t="n">
        <v>0</v>
      </c>
      <c r="E110" s="33" t="n">
        <v>4</v>
      </c>
      <c r="F110" s="33" t="inlineStr">
        <is>
          <t>green</t>
        </is>
      </c>
      <c r="G110" s="33" t="n">
        <v>0</v>
      </c>
      <c r="H110" s="33" t="n">
        <v>650</v>
      </c>
      <c r="I110" s="33" t="inlineStr">
        <is>
          <t>us</t>
        </is>
      </c>
      <c r="J110" s="33" t="n">
        <v>0</v>
      </c>
      <c r="K110" s="33" t="n">
        <v>11.764</v>
      </c>
      <c r="L110" s="33" t="n">
        <v>25</v>
      </c>
      <c r="M110" s="33" t="inlineStr">
        <is>
          <t>mwb</t>
        </is>
      </c>
      <c r="N110" s="33" t="n">
        <v>24</v>
      </c>
      <c r="O110" s="33" t="n">
        <v>-28.4792</v>
      </c>
      <c r="P110" s="33" t="n">
        <v>-176.619</v>
      </c>
      <c r="Q110" s="33" t="inlineStr">
        <is>
          <t>Kermadec Islands region</t>
        </is>
      </c>
      <c r="T110" s="36">
        <f>DATE(MID(C110,7,4),MID(C110,4,2),MID(C110,1,2))+TIME(MID(C110,12,2),MID(C110,15,2),0)</f>
        <v/>
      </c>
      <c r="U110" s="33">
        <f>IF(ISNUMBER(VALUE(MID(A110,7,1))),"Distance-prefix pattern","Named-region pattern")</f>
        <v/>
      </c>
      <c r="V110" s="33">
        <f>LOWER(M110)</f>
        <v/>
      </c>
      <c r="W110" s="33">
        <f>IF(COUNTIFS($A$2:$A$1001,A110,$C$2:$C$1001,C110)&gt;1,"Duplicate","Unique")</f>
        <v/>
      </c>
      <c r="X110" s="33">
        <f>YEAR(T110)</f>
        <v/>
      </c>
      <c r="Y110" s="33">
        <f>IF(B110&lt;6.5,"&lt;6.5",IF(B110&lt;7,"6.5–6.9",IF(B110&lt;7.5,"7.0–7.4",IF(B110&lt;8,"7.5–7.9","8.0+"))))</f>
        <v/>
      </c>
      <c r="Z110" s="33">
        <f>IF(F110="","Blank",F110)</f>
        <v/>
      </c>
    </row>
    <row r="111" ht="15" customHeight="1" s="34">
      <c r="A111" s="33" t="inlineStr">
        <is>
          <t>M 8.1 - Kermadec Islands, New Zealand</t>
        </is>
      </c>
      <c r="B111" s="33" t="n">
        <v>8.1</v>
      </c>
      <c r="C111" s="33" t="inlineStr">
        <is>
          <t>04/03/2021 19:28</t>
        </is>
      </c>
      <c r="D111" s="33" t="n">
        <v>9</v>
      </c>
      <c r="E111" s="33" t="n">
        <v>8</v>
      </c>
      <c r="F111" s="33" t="inlineStr">
        <is>
          <t>green</t>
        </is>
      </c>
      <c r="G111" s="33" t="n">
        <v>1</v>
      </c>
      <c r="H111" s="33" t="n">
        <v>1021</v>
      </c>
      <c r="I111" s="33" t="inlineStr">
        <is>
          <t>us</t>
        </is>
      </c>
      <c r="J111" s="33" t="n">
        <v>0</v>
      </c>
      <c r="K111" s="33" t="n">
        <v>0.739</v>
      </c>
      <c r="L111" s="33" t="n">
        <v>21</v>
      </c>
      <c r="M111" s="33" t="inlineStr">
        <is>
          <t>mww</t>
        </is>
      </c>
      <c r="N111" s="33" t="n">
        <v>28.93</v>
      </c>
      <c r="O111" s="33" t="n">
        <v>-29.7466</v>
      </c>
      <c r="P111" s="33" t="n">
        <v>-177.224</v>
      </c>
      <c r="Q111" s="33" t="inlineStr">
        <is>
          <t>Kermadec Islands, New Zealand</t>
        </is>
      </c>
      <c r="T111" s="36">
        <f>DATE(MID(C111,7,4),MID(C111,4,2),MID(C111,1,2))+TIME(MID(C111,12,2),MID(C111,15,2),0)</f>
        <v/>
      </c>
      <c r="U111" s="33">
        <f>IF(ISNUMBER(VALUE(MID(A111,7,1))),"Distance-prefix pattern","Named-region pattern")</f>
        <v/>
      </c>
      <c r="V111" s="33">
        <f>LOWER(M111)</f>
        <v/>
      </c>
      <c r="W111" s="33">
        <f>IF(COUNTIFS($A$2:$A$1001,A111,$C$2:$C$1001,C111)&gt;1,"Duplicate","Unique")</f>
        <v/>
      </c>
      <c r="X111" s="33">
        <f>YEAR(T111)</f>
        <v/>
      </c>
      <c r="Y111" s="33">
        <f>IF(B111&lt;6.5,"&lt;6.5",IF(B111&lt;7,"6.5–6.9",IF(B111&lt;7.5,"7.0–7.4",IF(B111&lt;8,"7.5–7.9","8.0+"))))</f>
        <v/>
      </c>
      <c r="Z111" s="33">
        <f>IF(F111="","Blank",F111)</f>
        <v/>
      </c>
    </row>
    <row r="112" ht="15" customHeight="1" s="34">
      <c r="A112" s="33" t="inlineStr">
        <is>
          <t>M 7.4 - Kermadec Islands, New Zealand</t>
        </is>
      </c>
      <c r="B112" s="33" t="n">
        <v>7.4</v>
      </c>
      <c r="C112" s="33" t="inlineStr">
        <is>
          <t>04/03/2021 17:41</t>
        </is>
      </c>
      <c r="D112" s="33" t="n">
        <v>3</v>
      </c>
      <c r="E112" s="33" t="n">
        <v>7</v>
      </c>
      <c r="F112" s="33" t="inlineStr">
        <is>
          <t>green</t>
        </is>
      </c>
      <c r="G112" s="33" t="n">
        <v>1</v>
      </c>
      <c r="H112" s="33" t="n">
        <v>843</v>
      </c>
      <c r="I112" s="33" t="inlineStr">
        <is>
          <t>us</t>
        </is>
      </c>
      <c r="J112" s="33" t="n">
        <v>0</v>
      </c>
      <c r="K112" s="33" t="n">
        <v>0.437</v>
      </c>
      <c r="L112" s="33" t="n">
        <v>30</v>
      </c>
      <c r="M112" s="33" t="inlineStr">
        <is>
          <t>mww</t>
        </is>
      </c>
      <c r="N112" s="33" t="n">
        <v>43</v>
      </c>
      <c r="O112" s="33" t="n">
        <v>-29.6131</v>
      </c>
      <c r="P112" s="33" t="n">
        <v>-177.842</v>
      </c>
      <c r="Q112" s="33" t="inlineStr">
        <is>
          <t>Kermadec Islands, New Zealand</t>
        </is>
      </c>
      <c r="T112" s="36">
        <f>DATE(MID(C112,7,4),MID(C112,4,2),MID(C112,1,2))+TIME(MID(C112,12,2),MID(C112,15,2),0)</f>
        <v/>
      </c>
      <c r="U112" s="33">
        <f>IF(ISNUMBER(VALUE(MID(A112,7,1))),"Distance-prefix pattern","Named-region pattern")</f>
        <v/>
      </c>
      <c r="V112" s="33">
        <f>LOWER(M112)</f>
        <v/>
      </c>
      <c r="W112" s="33">
        <f>IF(COUNTIFS($A$2:$A$1001,A112,$C$2:$C$1001,C112)&gt;1,"Duplicate","Unique")</f>
        <v/>
      </c>
      <c r="X112" s="33">
        <f>YEAR(T112)</f>
        <v/>
      </c>
      <c r="Y112" s="33">
        <f>IF(B112&lt;6.5,"&lt;6.5",IF(B112&lt;7,"6.5–6.9",IF(B112&lt;7.5,"7.0–7.4",IF(B112&lt;8,"7.5–7.9","8.0+"))))</f>
        <v/>
      </c>
      <c r="Z112" s="33">
        <f>IF(F112="","Blank",F112)</f>
        <v/>
      </c>
    </row>
    <row r="113" ht="15" customHeight="1" s="34">
      <c r="A113" s="33" t="inlineStr">
        <is>
          <t>M 7.3 - 182 km NE of Gisborne, New Zealand</t>
        </is>
      </c>
      <c r="B113" s="33" t="n">
        <v>7.3</v>
      </c>
      <c r="C113" s="33" t="inlineStr">
        <is>
          <t>04/03/2021 13:27</t>
        </is>
      </c>
      <c r="D113" s="33" t="n">
        <v>7</v>
      </c>
      <c r="E113" s="33" t="n">
        <v>6</v>
      </c>
      <c r="F113" s="33" t="inlineStr">
        <is>
          <t>green</t>
        </is>
      </c>
      <c r="G113" s="33" t="n">
        <v>1</v>
      </c>
      <c r="H113" s="33" t="n">
        <v>932</v>
      </c>
      <c r="I113" s="33" t="inlineStr">
        <is>
          <t>us</t>
        </is>
      </c>
      <c r="J113" s="33" t="n">
        <v>0</v>
      </c>
      <c r="K113" s="33" t="n">
        <v>0.918</v>
      </c>
      <c r="L113" s="33" t="n">
        <v>24</v>
      </c>
      <c r="M113" s="33" t="inlineStr">
        <is>
          <t>mww</t>
        </is>
      </c>
      <c r="N113" s="33" t="n">
        <v>10</v>
      </c>
      <c r="O113" s="33" t="n">
        <v>-37.596</v>
      </c>
      <c r="P113" s="33" t="n">
        <v>179.544</v>
      </c>
      <c r="Q113" s="33" t="inlineStr">
        <is>
          <t>Gisborne, New Zealand</t>
        </is>
      </c>
      <c r="T113" s="36">
        <f>DATE(MID(C113,7,4),MID(C113,4,2),MID(C113,1,2))+TIME(MID(C113,12,2),MID(C113,15,2),0)</f>
        <v/>
      </c>
      <c r="U113" s="33">
        <f>IF(ISNUMBER(VALUE(MID(A113,7,1))),"Distance-prefix pattern","Named-region pattern")</f>
        <v/>
      </c>
      <c r="V113" s="33">
        <f>LOWER(M113)</f>
        <v/>
      </c>
      <c r="W113" s="33">
        <f>IF(COUNTIFS($A$2:$A$1001,A113,$C$2:$C$1001,C113)&gt;1,"Duplicate","Unique")</f>
        <v/>
      </c>
      <c r="X113" s="33">
        <f>YEAR(T113)</f>
        <v/>
      </c>
      <c r="Y113" s="33">
        <f>IF(B113&lt;6.5,"&lt;6.5",IF(B113&lt;7,"6.5–6.9",IF(B113&lt;7.5,"7.0–7.4",IF(B113&lt;8,"7.5–7.9","8.0+"))))</f>
        <v/>
      </c>
      <c r="Z113" s="33">
        <f>IF(F113="","Blank",F113)</f>
        <v/>
      </c>
    </row>
    <row r="114" ht="15" customHeight="1" s="34">
      <c r="A114" s="33" t="inlineStr">
        <is>
          <t>M 7.1 - 73 km ENE of Namie, Japan</t>
        </is>
      </c>
      <c r="B114" s="33" t="n">
        <v>7.1</v>
      </c>
      <c r="C114" s="33" t="inlineStr">
        <is>
          <t>13/02/2021 14:07</t>
        </is>
      </c>
      <c r="D114" s="33" t="n">
        <v>9</v>
      </c>
      <c r="E114" s="33" t="n">
        <v>8</v>
      </c>
      <c r="F114" s="33" t="inlineStr">
        <is>
          <t>orange</t>
        </is>
      </c>
      <c r="G114" s="33" t="n">
        <v>1</v>
      </c>
      <c r="H114" s="33" t="n">
        <v>1612</v>
      </c>
      <c r="I114" s="33" t="inlineStr">
        <is>
          <t>us</t>
        </is>
      </c>
      <c r="J114" s="33" t="n">
        <v>0</v>
      </c>
      <c r="K114" s="33" t="n">
        <v>3.085</v>
      </c>
      <c r="L114" s="33" t="n">
        <v>11</v>
      </c>
      <c r="M114" s="33" t="inlineStr">
        <is>
          <t>mww</t>
        </is>
      </c>
      <c r="N114" s="33" t="n">
        <v>43.98</v>
      </c>
      <c r="O114" s="33" t="n">
        <v>37.6856</v>
      </c>
      <c r="P114" s="33" t="n">
        <v>141.992</v>
      </c>
      <c r="Q114" s="33" t="inlineStr">
        <is>
          <t>Namie, Japan</t>
        </is>
      </c>
      <c r="T114" s="36">
        <f>DATE(MID(C114,7,4),MID(C114,4,2),MID(C114,1,2))+TIME(MID(C114,12,2),MID(C114,15,2),0)</f>
        <v/>
      </c>
      <c r="U114" s="33">
        <f>IF(ISNUMBER(VALUE(MID(A114,7,1))),"Distance-prefix pattern","Named-region pattern")</f>
        <v/>
      </c>
      <c r="V114" s="33">
        <f>LOWER(M114)</f>
        <v/>
      </c>
      <c r="W114" s="33">
        <f>IF(COUNTIFS($A$2:$A$1001,A114,$C$2:$C$1001,C114)&gt;1,"Duplicate","Unique")</f>
        <v/>
      </c>
      <c r="X114" s="33">
        <f>YEAR(T114)</f>
        <v/>
      </c>
      <c r="Y114" s="33">
        <f>IF(B114&lt;6.5,"&lt;6.5",IF(B114&lt;7,"6.5–6.9",IF(B114&lt;7.5,"7.0–7.4",IF(B114&lt;8,"7.5–7.9","8.0+"))))</f>
        <v/>
      </c>
      <c r="Z114" s="33">
        <f>IF(F114="","Blank",F114)</f>
        <v/>
      </c>
    </row>
    <row r="115" ht="15" customHeight="1" s="34">
      <c r="A115" s="33" t="inlineStr">
        <is>
          <t>M 7.7 - southeast of the Loyalty Islands</t>
        </is>
      </c>
      <c r="B115" s="33" t="n">
        <v>7.7</v>
      </c>
      <c r="C115" s="33" t="inlineStr">
        <is>
          <t>10/02/2021 13:19</t>
        </is>
      </c>
      <c r="D115" s="33" t="n">
        <v>9</v>
      </c>
      <c r="E115" s="33" t="n">
        <v>4</v>
      </c>
      <c r="F115" s="33" t="inlineStr">
        <is>
          <t>green</t>
        </is>
      </c>
      <c r="G115" s="33" t="n">
        <v>1</v>
      </c>
      <c r="H115" s="33" t="n">
        <v>918</v>
      </c>
      <c r="I115" s="33" t="inlineStr">
        <is>
          <t>us</t>
        </is>
      </c>
      <c r="J115" s="33" t="n">
        <v>0</v>
      </c>
      <c r="K115" s="33" t="n">
        <v>7.989</v>
      </c>
      <c r="L115" s="33" t="n">
        <v>15</v>
      </c>
      <c r="M115" s="33" t="inlineStr">
        <is>
          <t>mww</t>
        </is>
      </c>
      <c r="N115" s="33" t="n">
        <v>10</v>
      </c>
      <c r="O115" s="33" t="n">
        <v>-23.2787</v>
      </c>
      <c r="P115" s="33" t="n">
        <v>171.489</v>
      </c>
      <c r="Q115" s="33" t="inlineStr">
        <is>
          <t>the Loyalty Islands</t>
        </is>
      </c>
      <c r="T115" s="36">
        <f>DATE(MID(C115,7,4),MID(C115,4,2),MID(C115,1,2))+TIME(MID(C115,12,2),MID(C115,15,2),0)</f>
        <v/>
      </c>
      <c r="U115" s="33">
        <f>IF(ISNUMBER(VALUE(MID(A115,7,1))),"Distance-prefix pattern","Named-region pattern")</f>
        <v/>
      </c>
      <c r="V115" s="33">
        <f>LOWER(M115)</f>
        <v/>
      </c>
      <c r="W115" s="33">
        <f>IF(COUNTIFS($A$2:$A$1001,A115,$C$2:$C$1001,C115)&gt;1,"Duplicate","Unique")</f>
        <v/>
      </c>
      <c r="X115" s="33">
        <f>YEAR(T115)</f>
        <v/>
      </c>
      <c r="Y115" s="33">
        <f>IF(B115&lt;6.5,"&lt;6.5",IF(B115&lt;7,"6.5–6.9",IF(B115&lt;7.5,"7.0–7.4",IF(B115&lt;8,"7.5–7.9","8.0+"))))</f>
        <v/>
      </c>
      <c r="Z115" s="33">
        <f>IF(F115="","Blank",F115)</f>
        <v/>
      </c>
    </row>
    <row r="116" ht="15" customHeight="1" s="34">
      <c r="A116" s="33" t="inlineStr">
        <is>
          <t>M 6.9 - South Shetland Islands</t>
        </is>
      </c>
      <c r="B116" s="33" t="n">
        <v>6.9</v>
      </c>
      <c r="C116" s="33" t="inlineStr">
        <is>
          <t>23/01/2021 23:36</t>
        </is>
      </c>
      <c r="D116" s="33" t="n">
        <v>9</v>
      </c>
      <c r="E116" s="33" t="n">
        <v>5</v>
      </c>
      <c r="F116" s="33" t="inlineStr">
        <is>
          <t>green</t>
        </is>
      </c>
      <c r="G116" s="33" t="n">
        <v>1</v>
      </c>
      <c r="H116" s="33" t="n">
        <v>739</v>
      </c>
      <c r="I116" s="33" t="inlineStr">
        <is>
          <t>us</t>
        </is>
      </c>
      <c r="J116" s="33" t="n">
        <v>0</v>
      </c>
      <c r="K116" s="33" t="n">
        <v>1.55</v>
      </c>
      <c r="L116" s="33" t="n">
        <v>16</v>
      </c>
      <c r="M116" s="33" t="inlineStr">
        <is>
          <t>mww</t>
        </is>
      </c>
      <c r="N116" s="33" t="n">
        <v>15</v>
      </c>
      <c r="O116" s="33" t="n">
        <v>-61.8484</v>
      </c>
      <c r="P116" s="33" t="n">
        <v>-55.559</v>
      </c>
      <c r="Q116" s="33" t="inlineStr">
        <is>
          <t>South Shetland Islands</t>
        </is>
      </c>
      <c r="S116" s="33" t="inlineStr">
        <is>
          <t>Antarctica</t>
        </is>
      </c>
      <c r="T116" s="36">
        <f>DATE(MID(C116,7,4),MID(C116,4,2),MID(C116,1,2))+TIME(MID(C116,12,2),MID(C116,15,2),0)</f>
        <v/>
      </c>
      <c r="U116" s="33">
        <f>IF(ISNUMBER(VALUE(MID(A116,7,1))),"Distance-prefix pattern","Named-region pattern")</f>
        <v/>
      </c>
      <c r="V116" s="33">
        <f>LOWER(M116)</f>
        <v/>
      </c>
      <c r="W116" s="33">
        <f>IF(COUNTIFS($A$2:$A$1001,A116,$C$2:$C$1001,C116)&gt;1,"Duplicate","Unique")</f>
        <v/>
      </c>
      <c r="X116" s="33">
        <f>YEAR(T116)</f>
        <v/>
      </c>
      <c r="Y116" s="33">
        <f>IF(B116&lt;6.5,"&lt;6.5",IF(B116&lt;7,"6.5–6.9",IF(B116&lt;7.5,"7.0–7.4",IF(B116&lt;8,"7.5–7.9","8.0+"))))</f>
        <v/>
      </c>
      <c r="Z116" s="33">
        <f>IF(F116="","Blank",F116)</f>
        <v/>
      </c>
    </row>
    <row r="117" ht="15" customHeight="1" s="34">
      <c r="A117" s="33" t="inlineStr">
        <is>
          <t>M 7.0 - 211 km SE of Pondaguitan, Philippines</t>
        </is>
      </c>
      <c r="B117" s="33" t="n">
        <v>7</v>
      </c>
      <c r="C117" s="33" t="inlineStr">
        <is>
          <t>21/01/2021 12:23</t>
        </is>
      </c>
      <c r="D117" s="33" t="n">
        <v>7</v>
      </c>
      <c r="E117" s="33" t="n">
        <v>5</v>
      </c>
      <c r="F117" s="33" t="inlineStr">
        <is>
          <t>green</t>
        </is>
      </c>
      <c r="G117" s="33" t="n">
        <v>1</v>
      </c>
      <c r="H117" s="33" t="n">
        <v>802</v>
      </c>
      <c r="I117" s="33" t="inlineStr">
        <is>
          <t>us</t>
        </is>
      </c>
      <c r="J117" s="33" t="n">
        <v>0</v>
      </c>
      <c r="K117" s="33" t="n">
        <v>2.821</v>
      </c>
      <c r="L117" s="33" t="n">
        <v>15</v>
      </c>
      <c r="M117" s="33" t="inlineStr">
        <is>
          <t>mww</t>
        </is>
      </c>
      <c r="N117" s="33" t="n">
        <v>80</v>
      </c>
      <c r="O117" s="33" t="n">
        <v>5.0074</v>
      </c>
      <c r="P117" s="33" t="n">
        <v>127.517</v>
      </c>
      <c r="Q117" s="33" t="inlineStr">
        <is>
          <t>Pondaguitan, Philippines</t>
        </is>
      </c>
      <c r="T117" s="36">
        <f>DATE(MID(C117,7,4),MID(C117,4,2),MID(C117,1,2))+TIME(MID(C117,12,2),MID(C117,15,2),0)</f>
        <v/>
      </c>
      <c r="U117" s="33">
        <f>IF(ISNUMBER(VALUE(MID(A117,7,1))),"Distance-prefix pattern","Named-region pattern")</f>
        <v/>
      </c>
      <c r="V117" s="33">
        <f>LOWER(M117)</f>
        <v/>
      </c>
      <c r="W117" s="33">
        <f>IF(COUNTIFS($A$2:$A$1001,A117,$C$2:$C$1001,C117)&gt;1,"Duplicate","Unique")</f>
        <v/>
      </c>
      <c r="X117" s="33">
        <f>YEAR(T117)</f>
        <v/>
      </c>
      <c r="Y117" s="33">
        <f>IF(B117&lt;6.5,"&lt;6.5",IF(B117&lt;7,"6.5–6.9",IF(B117&lt;7.5,"7.0–7.4",IF(B117&lt;8,"7.5–7.9","8.0+"))))</f>
        <v/>
      </c>
      <c r="Z117" s="33">
        <f>IF(F117="","Blank",F117)</f>
        <v/>
      </c>
    </row>
    <row r="118" ht="15" customHeight="1" s="34">
      <c r="A118" s="33" t="inlineStr">
        <is>
          <t>M 6.7 - 29 km SSW of Turt, Mongolia</t>
        </is>
      </c>
      <c r="B118" s="33" t="n">
        <v>6.7</v>
      </c>
      <c r="C118" s="33" t="inlineStr">
        <is>
          <t>11/01/2021 21:32</t>
        </is>
      </c>
      <c r="D118" s="33" t="n">
        <v>8</v>
      </c>
      <c r="E118" s="33" t="n">
        <v>8</v>
      </c>
      <c r="F118" s="33" t="inlineStr">
        <is>
          <t>green</t>
        </is>
      </c>
      <c r="G118" s="33" t="n">
        <v>0</v>
      </c>
      <c r="H118" s="33" t="n">
        <v>776</v>
      </c>
      <c r="I118" s="33" t="inlineStr">
        <is>
          <t>us</t>
        </is>
      </c>
      <c r="J118" s="33" t="n">
        <v>0</v>
      </c>
      <c r="K118" s="33" t="n">
        <v>2.043</v>
      </c>
      <c r="L118" s="33" t="n">
        <v>22</v>
      </c>
      <c r="M118" s="33" t="inlineStr">
        <is>
          <t>mww</t>
        </is>
      </c>
      <c r="N118" s="33" t="n">
        <v>10</v>
      </c>
      <c r="O118" s="33" t="n">
        <v>51.2407</v>
      </c>
      <c r="P118" s="33" t="n">
        <v>100.443</v>
      </c>
      <c r="Q118" s="33" t="inlineStr">
        <is>
          <t>Turt, Mongolia</t>
        </is>
      </c>
      <c r="R118" s="33" t="inlineStr">
        <is>
          <t>Asia</t>
        </is>
      </c>
      <c r="S118" s="33" t="inlineStr">
        <is>
          <t>Mongolia</t>
        </is>
      </c>
      <c r="T118" s="36">
        <f>DATE(MID(C118,7,4),MID(C118,4,2),MID(C118,1,2))+TIME(MID(C118,12,2),MID(C118,15,2),0)</f>
        <v/>
      </c>
      <c r="U118" s="33">
        <f>IF(ISNUMBER(VALUE(MID(A118,7,1))),"Distance-prefix pattern","Named-region pattern")</f>
        <v/>
      </c>
      <c r="V118" s="33">
        <f>LOWER(M118)</f>
        <v/>
      </c>
      <c r="W118" s="33">
        <f>IF(COUNTIFS($A$2:$A$1001,A118,$C$2:$C$1001,C118)&gt;1,"Duplicate","Unique")</f>
        <v/>
      </c>
      <c r="X118" s="33">
        <f>YEAR(T118)</f>
        <v/>
      </c>
      <c r="Y118" s="33">
        <f>IF(B118&lt;6.5,"&lt;6.5",IF(B118&lt;7,"6.5–6.9",IF(B118&lt;7.5,"7.0–7.4",IF(B118&lt;8,"7.5–7.9","8.0+"))))</f>
        <v/>
      </c>
      <c r="Z118" s="33">
        <f>IF(F118="","Blank",F118)</f>
        <v/>
      </c>
    </row>
    <row r="119" ht="15" customHeight="1" s="34">
      <c r="A119" s="33" t="inlineStr">
        <is>
          <t>M 6.7 - 146 km WNW of Corral, Chile</t>
        </is>
      </c>
      <c r="B119" s="33" t="n">
        <v>6.7</v>
      </c>
      <c r="C119" s="33" t="inlineStr">
        <is>
          <t>27/12/2020 21:39</t>
        </is>
      </c>
      <c r="D119" s="33" t="n">
        <v>5</v>
      </c>
      <c r="E119" s="33" t="n">
        <v>5</v>
      </c>
      <c r="F119" s="33" t="inlineStr">
        <is>
          <t>green</t>
        </is>
      </c>
      <c r="G119" s="33" t="n">
        <v>1</v>
      </c>
      <c r="H119" s="33" t="n">
        <v>776</v>
      </c>
      <c r="I119" s="33" t="inlineStr">
        <is>
          <t>us</t>
        </is>
      </c>
      <c r="J119" s="33" t="n">
        <v>0</v>
      </c>
      <c r="K119" s="33" t="n">
        <v>1.319</v>
      </c>
      <c r="L119" s="33" t="n">
        <v>19</v>
      </c>
      <c r="M119" s="33" t="inlineStr">
        <is>
          <t>mww</t>
        </is>
      </c>
      <c r="N119" s="33" t="n">
        <v>10</v>
      </c>
      <c r="O119" s="33" t="n">
        <v>-39.3264</v>
      </c>
      <c r="P119" s="33" t="n">
        <v>-74.9067</v>
      </c>
      <c r="Q119" s="33" t="inlineStr">
        <is>
          <t>Corral, Chile</t>
        </is>
      </c>
      <c r="T119" s="36">
        <f>DATE(MID(C119,7,4),MID(C119,4,2),MID(C119,1,2))+TIME(MID(C119,12,2),MID(C119,15,2),0)</f>
        <v/>
      </c>
      <c r="U119" s="33">
        <f>IF(ISNUMBER(VALUE(MID(A119,7,1))),"Distance-prefix pattern","Named-region pattern")</f>
        <v/>
      </c>
      <c r="V119" s="33">
        <f>LOWER(M119)</f>
        <v/>
      </c>
      <c r="W119" s="33">
        <f>IF(COUNTIFS($A$2:$A$1001,A119,$C$2:$C$1001,C119)&gt;1,"Duplicate","Unique")</f>
        <v/>
      </c>
      <c r="X119" s="33">
        <f>YEAR(T119)</f>
        <v/>
      </c>
      <c r="Y119" s="33">
        <f>IF(B119&lt;6.5,"&lt;6.5",IF(B119&lt;7,"6.5–6.9",IF(B119&lt;7.5,"7.0–7.4",IF(B119&lt;8,"7.5–7.9","8.0+"))))</f>
        <v/>
      </c>
      <c r="Z119" s="33">
        <f>IF(F119="","Blank",F119)</f>
        <v/>
      </c>
    </row>
    <row r="120" ht="15" customHeight="1" s="34">
      <c r="A120" s="33" t="inlineStr">
        <is>
          <t>M 7.0 - 13 km NNE of Néon Karlovásion, Greece</t>
        </is>
      </c>
      <c r="B120" s="33" t="n">
        <v>7</v>
      </c>
      <c r="C120" s="33" t="inlineStr">
        <is>
          <t>30/10/2020 11:51</t>
        </is>
      </c>
      <c r="D120" s="33" t="n">
        <v>8</v>
      </c>
      <c r="E120" s="33" t="n">
        <v>7</v>
      </c>
      <c r="F120" s="33" t="inlineStr">
        <is>
          <t>orange</t>
        </is>
      </c>
      <c r="G120" s="33" t="n">
        <v>0</v>
      </c>
      <c r="H120" s="33" t="n">
        <v>1527</v>
      </c>
      <c r="I120" s="33" t="inlineStr">
        <is>
          <t>us</t>
        </is>
      </c>
      <c r="J120" s="33" t="n">
        <v>0</v>
      </c>
      <c r="K120" s="33" t="n">
        <v>1.518</v>
      </c>
      <c r="L120" s="33" t="n">
        <v>18</v>
      </c>
      <c r="M120" s="33" t="inlineStr">
        <is>
          <t>mww</t>
        </is>
      </c>
      <c r="N120" s="33" t="n">
        <v>21</v>
      </c>
      <c r="O120" s="33" t="n">
        <v>37.8973</v>
      </c>
      <c r="P120" s="33" t="n">
        <v>26.7953</v>
      </c>
      <c r="Q120" s="33" t="inlineStr">
        <is>
          <t>Néon Karlovásion, Greece</t>
        </is>
      </c>
      <c r="R120" s="33" t="inlineStr">
        <is>
          <t>Europe</t>
        </is>
      </c>
      <c r="S120" s="33" t="inlineStr">
        <is>
          <t>Greece</t>
        </is>
      </c>
      <c r="T120" s="36">
        <f>DATE(MID(C120,7,4),MID(C120,4,2),MID(C120,1,2))+TIME(MID(C120,12,2),MID(C120,15,2),0)</f>
        <v/>
      </c>
      <c r="U120" s="33">
        <f>IF(ISNUMBER(VALUE(MID(A120,7,1))),"Distance-prefix pattern","Named-region pattern")</f>
        <v/>
      </c>
      <c r="V120" s="33">
        <f>LOWER(M120)</f>
        <v/>
      </c>
      <c r="W120" s="33">
        <f>IF(COUNTIFS($A$2:$A$1001,A120,$C$2:$C$1001,C120)&gt;1,"Duplicate","Unique")</f>
        <v/>
      </c>
      <c r="X120" s="33">
        <f>YEAR(T120)</f>
        <v/>
      </c>
      <c r="Y120" s="33">
        <f>IF(B120&lt;6.5,"&lt;6.5",IF(B120&lt;7,"6.5–6.9",IF(B120&lt;7.5,"7.0–7.4",IF(B120&lt;8,"7.5–7.9","8.0+"))))</f>
        <v/>
      </c>
      <c r="Z120" s="33">
        <f>IF(F120="","Blank",F120)</f>
        <v/>
      </c>
    </row>
    <row r="121" ht="15" customHeight="1" s="34">
      <c r="A121" s="33" t="inlineStr">
        <is>
          <t>M 7.6 - 99 km SE of Sand Point, Alaska</t>
        </is>
      </c>
      <c r="B121" s="33" t="n">
        <v>7.6</v>
      </c>
      <c r="C121" s="33" t="inlineStr">
        <is>
          <t>19/10/2020 20:54</t>
        </is>
      </c>
      <c r="D121" s="33" t="n">
        <v>9</v>
      </c>
      <c r="E121" s="33" t="n">
        <v>7</v>
      </c>
      <c r="F121" s="33" t="inlineStr">
        <is>
          <t>yellow</t>
        </is>
      </c>
      <c r="G121" s="33" t="n">
        <v>1</v>
      </c>
      <c r="H121" s="33" t="n">
        <v>1165</v>
      </c>
      <c r="I121" s="33" t="inlineStr">
        <is>
          <t>us</t>
        </is>
      </c>
      <c r="J121" s="33" t="n">
        <v>0</v>
      </c>
      <c r="K121" s="33" t="n">
        <v>0.23</v>
      </c>
      <c r="L121" s="33" t="n">
        <v>36</v>
      </c>
      <c r="M121" s="33" t="inlineStr">
        <is>
          <t>mww</t>
        </is>
      </c>
      <c r="N121" s="33" t="n">
        <v>28.37</v>
      </c>
      <c r="O121" s="33" t="n">
        <v>54.662</v>
      </c>
      <c r="P121" s="33" t="n">
        <v>-159.675</v>
      </c>
      <c r="Q121" s="33" t="inlineStr">
        <is>
          <t>Sand Point, Alaska</t>
        </is>
      </c>
      <c r="R121" s="33" t="inlineStr">
        <is>
          <t>North America</t>
        </is>
      </c>
      <c r="S121" s="33" t="inlineStr">
        <is>
          <t>United States of America</t>
        </is>
      </c>
      <c r="T121" s="36">
        <f>DATE(MID(C121,7,4),MID(C121,4,2),MID(C121,1,2))+TIME(MID(C121,12,2),MID(C121,15,2),0)</f>
        <v/>
      </c>
      <c r="U121" s="33">
        <f>IF(ISNUMBER(VALUE(MID(A121,7,1))),"Distance-prefix pattern","Named-region pattern")</f>
        <v/>
      </c>
      <c r="V121" s="33">
        <f>LOWER(M121)</f>
        <v/>
      </c>
      <c r="W121" s="33">
        <f>IF(COUNTIFS($A$2:$A$1001,A121,$C$2:$C$1001,C121)&gt;1,"Duplicate","Unique")</f>
        <v/>
      </c>
      <c r="X121" s="33">
        <f>YEAR(T121)</f>
        <v/>
      </c>
      <c r="Y121" s="33">
        <f>IF(B121&lt;6.5,"&lt;6.5",IF(B121&lt;7,"6.5–6.9",IF(B121&lt;7.5,"7.0–7.4",IF(B121&lt;8,"7.5–7.9","8.0+"))))</f>
        <v/>
      </c>
      <c r="Z121" s="33">
        <f>IF(F121="","Blank",F121)</f>
        <v/>
      </c>
    </row>
    <row r="122" ht="15" customHeight="1" s="34">
      <c r="A122" s="33" t="inlineStr">
        <is>
          <t>M 6.9 - central Mid-Atlantic Ridge</t>
        </is>
      </c>
      <c r="B122" s="33" t="n">
        <v>6.9</v>
      </c>
      <c r="C122" s="33" t="inlineStr">
        <is>
          <t>18/09/2020 21:43</t>
        </is>
      </c>
      <c r="D122" s="33" t="n">
        <v>0</v>
      </c>
      <c r="E122" s="33" t="n">
        <v>3</v>
      </c>
      <c r="F122" s="33" t="inlineStr">
        <is>
          <t>green</t>
        </is>
      </c>
      <c r="G122" s="33" t="n">
        <v>1</v>
      </c>
      <c r="H122" s="33" t="n">
        <v>732</v>
      </c>
      <c r="I122" s="33" t="inlineStr">
        <is>
          <t>us</t>
        </is>
      </c>
      <c r="J122" s="33" t="n">
        <v>0</v>
      </c>
      <c r="K122" s="33" t="n">
        <v>11.255</v>
      </c>
      <c r="L122" s="33" t="n">
        <v>16</v>
      </c>
      <c r="M122" s="33" t="inlineStr">
        <is>
          <t>mww</t>
        </is>
      </c>
      <c r="N122" s="33" t="n">
        <v>10</v>
      </c>
      <c r="O122" s="33" t="n">
        <v>0.9604</v>
      </c>
      <c r="P122" s="33" t="n">
        <v>-26.8332</v>
      </c>
      <c r="Q122" s="33" t="inlineStr">
        <is>
          <t>central Mid-Atlantic Ridge</t>
        </is>
      </c>
      <c r="T122" s="36">
        <f>DATE(MID(C122,7,4),MID(C122,4,2),MID(C122,1,2))+TIME(MID(C122,12,2),MID(C122,15,2),0)</f>
        <v/>
      </c>
      <c r="U122" s="33">
        <f>IF(ISNUMBER(VALUE(MID(A122,7,1))),"Distance-prefix pattern","Named-region pattern")</f>
        <v/>
      </c>
      <c r="V122" s="33">
        <f>LOWER(M122)</f>
        <v/>
      </c>
      <c r="W122" s="33">
        <f>IF(COUNTIFS($A$2:$A$1001,A122,$C$2:$C$1001,C122)&gt;1,"Duplicate","Unique")</f>
        <v/>
      </c>
      <c r="X122" s="33">
        <f>YEAR(T122)</f>
        <v/>
      </c>
      <c r="Y122" s="33">
        <f>IF(B122&lt;6.5,"&lt;6.5",IF(B122&lt;7,"6.5–6.9",IF(B122&lt;7.5,"7.0–7.4",IF(B122&lt;8,"7.5–7.9","8.0+"))))</f>
        <v/>
      </c>
      <c r="Z122" s="33">
        <f>IF(F122="","Blank",F122)</f>
        <v/>
      </c>
    </row>
    <row r="123" ht="15" customHeight="1" s="34">
      <c r="A123" s="33" t="inlineStr">
        <is>
          <t>M 6.5 - 94 km NW of Vallenar, Chile</t>
        </is>
      </c>
      <c r="B123" s="33" t="n">
        <v>6.5</v>
      </c>
      <c r="C123" s="33" t="inlineStr">
        <is>
          <t>01/09/2020 21:09</t>
        </is>
      </c>
      <c r="D123" s="33" t="n">
        <v>6</v>
      </c>
      <c r="E123" s="33" t="n">
        <v>6</v>
      </c>
      <c r="F123" s="33" t="inlineStr">
        <is>
          <t>green</t>
        </is>
      </c>
      <c r="G123" s="33" t="n">
        <v>0</v>
      </c>
      <c r="H123" s="33" t="n">
        <v>674</v>
      </c>
      <c r="I123" s="33" t="inlineStr">
        <is>
          <t>us</t>
        </is>
      </c>
      <c r="J123" s="33" t="n">
        <v>0</v>
      </c>
      <c r="K123" s="33" t="n">
        <v>0.388</v>
      </c>
      <c r="L123" s="33" t="n">
        <v>49</v>
      </c>
      <c r="M123" s="33" t="inlineStr">
        <is>
          <t>mww</t>
        </is>
      </c>
      <c r="N123" s="33" t="n">
        <v>16</v>
      </c>
      <c r="O123" s="33" t="n">
        <v>-27.9285</v>
      </c>
      <c r="P123" s="33" t="n">
        <v>-71.3937</v>
      </c>
      <c r="Q123" s="33" t="inlineStr">
        <is>
          <t>Vallenar, Chile</t>
        </is>
      </c>
      <c r="T123" s="36">
        <f>DATE(MID(C123,7,4),MID(C123,4,2),MID(C123,1,2))+TIME(MID(C123,12,2),MID(C123,15,2),0)</f>
        <v/>
      </c>
      <c r="U123" s="33">
        <f>IF(ISNUMBER(VALUE(MID(A123,7,1))),"Distance-prefix pattern","Named-region pattern")</f>
        <v/>
      </c>
      <c r="V123" s="33">
        <f>LOWER(M123)</f>
        <v/>
      </c>
      <c r="W123" s="33">
        <f>IF(COUNTIFS($A$2:$A$1001,A123,$C$2:$C$1001,C123)&gt;1,"Duplicate","Unique")</f>
        <v/>
      </c>
      <c r="X123" s="33">
        <f>YEAR(T123)</f>
        <v/>
      </c>
      <c r="Y123" s="33">
        <f>IF(B123&lt;6.5,"&lt;6.5",IF(B123&lt;7,"6.5–6.9",IF(B123&lt;7.5,"7.0–7.4",IF(B123&lt;8,"7.5–7.9","8.0+"))))</f>
        <v/>
      </c>
      <c r="Z123" s="33">
        <f>IF(F123="","Blank",F123)</f>
        <v/>
      </c>
    </row>
    <row r="124" ht="15" customHeight="1" s="34">
      <c r="A124" s="33" t="inlineStr">
        <is>
          <t>M 6.8 - 86 km NW of Vallenar, Chile</t>
        </is>
      </c>
      <c r="B124" s="33" t="n">
        <v>6.8</v>
      </c>
      <c r="C124" s="33" t="inlineStr">
        <is>
          <t>01/09/2020 04:09</t>
        </is>
      </c>
      <c r="D124" s="33" t="n">
        <v>6</v>
      </c>
      <c r="E124" s="33" t="n">
        <v>7</v>
      </c>
      <c r="F124" s="33" t="inlineStr">
        <is>
          <t>green</t>
        </is>
      </c>
      <c r="G124" s="33" t="n">
        <v>1</v>
      </c>
      <c r="H124" s="33" t="n">
        <v>824</v>
      </c>
      <c r="I124" s="33" t="inlineStr">
        <is>
          <t>us</t>
        </is>
      </c>
      <c r="J124" s="33" t="n">
        <v>0</v>
      </c>
      <c r="K124" s="33" t="n">
        <v>0.312</v>
      </c>
      <c r="L124" s="33" t="n">
        <v>69</v>
      </c>
      <c r="M124" s="33" t="inlineStr">
        <is>
          <t>mww</t>
        </is>
      </c>
      <c r="N124" s="33" t="n">
        <v>21</v>
      </c>
      <c r="O124" s="33" t="n">
        <v>-28.013</v>
      </c>
      <c r="P124" s="33" t="n">
        <v>-71.19580000000001</v>
      </c>
      <c r="Q124" s="33" t="inlineStr">
        <is>
          <t>Vallenar, Chile</t>
        </is>
      </c>
      <c r="S124" s="33" t="inlineStr">
        <is>
          <t>Chile</t>
        </is>
      </c>
      <c r="T124" s="36">
        <f>DATE(MID(C124,7,4),MID(C124,4,2),MID(C124,1,2))+TIME(MID(C124,12,2),MID(C124,15,2),0)</f>
        <v/>
      </c>
      <c r="U124" s="33">
        <f>IF(ISNUMBER(VALUE(MID(A124,7,1))),"Distance-prefix pattern","Named-region pattern")</f>
        <v/>
      </c>
      <c r="V124" s="33">
        <f>LOWER(M124)</f>
        <v/>
      </c>
      <c r="W124" s="33">
        <f>IF(COUNTIFS($A$2:$A$1001,A124,$C$2:$C$1001,C124)&gt;1,"Duplicate","Unique")</f>
        <v/>
      </c>
      <c r="X124" s="33">
        <f>YEAR(T124)</f>
        <v/>
      </c>
      <c r="Y124" s="33">
        <f>IF(B124&lt;6.5,"&lt;6.5",IF(B124&lt;7,"6.5–6.9",IF(B124&lt;7.5,"7.0–7.4",IF(B124&lt;8,"7.5–7.9","8.0+"))))</f>
        <v/>
      </c>
      <c r="Z124" s="33">
        <f>IF(F124="","Blank",F124)</f>
        <v/>
      </c>
    </row>
    <row r="125" ht="15" customHeight="1" s="34">
      <c r="A125" s="33" t="inlineStr">
        <is>
          <t>M 6.5 - central Mid-Atlantic Ridge</t>
        </is>
      </c>
      <c r="B125" s="33" t="n">
        <v>6.5</v>
      </c>
      <c r="C125" s="33" t="inlineStr">
        <is>
          <t>30/08/2020 21:20</t>
        </is>
      </c>
      <c r="D125" s="33" t="n">
        <v>4</v>
      </c>
      <c r="E125" s="33" t="n">
        <v>5</v>
      </c>
      <c r="F125" s="33" t="inlineStr">
        <is>
          <t>green</t>
        </is>
      </c>
      <c r="G125" s="33" t="n">
        <v>0</v>
      </c>
      <c r="H125" s="33" t="n">
        <v>651</v>
      </c>
      <c r="I125" s="33" t="inlineStr">
        <is>
          <t>us</t>
        </is>
      </c>
      <c r="J125" s="33" t="n">
        <v>0</v>
      </c>
      <c r="K125" s="33" t="n">
        <v>15.394</v>
      </c>
      <c r="L125" s="33" t="n">
        <v>31</v>
      </c>
      <c r="M125" s="33" t="inlineStr">
        <is>
          <t>mww</t>
        </is>
      </c>
      <c r="N125" s="33" t="n">
        <v>10</v>
      </c>
      <c r="O125" s="33" t="n">
        <v>0.8696</v>
      </c>
      <c r="P125" s="33" t="n">
        <v>-29.7046</v>
      </c>
      <c r="Q125" s="33" t="inlineStr">
        <is>
          <t>central Mid-Atlantic Ridge</t>
        </is>
      </c>
      <c r="T125" s="36">
        <f>DATE(MID(C125,7,4),MID(C125,4,2),MID(C125,1,2))+TIME(MID(C125,12,2),MID(C125,15,2),0)</f>
        <v/>
      </c>
      <c r="U125" s="33">
        <f>IF(ISNUMBER(VALUE(MID(A125,7,1))),"Distance-prefix pattern","Named-region pattern")</f>
        <v/>
      </c>
      <c r="V125" s="33">
        <f>LOWER(M125)</f>
        <v/>
      </c>
      <c r="W125" s="33">
        <f>IF(COUNTIFS($A$2:$A$1001,A125,$C$2:$C$1001,C125)&gt;1,"Duplicate","Unique")</f>
        <v/>
      </c>
      <c r="X125" s="33">
        <f>YEAR(T125)</f>
        <v/>
      </c>
      <c r="Y125" s="33">
        <f>IF(B125&lt;6.5,"&lt;6.5",IF(B125&lt;7,"6.5–6.9",IF(B125&lt;7.5,"7.0–7.4",IF(B125&lt;8,"7.5–7.9","8.0+"))))</f>
        <v/>
      </c>
      <c r="Z125" s="33">
        <f>IF(F125="","Blank",F125)</f>
        <v/>
      </c>
    </row>
    <row r="126" ht="15" customHeight="1" s="34">
      <c r="A126" s="33" t="inlineStr">
        <is>
          <t>M 6.9 - 222 km SSE of Katabu, Indonesia</t>
        </is>
      </c>
      <c r="B126" s="33" t="n">
        <v>6.9</v>
      </c>
      <c r="C126" s="33" t="inlineStr">
        <is>
          <t>21/08/2020 04:09</t>
        </is>
      </c>
      <c r="D126" s="33" t="n">
        <v>4</v>
      </c>
      <c r="E126" s="33" t="n">
        <v>3</v>
      </c>
      <c r="F126" s="33" t="inlineStr">
        <is>
          <t>green</t>
        </is>
      </c>
      <c r="G126" s="33" t="n">
        <v>0</v>
      </c>
      <c r="H126" s="33" t="n">
        <v>749</v>
      </c>
      <c r="I126" s="33" t="inlineStr">
        <is>
          <t>us</t>
        </is>
      </c>
      <c r="J126" s="33" t="n">
        <v>0</v>
      </c>
      <c r="K126" s="33" t="n">
        <v>2.267</v>
      </c>
      <c r="L126" s="33" t="n">
        <v>20</v>
      </c>
      <c r="M126" s="33" t="inlineStr">
        <is>
          <t>mww</t>
        </is>
      </c>
      <c r="N126" s="33" t="n">
        <v>624</v>
      </c>
      <c r="O126" s="33" t="n">
        <v>-6.6704</v>
      </c>
      <c r="P126" s="33" t="n">
        <v>123.493</v>
      </c>
      <c r="Q126" s="33" t="inlineStr">
        <is>
          <t>Katabu, Indonesia</t>
        </is>
      </c>
      <c r="S126" s="33" t="inlineStr">
        <is>
          <t>Indonesia</t>
        </is>
      </c>
      <c r="T126" s="36">
        <f>DATE(MID(C126,7,4),MID(C126,4,2),MID(C126,1,2))+TIME(MID(C126,12,2),MID(C126,15,2),0)</f>
        <v/>
      </c>
      <c r="U126" s="33">
        <f>IF(ISNUMBER(VALUE(MID(A126,7,1))),"Distance-prefix pattern","Named-region pattern")</f>
        <v/>
      </c>
      <c r="V126" s="33">
        <f>LOWER(M126)</f>
        <v/>
      </c>
      <c r="W126" s="33">
        <f>IF(COUNTIFS($A$2:$A$1001,A126,$C$2:$C$1001,C126)&gt;1,"Duplicate","Unique")</f>
        <v/>
      </c>
      <c r="X126" s="33">
        <f>YEAR(T126)</f>
        <v/>
      </c>
      <c r="Y126" s="33">
        <f>IF(B126&lt;6.5,"&lt;6.5",IF(B126&lt;7,"6.5–6.9",IF(B126&lt;7.5,"7.0–7.4",IF(B126&lt;8,"7.5–7.9","8.0+"))))</f>
        <v/>
      </c>
      <c r="Z126" s="33">
        <f>IF(F126="","Blank",F126)</f>
        <v/>
      </c>
    </row>
    <row r="127" ht="15" customHeight="1" s="34">
      <c r="A127" s="33" t="inlineStr">
        <is>
          <t>M 6.9 - 122 km WSW of Bengkulu, Indonesia</t>
        </is>
      </c>
      <c r="B127" s="33" t="n">
        <v>6.9</v>
      </c>
      <c r="C127" s="33" t="inlineStr">
        <is>
          <t>18/08/2020 22:29</t>
        </is>
      </c>
      <c r="D127" s="33" t="n">
        <v>4</v>
      </c>
      <c r="E127" s="33" t="n">
        <v>4</v>
      </c>
      <c r="F127" s="33" t="inlineStr">
        <is>
          <t>green</t>
        </is>
      </c>
      <c r="G127" s="33" t="n">
        <v>0</v>
      </c>
      <c r="H127" s="33" t="n">
        <v>735</v>
      </c>
      <c r="I127" s="33" t="inlineStr">
        <is>
          <t>us</t>
        </is>
      </c>
      <c r="J127" s="33" t="n">
        <v>0</v>
      </c>
      <c r="K127" s="33" t="n">
        <v>1.716</v>
      </c>
      <c r="L127" s="33" t="n">
        <v>25</v>
      </c>
      <c r="M127" s="33" t="inlineStr">
        <is>
          <t>mww</t>
        </is>
      </c>
      <c r="N127" s="33" t="n">
        <v>26</v>
      </c>
      <c r="O127" s="33" t="n">
        <v>-4.2791</v>
      </c>
      <c r="P127" s="33" t="n">
        <v>101.215</v>
      </c>
      <c r="Q127" s="33" t="inlineStr">
        <is>
          <t>Bengkulu, Indonesia</t>
        </is>
      </c>
      <c r="S127" s="33" t="inlineStr">
        <is>
          <t>Indonesia</t>
        </is>
      </c>
      <c r="T127" s="36">
        <f>DATE(MID(C127,7,4),MID(C127,4,2),MID(C127,1,2))+TIME(MID(C127,12,2),MID(C127,15,2),0)</f>
        <v/>
      </c>
      <c r="U127" s="33">
        <f>IF(ISNUMBER(VALUE(MID(A127,7,1))),"Distance-prefix pattern","Named-region pattern")</f>
        <v/>
      </c>
      <c r="V127" s="33">
        <f>LOWER(M127)</f>
        <v/>
      </c>
      <c r="W127" s="33">
        <f>IF(COUNTIFS($A$2:$A$1001,A127,$C$2:$C$1001,C127)&gt;1,"Duplicate","Unique")</f>
        <v/>
      </c>
      <c r="X127" s="33">
        <f>YEAR(T127)</f>
        <v/>
      </c>
      <c r="Y127" s="33">
        <f>IF(B127&lt;6.5,"&lt;6.5",IF(B127&lt;7,"6.5–6.9",IF(B127&lt;7.5,"7.0–7.4",IF(B127&lt;8,"7.5–7.9","8.0+"))))</f>
        <v/>
      </c>
      <c r="Z127" s="33">
        <f>IF(F127="","Blank",F127)</f>
        <v/>
      </c>
    </row>
    <row r="128" ht="15" customHeight="1" s="34">
      <c r="A128" s="33" t="inlineStr">
        <is>
          <t>M 6.8 - 138 km WSW of Bengkulu, Indonesia</t>
        </is>
      </c>
      <c r="B128" s="33" t="n">
        <v>6.8</v>
      </c>
      <c r="C128" s="33" t="inlineStr">
        <is>
          <t>18/08/2020 22:23</t>
        </is>
      </c>
      <c r="D128" s="33" t="n">
        <v>5</v>
      </c>
      <c r="E128" s="33" t="n">
        <v>4</v>
      </c>
      <c r="F128" s="33" t="inlineStr">
        <is>
          <t>green</t>
        </is>
      </c>
      <c r="G128" s="33" t="n">
        <v>0</v>
      </c>
      <c r="H128" s="33" t="n">
        <v>716</v>
      </c>
      <c r="I128" s="33" t="inlineStr">
        <is>
          <t>us</t>
        </is>
      </c>
      <c r="J128" s="33" t="n">
        <v>0</v>
      </c>
      <c r="K128" s="33" t="n">
        <v>1.816</v>
      </c>
      <c r="L128" s="33" t="n">
        <v>34</v>
      </c>
      <c r="M128" s="33" t="inlineStr">
        <is>
          <t>mww</t>
        </is>
      </c>
      <c r="N128" s="33" t="n">
        <v>22</v>
      </c>
      <c r="O128" s="33" t="n">
        <v>-4.3724</v>
      </c>
      <c r="P128" s="33" t="n">
        <v>101.095</v>
      </c>
      <c r="Q128" s="33" t="inlineStr">
        <is>
          <t>Bengkulu, Indonesia</t>
        </is>
      </c>
      <c r="S128" s="33" t="inlineStr">
        <is>
          <t>Indonesia</t>
        </is>
      </c>
      <c r="T128" s="36">
        <f>DATE(MID(C128,7,4),MID(C128,4,2),MID(C128,1,2))+TIME(MID(C128,12,2),MID(C128,15,2),0)</f>
        <v/>
      </c>
      <c r="U128" s="33">
        <f>IF(ISNUMBER(VALUE(MID(A128,7,1))),"Distance-prefix pattern","Named-region pattern")</f>
        <v/>
      </c>
      <c r="V128" s="33">
        <f>LOWER(M128)</f>
        <v/>
      </c>
      <c r="W128" s="33">
        <f>IF(COUNTIFS($A$2:$A$1001,A128,$C$2:$C$1001,C128)&gt;1,"Duplicate","Unique")</f>
        <v/>
      </c>
      <c r="X128" s="33">
        <f>YEAR(T128)</f>
        <v/>
      </c>
      <c r="Y128" s="33">
        <f>IF(B128&lt;6.5,"&lt;6.5",IF(B128&lt;7,"6.5–6.9",IF(B128&lt;7.5,"7.0–7.4",IF(B128&lt;8,"7.5–7.9","8.0+"))))</f>
        <v/>
      </c>
      <c r="Z128" s="33">
        <f>IF(F128="","Blank",F128)</f>
        <v/>
      </c>
    </row>
    <row r="129" ht="15" customHeight="1" s="34">
      <c r="A129" s="33" t="inlineStr">
        <is>
          <t>M 6.6 - 13 km E of San Pedro, Philippines</t>
        </is>
      </c>
      <c r="B129" s="33" t="n">
        <v>6.6</v>
      </c>
      <c r="C129" s="33" t="inlineStr">
        <is>
          <t>18/08/2020 00:03</t>
        </is>
      </c>
      <c r="D129" s="33" t="n">
        <v>9</v>
      </c>
      <c r="E129" s="33" t="n">
        <v>8</v>
      </c>
      <c r="F129" s="33" t="inlineStr">
        <is>
          <t>yellow</t>
        </is>
      </c>
      <c r="G129" s="33" t="n">
        <v>1</v>
      </c>
      <c r="H129" s="33" t="n">
        <v>784</v>
      </c>
      <c r="I129" s="33" t="inlineStr">
        <is>
          <t>us</t>
        </is>
      </c>
      <c r="J129" s="33" t="n">
        <v>0</v>
      </c>
      <c r="K129" s="33" t="n">
        <v>5.128</v>
      </c>
      <c r="L129" s="33" t="n">
        <v>14</v>
      </c>
      <c r="M129" s="33" t="inlineStr">
        <is>
          <t>mww</t>
        </is>
      </c>
      <c r="N129" s="33" t="n">
        <v>10</v>
      </c>
      <c r="O129" s="33" t="n">
        <v>12.0065</v>
      </c>
      <c r="P129" s="33" t="n">
        <v>124.13</v>
      </c>
      <c r="Q129" s="33" t="inlineStr">
        <is>
          <t>San Pedro, Philippines</t>
        </is>
      </c>
      <c r="S129" s="33" t="inlineStr">
        <is>
          <t>Philippines</t>
        </is>
      </c>
      <c r="T129" s="36">
        <f>DATE(MID(C129,7,4),MID(C129,4,2),MID(C129,1,2))+TIME(MID(C129,12,2),MID(C129,15,2),0)</f>
        <v/>
      </c>
      <c r="U129" s="33">
        <f>IF(ISNUMBER(VALUE(MID(A129,7,1))),"Distance-prefix pattern","Named-region pattern")</f>
        <v/>
      </c>
      <c r="V129" s="33">
        <f>LOWER(M129)</f>
        <v/>
      </c>
      <c r="W129" s="33">
        <f>IF(COUNTIFS($A$2:$A$1001,A129,$C$2:$C$1001,C129)&gt;1,"Duplicate","Unique")</f>
        <v/>
      </c>
      <c r="X129" s="33">
        <f>YEAR(T129)</f>
        <v/>
      </c>
      <c r="Y129" s="33">
        <f>IF(B129&lt;6.5,"&lt;6.5",IF(B129&lt;7,"6.5–6.9",IF(B129&lt;7.5,"7.0–7.4",IF(B129&lt;8,"7.5–7.9","8.0+"))))</f>
        <v/>
      </c>
      <c r="Z129" s="33">
        <f>IF(F129="","Blank",F129)</f>
        <v/>
      </c>
    </row>
    <row r="130" ht="15" customHeight="1" s="34">
      <c r="A130" s="33" t="inlineStr">
        <is>
          <t>M 7.8 - 99 km SSE of Perryville, Alaska</t>
        </is>
      </c>
      <c r="B130" s="33" t="n">
        <v>7.8</v>
      </c>
      <c r="C130" s="33" t="inlineStr">
        <is>
          <t>22/07/2020 06:12</t>
        </is>
      </c>
      <c r="D130" s="33" t="n">
        <v>9</v>
      </c>
      <c r="E130" s="33" t="n">
        <v>7</v>
      </c>
      <c r="F130" s="33" t="inlineStr">
        <is>
          <t>green</t>
        </is>
      </c>
      <c r="G130" s="33" t="n">
        <v>1</v>
      </c>
      <c r="H130" s="33" t="n">
        <v>1111</v>
      </c>
      <c r="I130" s="33" t="inlineStr">
        <is>
          <t>us</t>
        </is>
      </c>
      <c r="J130" s="33" t="n">
        <v>0</v>
      </c>
      <c r="K130" s="33" t="n">
        <v>0.621</v>
      </c>
      <c r="L130" s="33" t="n">
        <v>60</v>
      </c>
      <c r="M130" s="33" t="inlineStr">
        <is>
          <t>mww</t>
        </is>
      </c>
      <c r="N130" s="33" t="n">
        <v>28</v>
      </c>
      <c r="O130" s="33" t="n">
        <v>55.1079</v>
      </c>
      <c r="P130" s="33" t="n">
        <v>-158.477</v>
      </c>
      <c r="Q130" s="33" t="inlineStr">
        <is>
          <t>Perryville, Alaska</t>
        </is>
      </c>
      <c r="T130" s="36">
        <f>DATE(MID(C130,7,4),MID(C130,4,2),MID(C130,1,2))+TIME(MID(C130,12,2),MID(C130,15,2),0)</f>
        <v/>
      </c>
      <c r="U130" s="33">
        <f>IF(ISNUMBER(VALUE(MID(A130,7,1))),"Distance-prefix pattern","Named-region pattern")</f>
        <v/>
      </c>
      <c r="V130" s="33">
        <f>LOWER(M130)</f>
        <v/>
      </c>
      <c r="W130" s="33">
        <f>IF(COUNTIFS($A$2:$A$1001,A130,$C$2:$C$1001,C130)&gt;1,"Duplicate","Unique")</f>
        <v/>
      </c>
      <c r="X130" s="33">
        <f>YEAR(T130)</f>
        <v/>
      </c>
      <c r="Y130" s="33">
        <f>IF(B130&lt;6.5,"&lt;6.5",IF(B130&lt;7,"6.5–6.9",IF(B130&lt;7.5,"7.0–7.4",IF(B130&lt;8,"7.5–7.9","8.0+"))))</f>
        <v/>
      </c>
      <c r="Z130" s="33">
        <f>IF(F130="","Blank",F130)</f>
        <v/>
      </c>
    </row>
    <row r="131" ht="15" customHeight="1" s="34">
      <c r="A131" s="33" t="inlineStr">
        <is>
          <t>M 7.0 - 114 km NNW of Popondetta, Papua New Guinea</t>
        </is>
      </c>
      <c r="B131" s="33" t="n">
        <v>7</v>
      </c>
      <c r="C131" s="33" t="inlineStr">
        <is>
          <t>17/07/2020 02:50</t>
        </is>
      </c>
      <c r="D131" s="33" t="n">
        <v>6</v>
      </c>
      <c r="E131" s="33" t="n">
        <v>7</v>
      </c>
      <c r="F131" s="33" t="inlineStr">
        <is>
          <t>green</t>
        </is>
      </c>
      <c r="G131" s="33" t="n">
        <v>1</v>
      </c>
      <c r="H131" s="33" t="n">
        <v>820</v>
      </c>
      <c r="I131" s="33" t="inlineStr">
        <is>
          <t>us</t>
        </is>
      </c>
      <c r="J131" s="33" t="n">
        <v>0</v>
      </c>
      <c r="K131" s="33" t="n">
        <v>1.671</v>
      </c>
      <c r="L131" s="33" t="n">
        <v>18</v>
      </c>
      <c r="M131" s="33" t="inlineStr">
        <is>
          <t>mww</t>
        </is>
      </c>
      <c r="N131" s="33" t="n">
        <v>73</v>
      </c>
      <c r="O131" s="33" t="n">
        <v>-7.847</v>
      </c>
      <c r="P131" s="33" t="n">
        <v>147.755</v>
      </c>
      <c r="Q131" s="33" t="inlineStr">
        <is>
          <t>Popondetta, Papua New Guinea</t>
        </is>
      </c>
      <c r="S131" s="33" t="inlineStr">
        <is>
          <t>Papua New Guinea</t>
        </is>
      </c>
      <c r="T131" s="36">
        <f>DATE(MID(C131,7,4),MID(C131,4,2),MID(C131,1,2))+TIME(MID(C131,12,2),MID(C131,15,2),0)</f>
        <v/>
      </c>
      <c r="U131" s="33">
        <f>IF(ISNUMBER(VALUE(MID(A131,7,1))),"Distance-prefix pattern","Named-region pattern")</f>
        <v/>
      </c>
      <c r="V131" s="33">
        <f>LOWER(M131)</f>
        <v/>
      </c>
      <c r="W131" s="33">
        <f>IF(COUNTIFS($A$2:$A$1001,A131,$C$2:$C$1001,C131)&gt;1,"Duplicate","Unique")</f>
        <v/>
      </c>
      <c r="X131" s="33">
        <f>YEAR(T131)</f>
        <v/>
      </c>
      <c r="Y131" s="33">
        <f>IF(B131&lt;6.5,"&lt;6.5",IF(B131&lt;7,"6.5–6.9",IF(B131&lt;7.5,"7.0–7.4",IF(B131&lt;8,"7.5–7.9","8.0+"))))</f>
        <v/>
      </c>
      <c r="Z131" s="33">
        <f>IF(F131="","Blank",F131)</f>
        <v/>
      </c>
    </row>
    <row r="132" ht="15" customHeight="1" s="34">
      <c r="A132" s="33" t="inlineStr">
        <is>
          <t>M 6.6 - 97 km N of Batang, Indonesia</t>
        </is>
      </c>
      <c r="B132" s="33" t="n">
        <v>6.6</v>
      </c>
      <c r="C132" s="33" t="inlineStr">
        <is>
          <t>06/07/2020 22:54</t>
        </is>
      </c>
      <c r="D132" s="33" t="n">
        <v>4</v>
      </c>
      <c r="E132" s="33" t="n">
        <v>2</v>
      </c>
      <c r="F132" s="33" t="inlineStr">
        <is>
          <t>green</t>
        </is>
      </c>
      <c r="G132" s="33" t="n">
        <v>0</v>
      </c>
      <c r="H132" s="33" t="n">
        <v>684</v>
      </c>
      <c r="I132" s="33" t="inlineStr">
        <is>
          <t>us</t>
        </is>
      </c>
      <c r="J132" s="33" t="n">
        <v>0</v>
      </c>
      <c r="K132" s="33" t="n">
        <v>1.458</v>
      </c>
      <c r="L132" s="33" t="n">
        <v>14</v>
      </c>
      <c r="M132" s="33" t="inlineStr">
        <is>
          <t>mww</t>
        </is>
      </c>
      <c r="N132" s="33" t="n">
        <v>533.76</v>
      </c>
      <c r="O132" s="33" t="n">
        <v>-5.6368</v>
      </c>
      <c r="P132" s="33" t="n">
        <v>110.678</v>
      </c>
      <c r="Q132" s="33" t="inlineStr">
        <is>
          <t>Batang, Indonesia</t>
        </is>
      </c>
      <c r="S132" s="33" t="inlineStr">
        <is>
          <t>Indonesia</t>
        </is>
      </c>
      <c r="T132" s="36">
        <f>DATE(MID(C132,7,4),MID(C132,4,2),MID(C132,1,2))+TIME(MID(C132,12,2),MID(C132,15,2),0)</f>
        <v/>
      </c>
      <c r="U132" s="33">
        <f>IF(ISNUMBER(VALUE(MID(A132,7,1))),"Distance-prefix pattern","Named-region pattern")</f>
        <v/>
      </c>
      <c r="V132" s="33">
        <f>LOWER(M132)</f>
        <v/>
      </c>
      <c r="W132" s="33">
        <f>IF(COUNTIFS($A$2:$A$1001,A132,$C$2:$C$1001,C132)&gt;1,"Duplicate","Unique")</f>
        <v/>
      </c>
      <c r="X132" s="33">
        <f>YEAR(T132)</f>
        <v/>
      </c>
      <c r="Y132" s="33">
        <f>IF(B132&lt;6.5,"&lt;6.5",IF(B132&lt;7,"6.5–6.9",IF(B132&lt;7.5,"7.0–7.4",IF(B132&lt;8,"7.5–7.9","8.0+"))))</f>
        <v/>
      </c>
      <c r="Z132" s="33">
        <f>IF(F132="","Blank",F132)</f>
        <v/>
      </c>
    </row>
    <row r="133" ht="15" customHeight="1" s="34">
      <c r="A133" s="33" t="inlineStr">
        <is>
          <t>M 7.4 - 9 km SE of Santa María Xadani, Mexico</t>
        </is>
      </c>
      <c r="B133" s="33" t="n">
        <v>7.4</v>
      </c>
      <c r="C133" s="33" t="inlineStr">
        <is>
          <t>23/06/2020 15:29</t>
        </is>
      </c>
      <c r="D133" s="33" t="n">
        <v>8</v>
      </c>
      <c r="E133" s="33" t="n">
        <v>8</v>
      </c>
      <c r="F133" s="33" t="inlineStr">
        <is>
          <t>orange</t>
        </is>
      </c>
      <c r="G133" s="33" t="n">
        <v>1</v>
      </c>
      <c r="H133" s="33" t="n">
        <v>1494</v>
      </c>
      <c r="I133" s="33" t="inlineStr">
        <is>
          <t>us</t>
        </is>
      </c>
      <c r="J133" s="33" t="n">
        <v>0</v>
      </c>
      <c r="K133" s="33" t="n">
        <v>0.151</v>
      </c>
      <c r="L133" s="33" t="n">
        <v>30</v>
      </c>
      <c r="M133" s="33" t="inlineStr">
        <is>
          <t>mww</t>
        </is>
      </c>
      <c r="N133" s="33" t="n">
        <v>20</v>
      </c>
      <c r="O133" s="33" t="n">
        <v>15.9163</v>
      </c>
      <c r="P133" s="33" t="n">
        <v>-95.9533</v>
      </c>
      <c r="Q133" s="33" t="inlineStr">
        <is>
          <t>Santa María Xadani, Mexico</t>
        </is>
      </c>
      <c r="R133" s="33" t="inlineStr">
        <is>
          <t>North America</t>
        </is>
      </c>
      <c r="S133" s="33" t="inlineStr">
        <is>
          <t>Mexico</t>
        </is>
      </c>
      <c r="T133" s="36">
        <f>DATE(MID(C133,7,4),MID(C133,4,2),MID(C133,1,2))+TIME(MID(C133,12,2),MID(C133,15,2),0)</f>
        <v/>
      </c>
      <c r="U133" s="33">
        <f>IF(ISNUMBER(VALUE(MID(A133,7,1))),"Distance-prefix pattern","Named-region pattern")</f>
        <v/>
      </c>
      <c r="V133" s="33">
        <f>LOWER(M133)</f>
        <v/>
      </c>
      <c r="W133" s="33">
        <f>IF(COUNTIFS($A$2:$A$1001,A133,$C$2:$C$1001,C133)&gt;1,"Duplicate","Unique")</f>
        <v/>
      </c>
      <c r="X133" s="33">
        <f>YEAR(T133)</f>
        <v/>
      </c>
      <c r="Y133" s="33">
        <f>IF(B133&lt;6.5,"&lt;6.5",IF(B133&lt;7,"6.5–6.9",IF(B133&lt;7.5,"7.0–7.4",IF(B133&lt;8,"7.5–7.9","8.0+"))))</f>
        <v/>
      </c>
      <c r="Z133" s="33">
        <f>IF(F133="","Blank",F133)</f>
        <v/>
      </c>
    </row>
    <row r="134" ht="15" customHeight="1" s="34">
      <c r="A134" s="33" t="inlineStr">
        <is>
          <t>M 7.4 - south of the Kermadec Islands</t>
        </is>
      </c>
      <c r="B134" s="33" t="n">
        <v>7.4</v>
      </c>
      <c r="C134" s="33" t="inlineStr">
        <is>
          <t>18/06/2020 12:49</t>
        </is>
      </c>
      <c r="D134" s="33" t="n">
        <v>7</v>
      </c>
      <c r="E134" s="33" t="n">
        <v>7</v>
      </c>
      <c r="F134" s="33" t="inlineStr">
        <is>
          <t>green</t>
        </is>
      </c>
      <c r="G134" s="33" t="n">
        <v>1</v>
      </c>
      <c r="H134" s="33" t="n">
        <v>873</v>
      </c>
      <c r="I134" s="33" t="inlineStr">
        <is>
          <t>us</t>
        </is>
      </c>
      <c r="J134" s="33" t="n">
        <v>0</v>
      </c>
      <c r="K134" s="33" t="n">
        <v>4.035</v>
      </c>
      <c r="L134" s="33" t="n">
        <v>23</v>
      </c>
      <c r="M134" s="33" t="inlineStr">
        <is>
          <t>mww</t>
        </is>
      </c>
      <c r="N134" s="33" t="n">
        <v>10</v>
      </c>
      <c r="O134" s="33" t="n">
        <v>-33.2938</v>
      </c>
      <c r="P134" s="33" t="n">
        <v>-177.838</v>
      </c>
      <c r="Q134" s="33" t="inlineStr">
        <is>
          <t>the Kermadec Islands</t>
        </is>
      </c>
      <c r="T134" s="36">
        <f>DATE(MID(C134,7,4),MID(C134,4,2),MID(C134,1,2))+TIME(MID(C134,12,2),MID(C134,15,2),0)</f>
        <v/>
      </c>
      <c r="U134" s="33">
        <f>IF(ISNUMBER(VALUE(MID(A134,7,1))),"Distance-prefix pattern","Named-region pattern")</f>
        <v/>
      </c>
      <c r="V134" s="33">
        <f>LOWER(M134)</f>
        <v/>
      </c>
      <c r="W134" s="33">
        <f>IF(COUNTIFS($A$2:$A$1001,A134,$C$2:$C$1001,C134)&gt;1,"Duplicate","Unique")</f>
        <v/>
      </c>
      <c r="X134" s="33">
        <f>YEAR(T134)</f>
        <v/>
      </c>
      <c r="Y134" s="33">
        <f>IF(B134&lt;6.5,"&lt;6.5",IF(B134&lt;7,"6.5–6.9",IF(B134&lt;7.5,"7.0–7.4",IF(B134&lt;8,"7.5–7.9","8.0+"))))</f>
        <v/>
      </c>
      <c r="Z134" s="33">
        <f>IF(F134="","Blank",F134)</f>
        <v/>
      </c>
    </row>
    <row r="135" ht="15" customHeight="1" s="34">
      <c r="A135" s="33" t="inlineStr">
        <is>
          <t>M 6.6 - 130 km WNW of Naze, Japan</t>
        </is>
      </c>
      <c r="B135" s="33" t="n">
        <v>6.6</v>
      </c>
      <c r="C135" s="33" t="inlineStr">
        <is>
          <t>13/06/2020 15:51</t>
        </is>
      </c>
      <c r="D135" s="33" t="n">
        <v>5</v>
      </c>
      <c r="E135" s="33" t="n">
        <v>4</v>
      </c>
      <c r="F135" s="33" t="inlineStr">
        <is>
          <t>green</t>
        </is>
      </c>
      <c r="G135" s="33" t="n">
        <v>1</v>
      </c>
      <c r="H135" s="33" t="n">
        <v>734</v>
      </c>
      <c r="I135" s="33" t="inlineStr">
        <is>
          <t>us</t>
        </is>
      </c>
      <c r="J135" s="33" t="n">
        <v>0</v>
      </c>
      <c r="K135" s="33" t="n">
        <v>2.015</v>
      </c>
      <c r="L135" s="33" t="n">
        <v>18</v>
      </c>
      <c r="M135" s="33" t="inlineStr">
        <is>
          <t>mww</t>
        </is>
      </c>
      <c r="N135" s="33" t="n">
        <v>165</v>
      </c>
      <c r="O135" s="33" t="n">
        <v>28.9386</v>
      </c>
      <c r="P135" s="33" t="n">
        <v>128.262</v>
      </c>
      <c r="Q135" s="33" t="inlineStr">
        <is>
          <t>Naze, Japan</t>
        </is>
      </c>
      <c r="T135" s="36">
        <f>DATE(MID(C135,7,4),MID(C135,4,2),MID(C135,1,2))+TIME(MID(C135,12,2),MID(C135,15,2),0)</f>
        <v/>
      </c>
      <c r="U135" s="33">
        <f>IF(ISNUMBER(VALUE(MID(A135,7,1))),"Distance-prefix pattern","Named-region pattern")</f>
        <v/>
      </c>
      <c r="V135" s="33">
        <f>LOWER(M135)</f>
        <v/>
      </c>
      <c r="W135" s="33">
        <f>IF(COUNTIFS($A$2:$A$1001,A135,$C$2:$C$1001,C135)&gt;1,"Duplicate","Unique")</f>
        <v/>
      </c>
      <c r="X135" s="33">
        <f>YEAR(T135)</f>
        <v/>
      </c>
      <c r="Y135" s="33">
        <f>IF(B135&lt;6.5,"&lt;6.5",IF(B135&lt;7,"6.5–6.9",IF(B135&lt;7.5,"7.0–7.4",IF(B135&lt;8,"7.5–7.9","8.0+"))))</f>
        <v/>
      </c>
      <c r="Z135" s="33">
        <f>IF(F135="","Blank",F135)</f>
        <v/>
      </c>
    </row>
    <row r="136" ht="15" customHeight="1" s="34">
      <c r="A136" s="33" t="inlineStr">
        <is>
          <t>M 6.8 - 48 km SW of San Pedro de Atacama, Chile</t>
        </is>
      </c>
      <c r="B136" s="33" t="n">
        <v>6.8</v>
      </c>
      <c r="C136" s="33" t="inlineStr">
        <is>
          <t>03/06/2020 07:35</t>
        </is>
      </c>
      <c r="D136" s="33" t="n">
        <v>6</v>
      </c>
      <c r="E136" s="33" t="n">
        <v>6</v>
      </c>
      <c r="F136" s="33" t="inlineStr">
        <is>
          <t>green</t>
        </is>
      </c>
      <c r="G136" s="33" t="n">
        <v>1</v>
      </c>
      <c r="H136" s="33" t="n">
        <v>835</v>
      </c>
      <c r="I136" s="33" t="inlineStr">
        <is>
          <t>us</t>
        </is>
      </c>
      <c r="J136" s="33" t="n">
        <v>0</v>
      </c>
      <c r="K136" s="33" t="n">
        <v>1.164</v>
      </c>
      <c r="L136" s="33" t="n">
        <v>21</v>
      </c>
      <c r="M136" s="33" t="inlineStr">
        <is>
          <t>mww</t>
        </is>
      </c>
      <c r="N136" s="33" t="n">
        <v>112</v>
      </c>
      <c r="O136" s="33" t="n">
        <v>-23.2966</v>
      </c>
      <c r="P136" s="33" t="n">
        <v>-68.4204</v>
      </c>
      <c r="Q136" s="33" t="inlineStr">
        <is>
          <t>San Pedro de Atacama, Chile</t>
        </is>
      </c>
      <c r="R136" s="33" t="inlineStr">
        <is>
          <t>South America</t>
        </is>
      </c>
      <c r="S136" s="33" t="inlineStr">
        <is>
          <t>Chile</t>
        </is>
      </c>
      <c r="T136" s="36">
        <f>DATE(MID(C136,7,4),MID(C136,4,2),MID(C136,1,2))+TIME(MID(C136,12,2),MID(C136,15,2),0)</f>
        <v/>
      </c>
      <c r="U136" s="33">
        <f>IF(ISNUMBER(VALUE(MID(A136,7,1))),"Distance-prefix pattern","Named-region pattern")</f>
        <v/>
      </c>
      <c r="V136" s="33">
        <f>LOWER(M136)</f>
        <v/>
      </c>
      <c r="W136" s="33">
        <f>IF(COUNTIFS($A$2:$A$1001,A136,$C$2:$C$1001,C136)&gt;1,"Duplicate","Unique")</f>
        <v/>
      </c>
      <c r="X136" s="33">
        <f>YEAR(T136)</f>
        <v/>
      </c>
      <c r="Y136" s="33">
        <f>IF(B136&lt;6.5,"&lt;6.5",IF(B136&lt;7,"6.5–6.9",IF(B136&lt;7.5,"7.0–7.4",IF(B136&lt;8,"7.5–7.9","8.0+"))))</f>
        <v/>
      </c>
      <c r="Z136" s="33">
        <f>IF(F136="","Blank",F136)</f>
        <v/>
      </c>
    </row>
    <row r="137" ht="15" customHeight="1" s="34">
      <c r="A137" s="33" t="inlineStr">
        <is>
          <t>M 6.5 - Monte Cristo Range, NV Earthquake</t>
        </is>
      </c>
      <c r="B137" s="33" t="n">
        <v>6.5</v>
      </c>
      <c r="C137" s="33" t="inlineStr">
        <is>
          <t>15/05/2020 11:03</t>
        </is>
      </c>
      <c r="D137" s="33" t="n">
        <v>7</v>
      </c>
      <c r="E137" s="33" t="n">
        <v>8</v>
      </c>
      <c r="F137" s="33" t="inlineStr">
        <is>
          <t>green</t>
        </is>
      </c>
      <c r="G137" s="33" t="n">
        <v>0</v>
      </c>
      <c r="H137" s="33" t="n">
        <v>1320</v>
      </c>
      <c r="I137" s="33" t="inlineStr">
        <is>
          <t>nn</t>
        </is>
      </c>
      <c r="J137" s="33" t="n">
        <v>27</v>
      </c>
      <c r="K137" s="33" t="n">
        <v>0.357</v>
      </c>
      <c r="L137" s="33" t="n">
        <v>55.79</v>
      </c>
      <c r="M137" s="33" t="inlineStr">
        <is>
          <t>ml</t>
        </is>
      </c>
      <c r="N137" s="33" t="n">
        <v>2.7</v>
      </c>
      <c r="O137" s="33" t="n">
        <v>38.1689</v>
      </c>
      <c r="P137" s="33" t="n">
        <v>-117.85</v>
      </c>
      <c r="Q137" s="33" t="inlineStr">
        <is>
          <t>Monte Cristo Range, NV Earthquake</t>
        </is>
      </c>
      <c r="R137" s="33" t="inlineStr">
        <is>
          <t>North America</t>
        </is>
      </c>
      <c r="S137" s="33" t="inlineStr">
        <is>
          <t>United States of America</t>
        </is>
      </c>
      <c r="T137" s="36">
        <f>DATE(MID(C137,7,4),MID(C137,4,2),MID(C137,1,2))+TIME(MID(C137,12,2),MID(C137,15,2),0)</f>
        <v/>
      </c>
      <c r="U137" s="33">
        <f>IF(ISNUMBER(VALUE(MID(A137,7,1))),"Distance-prefix pattern","Named-region pattern")</f>
        <v/>
      </c>
      <c r="V137" s="33">
        <f>LOWER(M137)</f>
        <v/>
      </c>
      <c r="W137" s="33">
        <f>IF(COUNTIFS($A$2:$A$1001,A137,$C$2:$C$1001,C137)&gt;1,"Duplicate","Unique")</f>
        <v/>
      </c>
      <c r="X137" s="33">
        <f>YEAR(T137)</f>
        <v/>
      </c>
      <c r="Y137" s="33">
        <f>IF(B137&lt;6.5,"&lt;6.5",IF(B137&lt;7,"6.5–6.9",IF(B137&lt;7.5,"7.0–7.4",IF(B137&lt;8,"7.5–7.9","8.0+"))))</f>
        <v/>
      </c>
      <c r="Z137" s="33">
        <f>IF(F137="","Blank",F137)</f>
        <v/>
      </c>
    </row>
    <row r="138" ht="15" customHeight="1" s="34">
      <c r="A138" s="33" t="inlineStr">
        <is>
          <t>M 6.6 - 175 km SSE of Lata, Solomon Islands</t>
        </is>
      </c>
      <c r="B138" s="33" t="n">
        <v>6.6</v>
      </c>
      <c r="C138" s="33" t="inlineStr">
        <is>
          <t>12/05/2020 22:41</t>
        </is>
      </c>
      <c r="D138" s="33" t="n">
        <v>4</v>
      </c>
      <c r="E138" s="33" t="n">
        <v>6</v>
      </c>
      <c r="F138" s="33" t="inlineStr">
        <is>
          <t>green</t>
        </is>
      </c>
      <c r="G138" s="33" t="n">
        <v>1</v>
      </c>
      <c r="H138" s="33" t="n">
        <v>671</v>
      </c>
      <c r="I138" s="33" t="inlineStr">
        <is>
          <t>us</t>
        </is>
      </c>
      <c r="J138" s="33" t="n">
        <v>0</v>
      </c>
      <c r="K138" s="33" t="n">
        <v>3.403</v>
      </c>
      <c r="L138" s="33" t="n">
        <v>12</v>
      </c>
      <c r="M138" s="33" t="inlineStr">
        <is>
          <t>mww</t>
        </is>
      </c>
      <c r="N138" s="33" t="n">
        <v>107</v>
      </c>
      <c r="O138" s="33" t="n">
        <v>-12.0662</v>
      </c>
      <c r="P138" s="33" t="n">
        <v>166.648</v>
      </c>
      <c r="Q138" s="33" t="inlineStr">
        <is>
          <t>Lata, Solomon Islands</t>
        </is>
      </c>
      <c r="T138" s="36">
        <f>DATE(MID(C138,7,4),MID(C138,4,2),MID(C138,1,2))+TIME(MID(C138,12,2),MID(C138,15,2),0)</f>
        <v/>
      </c>
      <c r="U138" s="33">
        <f>IF(ISNUMBER(VALUE(MID(A138,7,1))),"Distance-prefix pattern","Named-region pattern")</f>
        <v/>
      </c>
      <c r="V138" s="33">
        <f>LOWER(M138)</f>
        <v/>
      </c>
      <c r="W138" s="33">
        <f>IF(COUNTIFS($A$2:$A$1001,A138,$C$2:$C$1001,C138)&gt;1,"Duplicate","Unique")</f>
        <v/>
      </c>
      <c r="X138" s="33">
        <f>YEAR(T138)</f>
        <v/>
      </c>
      <c r="Y138" s="33">
        <f>IF(B138&lt;6.5,"&lt;6.5",IF(B138&lt;7,"6.5–6.9",IF(B138&lt;7.5,"7.0–7.4",IF(B138&lt;8,"7.5–7.9","8.0+"))))</f>
        <v/>
      </c>
      <c r="Z138" s="33">
        <f>IF(F138="","Blank",F138)</f>
        <v/>
      </c>
    </row>
    <row r="139" ht="15" customHeight="1" s="34">
      <c r="A139" s="33" t="inlineStr">
        <is>
          <t>M 6.8 - Banda Sea</t>
        </is>
      </c>
      <c r="B139" s="33" t="n">
        <v>6.8</v>
      </c>
      <c r="C139" s="33" t="inlineStr">
        <is>
          <t>06/05/2020 13:53</t>
        </is>
      </c>
      <c r="D139" s="33" t="n">
        <v>4</v>
      </c>
      <c r="E139" s="33" t="n">
        <v>6</v>
      </c>
      <c r="F139" s="33" t="inlineStr">
        <is>
          <t>green</t>
        </is>
      </c>
      <c r="G139" s="33" t="n">
        <v>0</v>
      </c>
      <c r="H139" s="33" t="n">
        <v>738</v>
      </c>
      <c r="I139" s="33" t="inlineStr">
        <is>
          <t>us</t>
        </is>
      </c>
      <c r="J139" s="33" t="n">
        <v>0</v>
      </c>
      <c r="K139" s="33" t="n">
        <v>1.921</v>
      </c>
      <c r="L139" s="33" t="n">
        <v>16</v>
      </c>
      <c r="M139" s="33" t="inlineStr">
        <is>
          <t>mww</t>
        </is>
      </c>
      <c r="N139" s="33" t="n">
        <v>96</v>
      </c>
      <c r="O139" s="33" t="n">
        <v>-6.7762</v>
      </c>
      <c r="P139" s="33" t="n">
        <v>129.785</v>
      </c>
      <c r="Q139" s="33" t="inlineStr">
        <is>
          <t>Banda Sea</t>
        </is>
      </c>
      <c r="S139" s="33" t="inlineStr">
        <is>
          <t>Indonesia</t>
        </is>
      </c>
      <c r="T139" s="36">
        <f>DATE(MID(C139,7,4),MID(C139,4,2),MID(C139,1,2))+TIME(MID(C139,12,2),MID(C139,15,2),0)</f>
        <v/>
      </c>
      <c r="U139" s="33">
        <f>IF(ISNUMBER(VALUE(MID(A139,7,1))),"Distance-prefix pattern","Named-region pattern")</f>
        <v/>
      </c>
      <c r="V139" s="33">
        <f>LOWER(M139)</f>
        <v/>
      </c>
      <c r="W139" s="33">
        <f>IF(COUNTIFS($A$2:$A$1001,A139,$C$2:$C$1001,C139)&gt;1,"Duplicate","Unique")</f>
        <v/>
      </c>
      <c r="X139" s="33">
        <f>YEAR(T139)</f>
        <v/>
      </c>
      <c r="Y139" s="33">
        <f>IF(B139&lt;6.5,"&lt;6.5",IF(B139&lt;7,"6.5–6.9",IF(B139&lt;7.5,"7.0–7.4",IF(B139&lt;8,"7.5–7.9","8.0+"))))</f>
        <v/>
      </c>
      <c r="Z139" s="33">
        <f>IF(F139="","Blank",F139)</f>
        <v/>
      </c>
    </row>
    <row r="140" ht="15" customHeight="1" s="34">
      <c r="A140" s="33" t="inlineStr">
        <is>
          <t>M 6.5 - 91 km S of Néa Anatolí, Greece</t>
        </is>
      </c>
      <c r="B140" s="33" t="n">
        <v>6.5</v>
      </c>
      <c r="C140" s="33" t="inlineStr">
        <is>
          <t>02/05/2020 12:51</t>
        </is>
      </c>
      <c r="D140" s="33" t="n">
        <v>7</v>
      </c>
      <c r="E140" s="33" t="n">
        <v>6</v>
      </c>
      <c r="F140" s="33" t="inlineStr">
        <is>
          <t>green</t>
        </is>
      </c>
      <c r="G140" s="33" t="n">
        <v>0</v>
      </c>
      <c r="H140" s="33" t="n">
        <v>678</v>
      </c>
      <c r="I140" s="33" t="inlineStr">
        <is>
          <t>us</t>
        </is>
      </c>
      <c r="J140" s="33" t="n">
        <v>0</v>
      </c>
      <c r="K140" s="33" t="n">
        <v>1.293</v>
      </c>
      <c r="L140" s="33" t="n">
        <v>19</v>
      </c>
      <c r="M140" s="33" t="inlineStr">
        <is>
          <t>mww</t>
        </is>
      </c>
      <c r="N140" s="33" t="n">
        <v>10</v>
      </c>
      <c r="O140" s="33" t="n">
        <v>34.1818</v>
      </c>
      <c r="P140" s="33" t="n">
        <v>25.7101</v>
      </c>
      <c r="Q140" s="33" t="inlineStr">
        <is>
          <t>Néa Anatolí, Greece</t>
        </is>
      </c>
      <c r="T140" s="36">
        <f>DATE(MID(C140,7,4),MID(C140,4,2),MID(C140,1,2))+TIME(MID(C140,12,2),MID(C140,15,2),0)</f>
        <v/>
      </c>
      <c r="U140" s="33">
        <f>IF(ISNUMBER(VALUE(MID(A140,7,1))),"Distance-prefix pattern","Named-region pattern")</f>
        <v/>
      </c>
      <c r="V140" s="33">
        <f>LOWER(M140)</f>
        <v/>
      </c>
      <c r="W140" s="33">
        <f>IF(COUNTIFS($A$2:$A$1001,A140,$C$2:$C$1001,C140)&gt;1,"Duplicate","Unique")</f>
        <v/>
      </c>
      <c r="X140" s="33">
        <f>YEAR(T140)</f>
        <v/>
      </c>
      <c r="Y140" s="33">
        <f>IF(B140&lt;6.5,"&lt;6.5",IF(B140&lt;7,"6.5–6.9",IF(B140&lt;7.5,"7.0–7.4",IF(B140&lt;8,"7.5–7.9","8.0+"))))</f>
        <v/>
      </c>
      <c r="Z140" s="33">
        <f>IF(F140="","Blank",F140)</f>
        <v/>
      </c>
    </row>
    <row r="141" ht="15" customHeight="1" s="34">
      <c r="A141" s="33" t="inlineStr">
        <is>
          <t>M 6.5 - Stanley, Idaho</t>
        </is>
      </c>
      <c r="B141" s="33" t="n">
        <v>6.5</v>
      </c>
      <c r="C141" s="33" t="inlineStr">
        <is>
          <t>31/03/2020 23:52</t>
        </is>
      </c>
      <c r="D141" s="33" t="n">
        <v>8</v>
      </c>
      <c r="E141" s="33" t="n">
        <v>8</v>
      </c>
      <c r="F141" s="33" t="inlineStr">
        <is>
          <t>green</t>
        </is>
      </c>
      <c r="G141" s="33" t="n">
        <v>0</v>
      </c>
      <c r="H141" s="33" t="n">
        <v>1410</v>
      </c>
      <c r="I141" s="33" t="inlineStr">
        <is>
          <t>us</t>
        </is>
      </c>
      <c r="J141" s="33" t="n">
        <v>0</v>
      </c>
      <c r="K141" s="33" t="n">
        <v>0.885</v>
      </c>
      <c r="L141" s="33" t="n">
        <v>31</v>
      </c>
      <c r="M141" s="33" t="inlineStr">
        <is>
          <t>mww</t>
        </is>
      </c>
      <c r="N141" s="33" t="n">
        <v>12.06</v>
      </c>
      <c r="O141" s="33" t="n">
        <v>44.4646</v>
      </c>
      <c r="P141" s="33" t="n">
        <v>-115.118</v>
      </c>
      <c r="Q141" s="33" t="inlineStr">
        <is>
          <t>Stanley, Idaho</t>
        </is>
      </c>
      <c r="R141" s="33" t="inlineStr">
        <is>
          <t>North America</t>
        </is>
      </c>
      <c r="S141" s="33" t="inlineStr">
        <is>
          <t>United States of America</t>
        </is>
      </c>
      <c r="T141" s="36">
        <f>DATE(MID(C141,7,4),MID(C141,4,2),MID(C141,1,2))+TIME(MID(C141,12,2),MID(C141,15,2),0)</f>
        <v/>
      </c>
      <c r="U141" s="33">
        <f>IF(ISNUMBER(VALUE(MID(A141,7,1))),"Distance-prefix pattern","Named-region pattern")</f>
        <v/>
      </c>
      <c r="V141" s="33">
        <f>LOWER(M141)</f>
        <v/>
      </c>
      <c r="W141" s="33">
        <f>IF(COUNTIFS($A$2:$A$1001,A141,$C$2:$C$1001,C141)&gt;1,"Duplicate","Unique")</f>
        <v/>
      </c>
      <c r="X141" s="33">
        <f>YEAR(T141)</f>
        <v/>
      </c>
      <c r="Y141" s="33">
        <f>IF(B141&lt;6.5,"&lt;6.5",IF(B141&lt;7,"6.5–6.9",IF(B141&lt;7.5,"7.0–7.4",IF(B141&lt;8,"7.5–7.9","8.0+"))))</f>
        <v/>
      </c>
      <c r="Z141" s="33">
        <f>IF(F141="","Blank",F141)</f>
        <v/>
      </c>
    </row>
    <row r="142" ht="15" customHeight="1" s="34">
      <c r="A142" s="33" t="inlineStr">
        <is>
          <t>M 7.5 - 221 km SSE of Severo-Kuril’sk, Russia</t>
        </is>
      </c>
      <c r="B142" s="33" t="n">
        <v>7.5</v>
      </c>
      <c r="C142" s="33" t="inlineStr">
        <is>
          <t>25/03/2020 02:49</t>
        </is>
      </c>
      <c r="D142" s="33" t="n">
        <v>6</v>
      </c>
      <c r="E142" s="33" t="n">
        <v>5</v>
      </c>
      <c r="F142" s="33" t="inlineStr">
        <is>
          <t>green</t>
        </is>
      </c>
      <c r="G142" s="33" t="n">
        <v>1</v>
      </c>
      <c r="H142" s="33" t="n">
        <v>879</v>
      </c>
      <c r="I142" s="33" t="inlineStr">
        <is>
          <t>us</t>
        </is>
      </c>
      <c r="J142" s="33" t="n">
        <v>0</v>
      </c>
      <c r="K142" s="33" t="n">
        <v>4.109</v>
      </c>
      <c r="L142" s="33" t="n">
        <v>12</v>
      </c>
      <c r="M142" s="33" t="inlineStr">
        <is>
          <t>mww</t>
        </is>
      </c>
      <c r="N142" s="33" t="n">
        <v>57.8</v>
      </c>
      <c r="O142" s="33" t="n">
        <v>48.9638</v>
      </c>
      <c r="P142" s="33" t="n">
        <v>157.695</v>
      </c>
      <c r="Q142" s="33" t="inlineStr">
        <is>
          <t>Severo-Kuril’sk, Russia</t>
        </is>
      </c>
      <c r="T142" s="36">
        <f>DATE(MID(C142,7,4),MID(C142,4,2),MID(C142,1,2))+TIME(MID(C142,12,2),MID(C142,15,2),0)</f>
        <v/>
      </c>
      <c r="U142" s="33">
        <f>IF(ISNUMBER(VALUE(MID(A142,7,1))),"Distance-prefix pattern","Named-region pattern")</f>
        <v/>
      </c>
      <c r="V142" s="33">
        <f>LOWER(M142)</f>
        <v/>
      </c>
      <c r="W142" s="33">
        <f>IF(COUNTIFS($A$2:$A$1001,A142,$C$2:$C$1001,C142)&gt;1,"Duplicate","Unique")</f>
        <v/>
      </c>
      <c r="X142" s="33">
        <f>YEAR(T142)</f>
        <v/>
      </c>
      <c r="Y142" s="33">
        <f>IF(B142&lt;6.5,"&lt;6.5",IF(B142&lt;7,"6.5–6.9",IF(B142&lt;7.5,"7.0–7.4",IF(B142&lt;8,"7.5–7.9","8.0+"))))</f>
        <v/>
      </c>
      <c r="Z142" s="33">
        <f>IF(F142="","Blank",F142)</f>
        <v/>
      </c>
    </row>
    <row r="143" ht="15" customHeight="1" s="34">
      <c r="A143" s="33" t="inlineStr">
        <is>
          <t>M 7.0 - 95 km ENE of Kuril’sk, Russia</t>
        </is>
      </c>
      <c r="B143" s="33" t="n">
        <v>7</v>
      </c>
      <c r="C143" s="33" t="inlineStr">
        <is>
          <t>13/02/2020 10:33</t>
        </is>
      </c>
      <c r="D143" s="33" t="n">
        <v>5</v>
      </c>
      <c r="E143" s="33" t="n">
        <v>6</v>
      </c>
      <c r="F143" s="33" t="inlineStr">
        <is>
          <t>yellow</t>
        </is>
      </c>
      <c r="G143" s="33" t="n">
        <v>1</v>
      </c>
      <c r="H143" s="33" t="n">
        <v>770</v>
      </c>
      <c r="I143" s="33" t="inlineStr">
        <is>
          <t>us</t>
        </is>
      </c>
      <c r="J143" s="33" t="n">
        <v>0</v>
      </c>
      <c r="K143" s="33" t="n">
        <v>4.501</v>
      </c>
      <c r="L143" s="33" t="n">
        <v>25</v>
      </c>
      <c r="M143" s="33" t="inlineStr">
        <is>
          <t>mww</t>
        </is>
      </c>
      <c r="N143" s="33" t="n">
        <v>143</v>
      </c>
      <c r="O143" s="33" t="n">
        <v>45.6161</v>
      </c>
      <c r="P143" s="33" t="n">
        <v>148.959</v>
      </c>
      <c r="Q143" s="33" t="inlineStr">
        <is>
          <t>Kuril’sk, Russia</t>
        </is>
      </c>
      <c r="R143" s="33" t="inlineStr">
        <is>
          <t>Asia</t>
        </is>
      </c>
      <c r="S143" s="33" t="inlineStr">
        <is>
          <t>Russia</t>
        </is>
      </c>
      <c r="T143" s="36">
        <f>DATE(MID(C143,7,4),MID(C143,4,2),MID(C143,1,2))+TIME(MID(C143,12,2),MID(C143,15,2),0)</f>
        <v/>
      </c>
      <c r="U143" s="33">
        <f>IF(ISNUMBER(VALUE(MID(A143,7,1))),"Distance-prefix pattern","Named-region pattern")</f>
        <v/>
      </c>
      <c r="V143" s="33">
        <f>LOWER(M143)</f>
        <v/>
      </c>
      <c r="W143" s="33">
        <f>IF(COUNTIFS($A$2:$A$1001,A143,$C$2:$C$1001,C143)&gt;1,"Duplicate","Unique")</f>
        <v/>
      </c>
      <c r="X143" s="33">
        <f>YEAR(T143)</f>
        <v/>
      </c>
      <c r="Y143" s="33">
        <f>IF(B143&lt;6.5,"&lt;6.5",IF(B143&lt;7,"6.5–6.9",IF(B143&lt;7.5,"7.0–7.4",IF(B143&lt;8,"7.5–7.9","8.0+"))))</f>
        <v/>
      </c>
      <c r="Z143" s="33">
        <f>IF(F143="","Blank",F143)</f>
        <v/>
      </c>
    </row>
    <row r="144" ht="15" customHeight="1" s="34">
      <c r="A144" s="33" t="inlineStr">
        <is>
          <t>M 7.7 - 123 km NNW of Lucea, Jamaica</t>
        </is>
      </c>
      <c r="B144" s="33" t="n">
        <v>7.7</v>
      </c>
      <c r="C144" s="33" t="inlineStr">
        <is>
          <t>28/01/2020 19:10</t>
        </is>
      </c>
      <c r="D144" s="33" t="n">
        <v>9</v>
      </c>
      <c r="E144" s="33" t="n">
        <v>6</v>
      </c>
      <c r="F144" s="33" t="inlineStr">
        <is>
          <t>yellow</t>
        </is>
      </c>
      <c r="G144" s="33" t="n">
        <v>1</v>
      </c>
      <c r="H144" s="33" t="n">
        <v>1812</v>
      </c>
      <c r="I144" s="33" t="inlineStr">
        <is>
          <t>us</t>
        </is>
      </c>
      <c r="J144" s="33" t="n">
        <v>0</v>
      </c>
      <c r="K144" s="33" t="n">
        <v>1.657</v>
      </c>
      <c r="L144" s="33" t="n">
        <v>26</v>
      </c>
      <c r="M144" s="33" t="inlineStr">
        <is>
          <t>mww</t>
        </is>
      </c>
      <c r="N144" s="33" t="n">
        <v>14.86</v>
      </c>
      <c r="O144" s="33" t="n">
        <v>19.4193</v>
      </c>
      <c r="P144" s="33" t="n">
        <v>-78.756</v>
      </c>
      <c r="Q144" s="33" t="inlineStr">
        <is>
          <t>Lucea, Jamaica</t>
        </is>
      </c>
      <c r="T144" s="36">
        <f>DATE(MID(C144,7,4),MID(C144,4,2),MID(C144,1,2))+TIME(MID(C144,12,2),MID(C144,15,2),0)</f>
        <v/>
      </c>
      <c r="U144" s="33">
        <f>IF(ISNUMBER(VALUE(MID(A144,7,1))),"Distance-prefix pattern","Named-region pattern")</f>
        <v/>
      </c>
      <c r="V144" s="33">
        <f>LOWER(M144)</f>
        <v/>
      </c>
      <c r="W144" s="33">
        <f>IF(COUNTIFS($A$2:$A$1001,A144,$C$2:$C$1001,C144)&gt;1,"Duplicate","Unique")</f>
        <v/>
      </c>
      <c r="X144" s="33">
        <f>YEAR(T144)</f>
        <v/>
      </c>
      <c r="Y144" s="33">
        <f>IF(B144&lt;6.5,"&lt;6.5",IF(B144&lt;7,"6.5–6.9",IF(B144&lt;7.5,"7.0–7.4",IF(B144&lt;8,"7.5–7.9","8.0+"))))</f>
        <v/>
      </c>
      <c r="Z144" s="33">
        <f>IF(F144="","Blank",F144)</f>
        <v/>
      </c>
    </row>
    <row r="145" ht="15" customHeight="1" s="34">
      <c r="A145" s="33" t="inlineStr">
        <is>
          <t>M 6.7 - 13 km N of Do?anyol, Turkey</t>
        </is>
      </c>
      <c r="B145" s="33" t="n">
        <v>6.7</v>
      </c>
      <c r="C145" s="33" t="inlineStr">
        <is>
          <t>24/01/2020 17:55</t>
        </is>
      </c>
      <c r="D145" s="33" t="n">
        <v>8</v>
      </c>
      <c r="E145" s="33" t="n">
        <v>9</v>
      </c>
      <c r="F145" s="33" t="inlineStr">
        <is>
          <t>orange</t>
        </is>
      </c>
      <c r="G145" s="33" t="n">
        <v>0</v>
      </c>
      <c r="H145" s="33" t="n">
        <v>1247</v>
      </c>
      <c r="I145" s="33" t="inlineStr">
        <is>
          <t>us</t>
        </is>
      </c>
      <c r="J145" s="33" t="n">
        <v>0</v>
      </c>
      <c r="K145" s="33" t="n">
        <v>0.87</v>
      </c>
      <c r="L145" s="33" t="n">
        <v>49</v>
      </c>
      <c r="M145" s="33" t="inlineStr">
        <is>
          <t>mww</t>
        </is>
      </c>
      <c r="N145" s="33" t="n">
        <v>10</v>
      </c>
      <c r="O145" s="33" t="n">
        <v>38.4312</v>
      </c>
      <c r="P145" s="33" t="n">
        <v>39.0609</v>
      </c>
      <c r="Q145" s="33" t="inlineStr">
        <is>
          <t>Do?anyol, Turkey</t>
        </is>
      </c>
      <c r="R145" s="33" t="inlineStr">
        <is>
          <t>Asia</t>
        </is>
      </c>
      <c r="S145" s="33" t="inlineStr">
        <is>
          <t>Turkey</t>
        </is>
      </c>
      <c r="T145" s="36">
        <f>DATE(MID(C145,7,4),MID(C145,4,2),MID(C145,1,2))+TIME(MID(C145,12,2),MID(C145,15,2),0)</f>
        <v/>
      </c>
      <c r="U145" s="33">
        <f>IF(ISNUMBER(VALUE(MID(A145,7,1))),"Distance-prefix pattern","Named-region pattern")</f>
        <v/>
      </c>
      <c r="V145" s="33">
        <f>LOWER(M145)</f>
        <v/>
      </c>
      <c r="W145" s="33">
        <f>IF(COUNTIFS($A$2:$A$1001,A145,$C$2:$C$1001,C145)&gt;1,"Duplicate","Unique")</f>
        <v/>
      </c>
      <c r="X145" s="33">
        <f>YEAR(T145)</f>
        <v/>
      </c>
      <c r="Y145" s="33">
        <f>IF(B145&lt;6.5,"&lt;6.5",IF(B145&lt;7,"6.5–6.9",IF(B145&lt;7.5,"7.0–7.4",IF(B145&lt;8,"7.5–7.9","8.0+"))))</f>
        <v/>
      </c>
      <c r="Z145" s="33">
        <f>IF(F145="","Blank",F145)</f>
        <v/>
      </c>
    </row>
    <row r="146" ht="15" customHeight="1" s="34">
      <c r="A146" s="33" t="inlineStr">
        <is>
          <t>M 6.8 - 7 km S of Magsaysay, Philippines</t>
        </is>
      </c>
      <c r="B146" s="33" t="n">
        <v>6.8</v>
      </c>
      <c r="C146" s="33" t="inlineStr">
        <is>
          <t>15/12/2019 06:11</t>
        </is>
      </c>
      <c r="D146" s="33" t="n">
        <v>9</v>
      </c>
      <c r="E146" s="33" t="n">
        <v>7</v>
      </c>
      <c r="F146" s="33" t="inlineStr">
        <is>
          <t>yellow</t>
        </is>
      </c>
      <c r="G146" s="33" t="n">
        <v>1</v>
      </c>
      <c r="H146" s="33" t="n">
        <v>825</v>
      </c>
      <c r="I146" s="33" t="inlineStr">
        <is>
          <t>us</t>
        </is>
      </c>
      <c r="J146" s="33" t="n">
        <v>0</v>
      </c>
      <c r="K146" s="33" t="n">
        <v>0.546</v>
      </c>
      <c r="L146" s="33" t="n">
        <v>39</v>
      </c>
      <c r="M146" s="33" t="inlineStr">
        <is>
          <t>mww</t>
        </is>
      </c>
      <c r="N146" s="33" t="n">
        <v>18</v>
      </c>
      <c r="O146" s="33" t="n">
        <v>6.6969</v>
      </c>
      <c r="P146" s="33" t="n">
        <v>125.174</v>
      </c>
      <c r="Q146" s="33" t="inlineStr">
        <is>
          <t>Magsaysay, Philippines</t>
        </is>
      </c>
      <c r="S146" s="33" t="inlineStr">
        <is>
          <t>Philippines</t>
        </is>
      </c>
      <c r="T146" s="36">
        <f>DATE(MID(C146,7,4),MID(C146,4,2),MID(C146,1,2))+TIME(MID(C146,12,2),MID(C146,15,2),0)</f>
        <v/>
      </c>
      <c r="U146" s="33">
        <f>IF(ISNUMBER(VALUE(MID(A146,7,1))),"Distance-prefix pattern","Named-region pattern")</f>
        <v/>
      </c>
      <c r="V146" s="33">
        <f>LOWER(M146)</f>
        <v/>
      </c>
      <c r="W146" s="33">
        <f>IF(COUNTIFS($A$2:$A$1001,A146,$C$2:$C$1001,C146)&gt;1,"Duplicate","Unique")</f>
        <v/>
      </c>
      <c r="X146" s="33">
        <f>YEAR(T146)</f>
        <v/>
      </c>
      <c r="Y146" s="33">
        <f>IF(B146&lt;6.5,"&lt;6.5",IF(B146&lt;7,"6.5–6.9",IF(B146&lt;7.5,"7.0–7.4",IF(B146&lt;8,"7.5–7.9","8.0+"))))</f>
        <v/>
      </c>
      <c r="Z146" s="33">
        <f>IF(F146="","Blank",F146)</f>
        <v/>
      </c>
    </row>
    <row r="147" ht="15" customHeight="1" s="34">
      <c r="A147" s="33" t="inlineStr">
        <is>
          <t>M 7.1 - 138km E of Bitung, Indonesia</t>
        </is>
      </c>
      <c r="B147" s="33" t="n">
        <v>7.1</v>
      </c>
      <c r="C147" s="33" t="inlineStr">
        <is>
          <t>14/11/2019 16:17</t>
        </is>
      </c>
      <c r="D147" s="33" t="n">
        <v>6</v>
      </c>
      <c r="E147" s="33" t="n">
        <v>6</v>
      </c>
      <c r="F147" s="33" t="inlineStr">
        <is>
          <t>green</t>
        </is>
      </c>
      <c r="G147" s="33" t="n">
        <v>1</v>
      </c>
      <c r="H147" s="33" t="n">
        <v>799</v>
      </c>
      <c r="I147" s="33" t="inlineStr">
        <is>
          <t>us</t>
        </is>
      </c>
      <c r="J147" s="33" t="n">
        <v>0</v>
      </c>
      <c r="K147" s="33" t="n">
        <v>1.271</v>
      </c>
      <c r="L147" s="33" t="n">
        <v>11</v>
      </c>
      <c r="M147" s="33" t="inlineStr">
        <is>
          <t>mww</t>
        </is>
      </c>
      <c r="N147" s="33" t="n">
        <v>33</v>
      </c>
      <c r="O147" s="33" t="n">
        <v>1.6213</v>
      </c>
      <c r="P147" s="33" t="n">
        <v>126.416</v>
      </c>
      <c r="Q147" s="33" t="inlineStr">
        <is>
          <t>Bitung, Indonesia</t>
        </is>
      </c>
      <c r="S147" s="33" t="inlineStr">
        <is>
          <t>Indonesia</t>
        </is>
      </c>
      <c r="T147" s="36">
        <f>DATE(MID(C147,7,4),MID(C147,4,2),MID(C147,1,2))+TIME(MID(C147,12,2),MID(C147,15,2),0)</f>
        <v/>
      </c>
      <c r="U147" s="33">
        <f>IF(ISNUMBER(VALUE(MID(A147,7,1))),"Distance-prefix pattern","Named-region pattern")</f>
        <v/>
      </c>
      <c r="V147" s="33">
        <f>LOWER(M147)</f>
        <v/>
      </c>
      <c r="W147" s="33">
        <f>IF(COUNTIFS($A$2:$A$1001,A147,$C$2:$C$1001,C147)&gt;1,"Duplicate","Unique")</f>
        <v/>
      </c>
      <c r="X147" s="33">
        <f>YEAR(T147)</f>
        <v/>
      </c>
      <c r="Y147" s="33">
        <f>IF(B147&lt;6.5,"&lt;6.5",IF(B147&lt;7,"6.5–6.9",IF(B147&lt;7.5,"7.0–7.4",IF(B147&lt;8,"7.5–7.9","8.0+"))))</f>
        <v/>
      </c>
      <c r="Z147" s="33">
        <f>IF(F147="","Blank",F147)</f>
        <v/>
      </c>
    </row>
    <row r="148" ht="15" customHeight="1" s="34">
      <c r="A148" s="33" t="inlineStr">
        <is>
          <t>M 6.5 - 166km SSW of Ndoi Island, Fiji</t>
        </is>
      </c>
      <c r="B148" s="33" t="n">
        <v>6.5</v>
      </c>
      <c r="C148" s="33" t="inlineStr">
        <is>
          <t>08/11/2019 10:44</t>
        </is>
      </c>
      <c r="D148" s="33" t="n">
        <v>0</v>
      </c>
      <c r="E148" s="33" t="n">
        <v>2</v>
      </c>
      <c r="F148" s="33" t="inlineStr">
        <is>
          <t>green</t>
        </is>
      </c>
      <c r="G148" s="33" t="n">
        <v>0</v>
      </c>
      <c r="H148" s="33" t="n">
        <v>650</v>
      </c>
      <c r="I148" s="33" t="inlineStr">
        <is>
          <t>us</t>
        </is>
      </c>
      <c r="J148" s="33" t="n">
        <v>0</v>
      </c>
      <c r="K148" s="33" t="n">
        <v>4.765</v>
      </c>
      <c r="L148" s="33" t="n">
        <v>25</v>
      </c>
      <c r="M148" s="33" t="inlineStr">
        <is>
          <t>mww</t>
        </is>
      </c>
      <c r="N148" s="33" t="n">
        <v>577</v>
      </c>
      <c r="O148" s="33" t="n">
        <v>-21.9449</v>
      </c>
      <c r="P148" s="33" t="n">
        <v>-179.511</v>
      </c>
      <c r="Q148" s="33" t="inlineStr">
        <is>
          <t>Ndoi Island, Fiji</t>
        </is>
      </c>
      <c r="T148" s="36">
        <f>DATE(MID(C148,7,4),MID(C148,4,2),MID(C148,1,2))+TIME(MID(C148,12,2),MID(C148,15,2),0)</f>
        <v/>
      </c>
      <c r="U148" s="33">
        <f>IF(ISNUMBER(VALUE(MID(A148,7,1))),"Distance-prefix pattern","Named-region pattern")</f>
        <v/>
      </c>
      <c r="V148" s="33">
        <f>LOWER(M148)</f>
        <v/>
      </c>
      <c r="W148" s="33">
        <f>IF(COUNTIFS($A$2:$A$1001,A148,$C$2:$C$1001,C148)&gt;1,"Duplicate","Unique")</f>
        <v/>
      </c>
      <c r="X148" s="33">
        <f>YEAR(T148)</f>
        <v/>
      </c>
      <c r="Y148" s="33">
        <f>IF(B148&lt;6.5,"&lt;6.5",IF(B148&lt;7,"6.5–6.9",IF(B148&lt;7.5,"7.0–7.4",IF(B148&lt;8,"7.5–7.9","8.0+"))))</f>
        <v/>
      </c>
      <c r="Z148" s="33">
        <f>IF(F148="","Blank",F148)</f>
        <v/>
      </c>
    </row>
    <row r="149" ht="15" customHeight="1" s="34">
      <c r="A149" s="33" t="inlineStr">
        <is>
          <t>M 6.6 - 136 km W of Neiafu, Tonga</t>
        </is>
      </c>
      <c r="B149" s="33" t="n">
        <v>6.6</v>
      </c>
      <c r="C149" s="33" t="inlineStr">
        <is>
          <t>04/11/2019 22:43</t>
        </is>
      </c>
      <c r="D149" s="33" t="n">
        <v>4</v>
      </c>
      <c r="E149" s="33" t="n">
        <v>4</v>
      </c>
      <c r="F149" s="33" t="inlineStr">
        <is>
          <t>green</t>
        </is>
      </c>
      <c r="G149" s="33" t="n">
        <v>1</v>
      </c>
      <c r="H149" s="33" t="n">
        <v>673</v>
      </c>
      <c r="I149" s="33" t="inlineStr">
        <is>
          <t>us</t>
        </is>
      </c>
      <c r="J149" s="33" t="n">
        <v>0</v>
      </c>
      <c r="K149" s="33" t="n">
        <v>5.086</v>
      </c>
      <c r="L149" s="33" t="n">
        <v>48</v>
      </c>
      <c r="M149" s="33" t="inlineStr">
        <is>
          <t>mww</t>
        </is>
      </c>
      <c r="N149" s="33" t="n">
        <v>10</v>
      </c>
      <c r="O149" s="33" t="n">
        <v>-18.5747</v>
      </c>
      <c r="P149" s="33" t="n">
        <v>-175.272</v>
      </c>
      <c r="Q149" s="33" t="inlineStr">
        <is>
          <t>Neiafu, Tonga</t>
        </is>
      </c>
      <c r="T149" s="36">
        <f>DATE(MID(C149,7,4),MID(C149,4,2),MID(C149,1,2))+TIME(MID(C149,12,2),MID(C149,15,2),0)</f>
        <v/>
      </c>
      <c r="U149" s="33">
        <f>IF(ISNUMBER(VALUE(MID(A149,7,1))),"Distance-prefix pattern","Named-region pattern")</f>
        <v/>
      </c>
      <c r="V149" s="33">
        <f>LOWER(M149)</f>
        <v/>
      </c>
      <c r="W149" s="33">
        <f>IF(COUNTIFS($A$2:$A$1001,A149,$C$2:$C$1001,C149)&gt;1,"Duplicate","Unique")</f>
        <v/>
      </c>
      <c r="X149" s="33">
        <f>YEAR(T149)</f>
        <v/>
      </c>
      <c r="Y149" s="33">
        <f>IF(B149&lt;6.5,"&lt;6.5",IF(B149&lt;7,"6.5–6.9",IF(B149&lt;7.5,"7.0–7.4",IF(B149&lt;8,"7.5–7.9","8.0+"))))</f>
        <v/>
      </c>
      <c r="Z149" s="33">
        <f>IF(F149="","Blank",F149)</f>
        <v/>
      </c>
    </row>
    <row r="150" ht="15" customHeight="1" s="34">
      <c r="A150" s="33" t="inlineStr">
        <is>
          <t>M 6.5 - 2km ESE of Kisante, Philippines</t>
        </is>
      </c>
      <c r="B150" s="33" t="n">
        <v>6.5</v>
      </c>
      <c r="C150" s="33" t="inlineStr">
        <is>
          <t>31/10/2019 01:11</t>
        </is>
      </c>
      <c r="D150" s="33" t="n">
        <v>9</v>
      </c>
      <c r="E150" s="33" t="n">
        <v>7</v>
      </c>
      <c r="F150" s="33" t="inlineStr">
        <is>
          <t>green</t>
        </is>
      </c>
      <c r="G150" s="33" t="n">
        <v>1</v>
      </c>
      <c r="H150" s="33" t="n">
        <v>733</v>
      </c>
      <c r="I150" s="33" t="inlineStr">
        <is>
          <t>us</t>
        </is>
      </c>
      <c r="J150" s="33" t="n">
        <v>0</v>
      </c>
      <c r="K150" s="33" t="n">
        <v>0.428</v>
      </c>
      <c r="L150" s="33" t="n">
        <v>19</v>
      </c>
      <c r="M150" s="33" t="inlineStr">
        <is>
          <t>mww</t>
        </is>
      </c>
      <c r="N150" s="33" t="n">
        <v>10</v>
      </c>
      <c r="O150" s="33" t="n">
        <v>6.9098</v>
      </c>
      <c r="P150" s="33" t="n">
        <v>125.178</v>
      </c>
      <c r="Q150" s="33" t="inlineStr">
        <is>
          <t>Kisante, Philippines</t>
        </is>
      </c>
      <c r="S150" s="33" t="inlineStr">
        <is>
          <t>Philippines</t>
        </is>
      </c>
      <c r="T150" s="36">
        <f>DATE(MID(C150,7,4),MID(C150,4,2),MID(C150,1,2))+TIME(MID(C150,12,2),MID(C150,15,2),0)</f>
        <v/>
      </c>
      <c r="U150" s="33">
        <f>IF(ISNUMBER(VALUE(MID(A150,7,1))),"Distance-prefix pattern","Named-region pattern")</f>
        <v/>
      </c>
      <c r="V150" s="33">
        <f>LOWER(M150)</f>
        <v/>
      </c>
      <c r="W150" s="33">
        <f>IF(COUNTIFS($A$2:$A$1001,A150,$C$2:$C$1001,C150)&gt;1,"Duplicate","Unique")</f>
        <v/>
      </c>
      <c r="X150" s="33">
        <f>YEAR(T150)</f>
        <v/>
      </c>
      <c r="Y150" s="33">
        <f>IF(B150&lt;6.5,"&lt;6.5",IF(B150&lt;7,"6.5–6.9",IF(B150&lt;7.5,"7.0–7.4",IF(B150&lt;8,"7.5–7.9","8.0+"))))</f>
        <v/>
      </c>
      <c r="Z150" s="33">
        <f>IF(F150="","Blank",F150)</f>
        <v/>
      </c>
    </row>
    <row r="151" ht="15" customHeight="1" s="34">
      <c r="A151" s="33" t="inlineStr">
        <is>
          <t>M 6.6 - 10 km NE of Columbio, Philippines</t>
        </is>
      </c>
      <c r="B151" s="33" t="n">
        <v>6.6</v>
      </c>
      <c r="C151" s="33" t="inlineStr">
        <is>
          <t>29/10/2019 01:04</t>
        </is>
      </c>
      <c r="D151" s="33" t="n">
        <v>9</v>
      </c>
      <c r="E151" s="33" t="n">
        <v>7</v>
      </c>
      <c r="F151" s="33" t="inlineStr">
        <is>
          <t>yellow</t>
        </is>
      </c>
      <c r="G151" s="33" t="n">
        <v>1</v>
      </c>
      <c r="H151" s="33" t="n">
        <v>780</v>
      </c>
      <c r="I151" s="33" t="inlineStr">
        <is>
          <t>us</t>
        </is>
      </c>
      <c r="J151" s="33" t="n">
        <v>0</v>
      </c>
      <c r="K151" s="33" t="n">
        <v>0.646</v>
      </c>
      <c r="L151" s="33" t="n">
        <v>24</v>
      </c>
      <c r="M151" s="33" t="inlineStr">
        <is>
          <t>mww</t>
        </is>
      </c>
      <c r="N151" s="33" t="n">
        <v>15</v>
      </c>
      <c r="O151" s="33" t="n">
        <v>6.7567</v>
      </c>
      <c r="P151" s="33" t="n">
        <v>125.008</v>
      </c>
      <c r="Q151" s="33" t="inlineStr">
        <is>
          <t>Columbio, Philippines</t>
        </is>
      </c>
      <c r="S151" s="33" t="inlineStr">
        <is>
          <t>Philippines</t>
        </is>
      </c>
      <c r="T151" s="36">
        <f>DATE(MID(C151,7,4),MID(C151,4,2),MID(C151,1,2))+TIME(MID(C151,12,2),MID(C151,15,2),0)</f>
        <v/>
      </c>
      <c r="U151" s="33">
        <f>IF(ISNUMBER(VALUE(MID(A151,7,1))),"Distance-prefix pattern","Named-region pattern")</f>
        <v/>
      </c>
      <c r="V151" s="33">
        <f>LOWER(M151)</f>
        <v/>
      </c>
      <c r="W151" s="33">
        <f>IF(COUNTIFS($A$2:$A$1001,A151,$C$2:$C$1001,C151)&gt;1,"Duplicate","Unique")</f>
        <v/>
      </c>
      <c r="X151" s="33">
        <f>YEAR(T151)</f>
        <v/>
      </c>
      <c r="Y151" s="33">
        <f>IF(B151&lt;6.5,"&lt;6.5",IF(B151&lt;7,"6.5–6.9",IF(B151&lt;7.5,"7.0–7.4",IF(B151&lt;8,"7.5–7.9","8.0+"))))</f>
        <v/>
      </c>
      <c r="Z151" s="33">
        <f>IF(F151="","Blank",F151)</f>
        <v/>
      </c>
    </row>
    <row r="152" ht="15" customHeight="1" s="34">
      <c r="A152" s="33" t="inlineStr">
        <is>
          <t>M 6.7 - 70 km WSW of Constitución, Chile</t>
        </is>
      </c>
      <c r="B152" s="33" t="n">
        <v>6.7</v>
      </c>
      <c r="C152" s="33" t="inlineStr">
        <is>
          <t>29/09/2019 15:57</t>
        </is>
      </c>
      <c r="D152" s="33" t="n">
        <v>7</v>
      </c>
      <c r="E152" s="33" t="n">
        <v>6</v>
      </c>
      <c r="F152" s="33" t="inlineStr">
        <is>
          <t>green</t>
        </is>
      </c>
      <c r="G152" s="33" t="n">
        <v>1</v>
      </c>
      <c r="H152" s="33" t="n">
        <v>844</v>
      </c>
      <c r="I152" s="33" t="inlineStr">
        <is>
          <t>us</t>
        </is>
      </c>
      <c r="J152" s="33" t="n">
        <v>0</v>
      </c>
      <c r="K152" s="33" t="n">
        <v>1.269</v>
      </c>
      <c r="L152" s="33" t="n">
        <v>98</v>
      </c>
      <c r="M152" s="33" t="inlineStr">
        <is>
          <t>mww</t>
        </is>
      </c>
      <c r="N152" s="33" t="n">
        <v>11</v>
      </c>
      <c r="O152" s="33" t="n">
        <v>-35.4758</v>
      </c>
      <c r="P152" s="33" t="n">
        <v>-73.163</v>
      </c>
      <c r="Q152" s="33" t="inlineStr">
        <is>
          <t>Constitución, Chile</t>
        </is>
      </c>
      <c r="T152" s="36">
        <f>DATE(MID(C152,7,4),MID(C152,4,2),MID(C152,1,2))+TIME(MID(C152,12,2),MID(C152,15,2),0)</f>
        <v/>
      </c>
      <c r="U152" s="33">
        <f>IF(ISNUMBER(VALUE(MID(A152,7,1))),"Distance-prefix pattern","Named-region pattern")</f>
        <v/>
      </c>
      <c r="V152" s="33">
        <f>LOWER(M152)</f>
        <v/>
      </c>
      <c r="W152" s="33">
        <f>IF(COUNTIFS($A$2:$A$1001,A152,$C$2:$C$1001,C152)&gt;1,"Duplicate","Unique")</f>
        <v/>
      </c>
      <c r="X152" s="33">
        <f>YEAR(T152)</f>
        <v/>
      </c>
      <c r="Y152" s="33">
        <f>IF(B152&lt;6.5,"&lt;6.5",IF(B152&lt;7,"6.5–6.9",IF(B152&lt;7.5,"7.0–7.4",IF(B152&lt;8,"7.5–7.9","8.0+"))))</f>
        <v/>
      </c>
      <c r="Z152" s="33">
        <f>IF(F152="","Blank",F152)</f>
        <v/>
      </c>
    </row>
    <row r="153" ht="15" customHeight="1" s="34">
      <c r="A153" s="33" t="inlineStr">
        <is>
          <t>M 6.5 - 11km S of Kairatu, Indonesia</t>
        </is>
      </c>
      <c r="B153" s="33" t="n">
        <v>6.5</v>
      </c>
      <c r="C153" s="33" t="inlineStr">
        <is>
          <t>25/09/2019 23:46</t>
        </is>
      </c>
      <c r="D153" s="33" t="n">
        <v>7</v>
      </c>
      <c r="E153" s="33" t="n">
        <v>7</v>
      </c>
      <c r="F153" s="33" t="inlineStr">
        <is>
          <t>yellow</t>
        </is>
      </c>
      <c r="G153" s="33" t="n">
        <v>1</v>
      </c>
      <c r="H153" s="33" t="n">
        <v>656</v>
      </c>
      <c r="I153" s="33" t="inlineStr">
        <is>
          <t>us</t>
        </is>
      </c>
      <c r="J153" s="33" t="n">
        <v>0</v>
      </c>
      <c r="K153" s="33" t="n">
        <v>3.909</v>
      </c>
      <c r="L153" s="33" t="n">
        <v>15</v>
      </c>
      <c r="M153" s="33" t="inlineStr">
        <is>
          <t>mww</t>
        </is>
      </c>
      <c r="N153" s="33" t="n">
        <v>12.26</v>
      </c>
      <c r="O153" s="33" t="n">
        <v>-3.4528</v>
      </c>
      <c r="P153" s="33" t="n">
        <v>128.37</v>
      </c>
      <c r="Q153" s="33" t="inlineStr">
        <is>
          <t>Kairatu, Indonesia</t>
        </is>
      </c>
      <c r="S153" s="33" t="inlineStr">
        <is>
          <t>Indonesia</t>
        </is>
      </c>
      <c r="T153" s="36">
        <f>DATE(MID(C153,7,4),MID(C153,4,2),MID(C153,1,2))+TIME(MID(C153,12,2),MID(C153,15,2),0)</f>
        <v/>
      </c>
      <c r="U153" s="33">
        <f>IF(ISNUMBER(VALUE(MID(A153,7,1))),"Distance-prefix pattern","Named-region pattern")</f>
        <v/>
      </c>
      <c r="V153" s="33">
        <f>LOWER(M153)</f>
        <v/>
      </c>
      <c r="W153" s="33">
        <f>IF(COUNTIFS($A$2:$A$1001,A153,$C$2:$C$1001,C153)&gt;1,"Duplicate","Unique")</f>
        <v/>
      </c>
      <c r="X153" s="33">
        <f>YEAR(T153)</f>
        <v/>
      </c>
      <c r="Y153" s="33">
        <f>IF(B153&lt;6.5,"&lt;6.5",IF(B153&lt;7,"6.5–6.9",IF(B153&lt;7.5,"7.0–7.4",IF(B153&lt;8,"7.5–7.9","8.0+"))))</f>
        <v/>
      </c>
      <c r="Z153" s="33">
        <f>IF(F153="","Blank",F153)</f>
        <v/>
      </c>
    </row>
    <row r="154" ht="15" customHeight="1" s="34">
      <c r="A154" s="33" t="inlineStr">
        <is>
          <t>M 6.6 - 34km NNE of Ndoi Island, Fiji</t>
        </is>
      </c>
      <c r="B154" s="33" t="n">
        <v>6.6</v>
      </c>
      <c r="C154" s="33" t="inlineStr">
        <is>
          <t>01/09/2019 15:54</t>
        </is>
      </c>
      <c r="D154" s="33" t="n">
        <v>2</v>
      </c>
      <c r="E154" s="33" t="n">
        <v>3</v>
      </c>
      <c r="G154" s="33" t="n">
        <v>1</v>
      </c>
      <c r="H154" s="33" t="n">
        <v>671</v>
      </c>
      <c r="I154" s="33" t="inlineStr">
        <is>
          <t>us</t>
        </is>
      </c>
      <c r="J154" s="33" t="n">
        <v>0</v>
      </c>
      <c r="K154" s="33" t="n">
        <v>4.121</v>
      </c>
      <c r="L154" s="33" t="n">
        <v>19</v>
      </c>
      <c r="M154" s="33" t="inlineStr">
        <is>
          <t>mww</t>
        </is>
      </c>
      <c r="N154" s="33" t="n">
        <v>591</v>
      </c>
      <c r="O154" s="33" t="n">
        <v>-20.3641</v>
      </c>
      <c r="P154" s="33" t="n">
        <v>-178.57</v>
      </c>
      <c r="Q154" s="33" t="inlineStr">
        <is>
          <t>Ndoi Island, Fiji</t>
        </is>
      </c>
      <c r="S154" s="33" t="inlineStr">
        <is>
          <t>Fiji</t>
        </is>
      </c>
      <c r="T154" s="36">
        <f>DATE(MID(C154,7,4),MID(C154,4,2),MID(C154,1,2))+TIME(MID(C154,12,2),MID(C154,15,2),0)</f>
        <v/>
      </c>
      <c r="U154" s="33">
        <f>IF(ISNUMBER(VALUE(MID(A154,7,1))),"Distance-prefix pattern","Named-region pattern")</f>
        <v/>
      </c>
      <c r="V154" s="33">
        <f>LOWER(M154)</f>
        <v/>
      </c>
      <c r="W154" s="33">
        <f>IF(COUNTIFS($A$2:$A$1001,A154,$C$2:$C$1001,C154)&gt;1,"Duplicate","Unique")</f>
        <v/>
      </c>
      <c r="X154" s="33">
        <f>YEAR(T154)</f>
        <v/>
      </c>
      <c r="Y154" s="33">
        <f>IF(B154&lt;6.5,"&lt;6.5",IF(B154&lt;7,"6.5–6.9",IF(B154&lt;7.5,"7.0–7.4",IF(B154&lt;8,"7.5–7.9","8.0+"))))</f>
        <v/>
      </c>
      <c r="Z154" s="33">
        <f>IF(F154="","Blank",F154)</f>
        <v/>
      </c>
    </row>
    <row r="155" ht="15" customHeight="1" s="34">
      <c r="A155" s="33" t="inlineStr">
        <is>
          <t>M 6.6 - 131km S of Bristol Island, South Sandwich Islands</t>
        </is>
      </c>
      <c r="B155" s="33" t="n">
        <v>6.6</v>
      </c>
      <c r="C155" s="33" t="inlineStr">
        <is>
          <t>27/08/2019 23:55</t>
        </is>
      </c>
      <c r="D155" s="33" t="n">
        <v>0</v>
      </c>
      <c r="E155" s="33" t="n">
        <v>4</v>
      </c>
      <c r="F155" s="33" t="inlineStr">
        <is>
          <t>green</t>
        </is>
      </c>
      <c r="G155" s="33" t="n">
        <v>1</v>
      </c>
      <c r="H155" s="33" t="n">
        <v>670</v>
      </c>
      <c r="I155" s="33" t="inlineStr">
        <is>
          <t>us</t>
        </is>
      </c>
      <c r="J155" s="33" t="n">
        <v>0</v>
      </c>
      <c r="K155" s="33" t="n">
        <v>12.896</v>
      </c>
      <c r="L155" s="33" t="n">
        <v>19</v>
      </c>
      <c r="M155" s="33" t="inlineStr">
        <is>
          <t>mww</t>
        </is>
      </c>
      <c r="N155" s="33" t="n">
        <v>16</v>
      </c>
      <c r="O155" s="33" t="n">
        <v>-60.2152</v>
      </c>
      <c r="P155" s="33" t="n">
        <v>-26.5801</v>
      </c>
      <c r="Q155" s="33" t="inlineStr">
        <is>
          <t>Bristol Island, South Sandwich Islands</t>
        </is>
      </c>
      <c r="S155" s="33" t="inlineStr">
        <is>
          <t>United Kingdom of Great Britain and Northern Ireland (the)</t>
        </is>
      </c>
      <c r="T155" s="36">
        <f>DATE(MID(C155,7,4),MID(C155,4,2),MID(C155,1,2))+TIME(MID(C155,12,2),MID(C155,15,2),0)</f>
        <v/>
      </c>
      <c r="U155" s="33">
        <f>IF(ISNUMBER(VALUE(MID(A155,7,1))),"Distance-prefix pattern","Named-region pattern")</f>
        <v/>
      </c>
      <c r="V155" s="33">
        <f>LOWER(M155)</f>
        <v/>
      </c>
      <c r="W155" s="33">
        <f>IF(COUNTIFS($A$2:$A$1001,A155,$C$2:$C$1001,C155)&gt;1,"Duplicate","Unique")</f>
        <v/>
      </c>
      <c r="X155" s="33">
        <f>YEAR(T155)</f>
        <v/>
      </c>
      <c r="Y155" s="33">
        <f>IF(B155&lt;6.5,"&lt;6.5",IF(B155&lt;7,"6.5–6.9",IF(B155&lt;7.5,"7.0–7.4",IF(B155&lt;8,"7.5–7.9","8.0+"))))</f>
        <v/>
      </c>
      <c r="Z155" s="33">
        <f>IF(F155="","Blank",F155)</f>
        <v/>
      </c>
    </row>
    <row r="156" ht="15" customHeight="1" s="34">
      <c r="A156" s="33" t="inlineStr">
        <is>
          <t>M 6.9 - 152 km SW of Labuan, Indonesia</t>
        </is>
      </c>
      <c r="B156" s="33" t="n">
        <v>6.9</v>
      </c>
      <c r="C156" s="33" t="inlineStr">
        <is>
          <t>02/08/2019 12:03</t>
        </is>
      </c>
      <c r="D156" s="33" t="n">
        <v>4</v>
      </c>
      <c r="E156" s="33" t="n">
        <v>6</v>
      </c>
      <c r="F156" s="33" t="inlineStr">
        <is>
          <t>green</t>
        </is>
      </c>
      <c r="G156" s="33" t="n">
        <v>0</v>
      </c>
      <c r="H156" s="33" t="n">
        <v>875</v>
      </c>
      <c r="I156" s="33" t="inlineStr">
        <is>
          <t>us</t>
        </is>
      </c>
      <c r="J156" s="33" t="n">
        <v>0</v>
      </c>
      <c r="K156" s="33" t="n">
        <v>2.839</v>
      </c>
      <c r="L156" s="33" t="n">
        <v>23</v>
      </c>
      <c r="M156" s="33" t="inlineStr">
        <is>
          <t>mww</t>
        </is>
      </c>
      <c r="N156" s="33" t="n">
        <v>49</v>
      </c>
      <c r="O156" s="33" t="n">
        <v>-7.2822</v>
      </c>
      <c r="P156" s="33" t="n">
        <v>104.791</v>
      </c>
      <c r="Q156" s="33" t="inlineStr">
        <is>
          <t>Labuan, Indonesia</t>
        </is>
      </c>
      <c r="T156" s="36">
        <f>DATE(MID(C156,7,4),MID(C156,4,2),MID(C156,1,2))+TIME(MID(C156,12,2),MID(C156,15,2),0)</f>
        <v/>
      </c>
      <c r="U156" s="33">
        <f>IF(ISNUMBER(VALUE(MID(A156,7,1))),"Distance-prefix pattern","Named-region pattern")</f>
        <v/>
      </c>
      <c r="V156" s="33">
        <f>LOWER(M156)</f>
        <v/>
      </c>
      <c r="W156" s="33">
        <f>IF(COUNTIFS($A$2:$A$1001,A156,$C$2:$C$1001,C156)&gt;1,"Duplicate","Unique")</f>
        <v/>
      </c>
      <c r="X156" s="33">
        <f>YEAR(T156)</f>
        <v/>
      </c>
      <c r="Y156" s="33">
        <f>IF(B156&lt;6.5,"&lt;6.5",IF(B156&lt;7,"6.5–6.9",IF(B156&lt;7.5,"7.0–7.4",IF(B156&lt;8,"7.5–7.9","8.0+"))))</f>
        <v/>
      </c>
      <c r="Z156" s="33">
        <f>IF(F156="","Blank",F156)</f>
        <v/>
      </c>
    </row>
    <row r="157" ht="15" customHeight="1" s="34">
      <c r="A157" s="33" t="inlineStr">
        <is>
          <t>M 6.8 - 96 km SW of San Antonio, Chile</t>
        </is>
      </c>
      <c r="B157" s="33" t="n">
        <v>6.8</v>
      </c>
      <c r="C157" s="33" t="inlineStr">
        <is>
          <t>01/08/2019 18:28</t>
        </is>
      </c>
      <c r="D157" s="33" t="n">
        <v>6</v>
      </c>
      <c r="E157" s="33" t="n">
        <v>6</v>
      </c>
      <c r="F157" s="33" t="inlineStr">
        <is>
          <t>green</t>
        </is>
      </c>
      <c r="G157" s="33" t="n">
        <v>1</v>
      </c>
      <c r="H157" s="33" t="n">
        <v>947</v>
      </c>
      <c r="I157" s="33" t="inlineStr">
        <is>
          <t>us</t>
        </is>
      </c>
      <c r="J157" s="33" t="n">
        <v>0</v>
      </c>
      <c r="K157" s="33" t="n">
        <v>0.8169999999999999</v>
      </c>
      <c r="L157" s="33" t="n">
        <v>35</v>
      </c>
      <c r="M157" s="33" t="inlineStr">
        <is>
          <t>mww</t>
        </is>
      </c>
      <c r="N157" s="33" t="n">
        <v>25</v>
      </c>
      <c r="O157" s="33" t="n">
        <v>-34.2364</v>
      </c>
      <c r="P157" s="33" t="n">
        <v>-72.31019999999999</v>
      </c>
      <c r="Q157" s="33" t="inlineStr">
        <is>
          <t>San Antonio, Chile</t>
        </is>
      </c>
      <c r="T157" s="36">
        <f>DATE(MID(C157,7,4),MID(C157,4,2),MID(C157,1,2))+TIME(MID(C157,12,2),MID(C157,15,2),0)</f>
        <v/>
      </c>
      <c r="U157" s="33">
        <f>IF(ISNUMBER(VALUE(MID(A157,7,1))),"Distance-prefix pattern","Named-region pattern")</f>
        <v/>
      </c>
      <c r="V157" s="33">
        <f>LOWER(M157)</f>
        <v/>
      </c>
      <c r="W157" s="33">
        <f>IF(COUNTIFS($A$2:$A$1001,A157,$C$2:$C$1001,C157)&gt;1,"Duplicate","Unique")</f>
        <v/>
      </c>
      <c r="X157" s="33">
        <f>YEAR(T157)</f>
        <v/>
      </c>
      <c r="Y157" s="33">
        <f>IF(B157&lt;6.5,"&lt;6.5",IF(B157&lt;7,"6.5–6.9",IF(B157&lt;7.5,"7.0–7.4",IF(B157&lt;8,"7.5–7.9","8.0+"))))</f>
        <v/>
      </c>
      <c r="Z157" s="33">
        <f>IF(F157="","Blank",F157)</f>
        <v/>
      </c>
    </row>
    <row r="158" ht="15" customHeight="1" s="34">
      <c r="A158" s="33" t="inlineStr">
        <is>
          <t>M 6.6 - 62km E of Lakatoro, Vanuatu</t>
        </is>
      </c>
      <c r="B158" s="33" t="n">
        <v>6.6</v>
      </c>
      <c r="C158" s="33" t="inlineStr">
        <is>
          <t>31/07/2019 15:02</t>
        </is>
      </c>
      <c r="D158" s="33" t="n">
        <v>0</v>
      </c>
      <c r="E158" s="33" t="n">
        <v>4</v>
      </c>
      <c r="F158" s="33" t="inlineStr">
        <is>
          <t>green</t>
        </is>
      </c>
      <c r="G158" s="33" t="n">
        <v>1</v>
      </c>
      <c r="H158" s="33" t="n">
        <v>670</v>
      </c>
      <c r="I158" s="33" t="inlineStr">
        <is>
          <t>us</t>
        </is>
      </c>
      <c r="J158" s="33" t="n">
        <v>0</v>
      </c>
      <c r="K158" s="33" t="n">
        <v>6.024</v>
      </c>
      <c r="L158" s="33" t="n">
        <v>30</v>
      </c>
      <c r="M158" s="33" t="inlineStr">
        <is>
          <t>mww</t>
        </is>
      </c>
      <c r="N158" s="33" t="n">
        <v>181</v>
      </c>
      <c r="O158" s="33" t="n">
        <v>-16.1985</v>
      </c>
      <c r="P158" s="33" t="n">
        <v>167.998</v>
      </c>
      <c r="Q158" s="33" t="inlineStr">
        <is>
          <t>Lakatoro, Vanuatu</t>
        </is>
      </c>
      <c r="S158" s="33" t="inlineStr">
        <is>
          <t>Vanuatu</t>
        </is>
      </c>
      <c r="T158" s="36">
        <f>DATE(MID(C158,7,4),MID(C158,4,2),MID(C158,1,2))+TIME(MID(C158,12,2),MID(C158,15,2),0)</f>
        <v/>
      </c>
      <c r="U158" s="33">
        <f>IF(ISNUMBER(VALUE(MID(A158,7,1))),"Distance-prefix pattern","Named-region pattern")</f>
        <v/>
      </c>
      <c r="V158" s="33">
        <f>LOWER(M158)</f>
        <v/>
      </c>
      <c r="W158" s="33">
        <f>IF(COUNTIFS($A$2:$A$1001,A158,$C$2:$C$1001,C158)&gt;1,"Duplicate","Unique")</f>
        <v/>
      </c>
      <c r="X158" s="33">
        <f>YEAR(T158)</f>
        <v/>
      </c>
      <c r="Y158" s="33">
        <f>IF(B158&lt;6.5,"&lt;6.5",IF(B158&lt;7,"6.5–6.9",IF(B158&lt;7.5,"7.0–7.4",IF(B158&lt;8,"7.5–7.9","8.0+"))))</f>
        <v/>
      </c>
      <c r="Z158" s="33">
        <f>IF(F158="","Blank",F158)</f>
        <v/>
      </c>
    </row>
    <row r="159" ht="15" customHeight="1" s="34">
      <c r="A159" s="33" t="inlineStr">
        <is>
          <t>M 7.2 - 93km NNE of Laiwui, Indonesia</t>
        </is>
      </c>
      <c r="B159" s="33" t="n">
        <v>7.2</v>
      </c>
      <c r="C159" s="33" t="inlineStr">
        <is>
          <t>14/07/2019 09:10</t>
        </is>
      </c>
      <c r="D159" s="33" t="n">
        <v>7</v>
      </c>
      <c r="E159" s="33" t="n">
        <v>7</v>
      </c>
      <c r="F159" s="33" t="inlineStr">
        <is>
          <t>green</t>
        </is>
      </c>
      <c r="G159" s="33" t="n">
        <v>1</v>
      </c>
      <c r="H159" s="33" t="n">
        <v>809</v>
      </c>
      <c r="I159" s="33" t="inlineStr">
        <is>
          <t>us</t>
        </is>
      </c>
      <c r="J159" s="33" t="n">
        <v>0</v>
      </c>
      <c r="K159" s="33" t="n">
        <v>1.504</v>
      </c>
      <c r="L159" s="33" t="n">
        <v>38</v>
      </c>
      <c r="M159" s="33" t="inlineStr">
        <is>
          <t>mww</t>
        </is>
      </c>
      <c r="N159" s="33" t="n">
        <v>18.98</v>
      </c>
      <c r="O159" s="33" t="n">
        <v>-0.5858</v>
      </c>
      <c r="P159" s="33" t="n">
        <v>128.034</v>
      </c>
      <c r="Q159" s="33" t="inlineStr">
        <is>
          <t>Laiwui, Indonesia</t>
        </is>
      </c>
      <c r="S159" s="33" t="inlineStr">
        <is>
          <t>Indonesia</t>
        </is>
      </c>
      <c r="T159" s="36">
        <f>DATE(MID(C159,7,4),MID(C159,4,2),MID(C159,1,2))+TIME(MID(C159,12,2),MID(C159,15,2),0)</f>
        <v/>
      </c>
      <c r="U159" s="33">
        <f>IF(ISNUMBER(VALUE(MID(A159,7,1))),"Distance-prefix pattern","Named-region pattern")</f>
        <v/>
      </c>
      <c r="V159" s="33">
        <f>LOWER(M159)</f>
        <v/>
      </c>
      <c r="W159" s="33">
        <f>IF(COUNTIFS($A$2:$A$1001,A159,$C$2:$C$1001,C159)&gt;1,"Duplicate","Unique")</f>
        <v/>
      </c>
      <c r="X159" s="33">
        <f>YEAR(T159)</f>
        <v/>
      </c>
      <c r="Y159" s="33">
        <f>IF(B159&lt;6.5,"&lt;6.5",IF(B159&lt;7,"6.5–6.9",IF(B159&lt;7.5,"7.0–7.4",IF(B159&lt;8,"7.5–7.9","8.0+"))))</f>
        <v/>
      </c>
      <c r="Z159" s="33">
        <f>IF(F159="","Blank",F159)</f>
        <v/>
      </c>
    </row>
    <row r="160" ht="15" customHeight="1" s="34">
      <c r="A160" s="33" t="inlineStr">
        <is>
          <t>M 6.6 - 200km W of Broome, Australia</t>
        </is>
      </c>
      <c r="B160" s="33" t="n">
        <v>6.6</v>
      </c>
      <c r="C160" s="33" t="inlineStr">
        <is>
          <t>14/07/2019 05:39</t>
        </is>
      </c>
      <c r="D160" s="33" t="n">
        <v>5</v>
      </c>
      <c r="E160" s="33" t="n">
        <v>5</v>
      </c>
      <c r="F160" s="33" t="inlineStr">
        <is>
          <t>green</t>
        </is>
      </c>
      <c r="G160" s="33" t="n">
        <v>0</v>
      </c>
      <c r="H160" s="33" t="n">
        <v>791</v>
      </c>
      <c r="I160" s="33" t="inlineStr">
        <is>
          <t>us</t>
        </is>
      </c>
      <c r="J160" s="33" t="n">
        <v>0</v>
      </c>
      <c r="K160" s="33" t="n">
        <v>2.978</v>
      </c>
      <c r="L160" s="33" t="n">
        <v>32</v>
      </c>
      <c r="M160" s="33" t="inlineStr">
        <is>
          <t>mww</t>
        </is>
      </c>
      <c r="N160" s="33" t="n">
        <v>10</v>
      </c>
      <c r="O160" s="33" t="n">
        <v>-18.2242</v>
      </c>
      <c r="P160" s="33" t="n">
        <v>120.358</v>
      </c>
      <c r="Q160" s="33" t="inlineStr">
        <is>
          <t>Broome, Australia</t>
        </is>
      </c>
      <c r="T160" s="36">
        <f>DATE(MID(C160,7,4),MID(C160,4,2),MID(C160,1,2))+TIME(MID(C160,12,2),MID(C160,15,2),0)</f>
        <v/>
      </c>
      <c r="U160" s="33">
        <f>IF(ISNUMBER(VALUE(MID(A160,7,1))),"Distance-prefix pattern","Named-region pattern")</f>
        <v/>
      </c>
      <c r="V160" s="33">
        <f>LOWER(M160)</f>
        <v/>
      </c>
      <c r="W160" s="33">
        <f>IF(COUNTIFS($A$2:$A$1001,A160,$C$2:$C$1001,C160)&gt;1,"Duplicate","Unique")</f>
        <v/>
      </c>
      <c r="X160" s="33">
        <f>YEAR(T160)</f>
        <v/>
      </c>
      <c r="Y160" s="33">
        <f>IF(B160&lt;6.5,"&lt;6.5",IF(B160&lt;7,"6.5–6.9",IF(B160&lt;7.5,"7.0–7.4",IF(B160&lt;8,"7.5–7.9","8.0+"))))</f>
        <v/>
      </c>
      <c r="Z160" s="33">
        <f>IF(F160="","Blank",F160)</f>
        <v/>
      </c>
    </row>
    <row r="161" ht="15" customHeight="1" s="34">
      <c r="A161" s="33" t="inlineStr">
        <is>
          <t>M 6.9 - 134km WSW of Kota Ternate, Indonesia</t>
        </is>
      </c>
      <c r="B161" s="33" t="n">
        <v>6.9</v>
      </c>
      <c r="C161" s="33" t="inlineStr">
        <is>
          <t>07/07/2019 15:08</t>
        </is>
      </c>
      <c r="D161" s="33" t="n">
        <v>7</v>
      </c>
      <c r="E161" s="33" t="n">
        <v>5</v>
      </c>
      <c r="F161" s="33" t="inlineStr">
        <is>
          <t>green</t>
        </is>
      </c>
      <c r="G161" s="33" t="n">
        <v>0</v>
      </c>
      <c r="H161" s="33" t="n">
        <v>747</v>
      </c>
      <c r="I161" s="33" t="inlineStr">
        <is>
          <t>us</t>
        </is>
      </c>
      <c r="J161" s="33" t="n">
        <v>0</v>
      </c>
      <c r="K161" s="33" t="n">
        <v>1.205</v>
      </c>
      <c r="L161" s="33" t="n">
        <v>21</v>
      </c>
      <c r="M161" s="33" t="inlineStr">
        <is>
          <t>mww</t>
        </is>
      </c>
      <c r="N161" s="33" t="n">
        <v>35</v>
      </c>
      <c r="O161" s="33" t="n">
        <v>0.5125999999999999</v>
      </c>
      <c r="P161" s="33" t="n">
        <v>126.189</v>
      </c>
      <c r="Q161" s="33" t="inlineStr">
        <is>
          <t>Kota Ternate, Indonesia</t>
        </is>
      </c>
      <c r="S161" s="33" t="inlineStr">
        <is>
          <t>Indonesia</t>
        </is>
      </c>
      <c r="T161" s="36">
        <f>DATE(MID(C161,7,4),MID(C161,4,2),MID(C161,1,2))+TIME(MID(C161,12,2),MID(C161,15,2),0)</f>
        <v/>
      </c>
      <c r="U161" s="33">
        <f>IF(ISNUMBER(VALUE(MID(A161,7,1))),"Distance-prefix pattern","Named-region pattern")</f>
        <v/>
      </c>
      <c r="V161" s="33">
        <f>LOWER(M161)</f>
        <v/>
      </c>
      <c r="W161" s="33">
        <f>IF(COUNTIFS($A$2:$A$1001,A161,$C$2:$C$1001,C161)&gt;1,"Duplicate","Unique")</f>
        <v/>
      </c>
      <c r="X161" s="33">
        <f>YEAR(T161)</f>
        <v/>
      </c>
      <c r="Y161" s="33">
        <f>IF(B161&lt;6.5,"&lt;6.5",IF(B161&lt;7,"6.5–6.9",IF(B161&lt;7.5,"7.0–7.4",IF(B161&lt;8,"7.5–7.9","8.0+"))))</f>
        <v/>
      </c>
      <c r="Z161" s="33">
        <f>IF(F161="","Blank",F161)</f>
        <v/>
      </c>
    </row>
    <row r="162" ht="15" customHeight="1" s="34">
      <c r="A162" s="33" t="inlineStr">
        <is>
          <t>M 7.1 - 18km W of Searles Valley, CA</t>
        </is>
      </c>
      <c r="B162" s="33" t="n">
        <v>7.1</v>
      </c>
      <c r="C162" s="33" t="inlineStr">
        <is>
          <t>06/07/2019 03:19</t>
        </is>
      </c>
      <c r="D162" s="33" t="n">
        <v>9</v>
      </c>
      <c r="E162" s="33" t="n">
        <v>9</v>
      </c>
      <c r="F162" s="33" t="inlineStr">
        <is>
          <t>yellow</t>
        </is>
      </c>
      <c r="G162" s="33" t="n">
        <v>0</v>
      </c>
      <c r="H162" s="33" t="n">
        <v>1646</v>
      </c>
      <c r="I162" s="33" t="inlineStr">
        <is>
          <t>ci</t>
        </is>
      </c>
      <c r="J162" s="33" t="n">
        <v>77</v>
      </c>
      <c r="K162" s="33" t="n">
        <v>0.04616</v>
      </c>
      <c r="L162" s="33" t="n">
        <v>43</v>
      </c>
      <c r="M162" s="33" t="inlineStr">
        <is>
          <t>mw</t>
        </is>
      </c>
      <c r="N162" s="33" t="n">
        <v>8</v>
      </c>
      <c r="O162" s="33" t="n">
        <v>35.7695</v>
      </c>
      <c r="P162" s="33" t="n">
        <v>-117.599</v>
      </c>
      <c r="Q162" s="33" t="inlineStr">
        <is>
          <t>Searles Valley, CA</t>
        </is>
      </c>
      <c r="R162" s="33" t="inlineStr">
        <is>
          <t>North America</t>
        </is>
      </c>
      <c r="S162" s="33" t="inlineStr">
        <is>
          <t>United States of America</t>
        </is>
      </c>
      <c r="T162" s="36">
        <f>DATE(MID(C162,7,4),MID(C162,4,2),MID(C162,1,2))+TIME(MID(C162,12,2),MID(C162,15,2),0)</f>
        <v/>
      </c>
      <c r="U162" s="33">
        <f>IF(ISNUMBER(VALUE(MID(A162,7,1))),"Distance-prefix pattern","Named-region pattern")</f>
        <v/>
      </c>
      <c r="V162" s="33">
        <f>LOWER(M162)</f>
        <v/>
      </c>
      <c r="W162" s="33">
        <f>IF(COUNTIFS($A$2:$A$1001,A162,$C$2:$C$1001,C162)&gt;1,"Duplicate","Unique")</f>
        <v/>
      </c>
      <c r="X162" s="33">
        <f>YEAR(T162)</f>
        <v/>
      </c>
      <c r="Y162" s="33">
        <f>IF(B162&lt;6.5,"&lt;6.5",IF(B162&lt;7,"6.5–6.9",IF(B162&lt;7.5,"7.0–7.4",IF(B162&lt;8,"7.5–7.9","8.0+"))))</f>
        <v/>
      </c>
      <c r="Z162" s="33">
        <f>IF(F162="","Blank",F162)</f>
        <v/>
      </c>
    </row>
    <row r="163" ht="15" customHeight="1" s="34">
      <c r="A163" s="33" t="inlineStr">
        <is>
          <t>M 7.3 - 292km NW of Saumlaki, Indonesia</t>
        </is>
      </c>
      <c r="B163" s="33" t="n">
        <v>7.3</v>
      </c>
      <c r="C163" s="33" t="inlineStr">
        <is>
          <t>24/06/2019 02:53</t>
        </is>
      </c>
      <c r="D163" s="33" t="n">
        <v>4</v>
      </c>
      <c r="E163" s="33" t="n">
        <v>6</v>
      </c>
      <c r="F163" s="33" t="inlineStr">
        <is>
          <t>green</t>
        </is>
      </c>
      <c r="G163" s="33" t="n">
        <v>1</v>
      </c>
      <c r="H163" s="33" t="n">
        <v>952</v>
      </c>
      <c r="I163" s="33" t="inlineStr">
        <is>
          <t>us</t>
        </is>
      </c>
      <c r="J163" s="33" t="n">
        <v>0</v>
      </c>
      <c r="K163" s="33" t="n">
        <v>2.629</v>
      </c>
      <c r="L163" s="33" t="n">
        <v>16</v>
      </c>
      <c r="M163" s="33" t="inlineStr">
        <is>
          <t>mww</t>
        </is>
      </c>
      <c r="N163" s="33" t="n">
        <v>212</v>
      </c>
      <c r="O163" s="33" t="n">
        <v>-6.4078</v>
      </c>
      <c r="P163" s="33" t="n">
        <v>129.169</v>
      </c>
      <c r="Q163" s="33" t="inlineStr">
        <is>
          <t>Saumlaki, Indonesia</t>
        </is>
      </c>
      <c r="S163" s="33" t="inlineStr">
        <is>
          <t>Indonesia</t>
        </is>
      </c>
      <c r="T163" s="36">
        <f>DATE(MID(C163,7,4),MID(C163,4,2),MID(C163,1,2))+TIME(MID(C163,12,2),MID(C163,15,2),0)</f>
        <v/>
      </c>
      <c r="U163" s="33">
        <f>IF(ISNUMBER(VALUE(MID(A163,7,1))),"Distance-prefix pattern","Named-region pattern")</f>
        <v/>
      </c>
      <c r="V163" s="33">
        <f>LOWER(M163)</f>
        <v/>
      </c>
      <c r="W163" s="33">
        <f>IF(COUNTIFS($A$2:$A$1001,A163,$C$2:$C$1001,C163)&gt;1,"Duplicate","Unique")</f>
        <v/>
      </c>
      <c r="X163" s="33">
        <f>YEAR(T163)</f>
        <v/>
      </c>
      <c r="Y163" s="33">
        <f>IF(B163&lt;6.5,"&lt;6.5",IF(B163&lt;7,"6.5–6.9",IF(B163&lt;7.5,"7.0–7.4",IF(B163&lt;8,"7.5–7.9","8.0+"))))</f>
        <v/>
      </c>
      <c r="Z163" s="33">
        <f>IF(F163="","Blank",F163)</f>
        <v/>
      </c>
    </row>
    <row r="164" ht="15" customHeight="1" s="34">
      <c r="A164" s="33" t="inlineStr">
        <is>
          <t>M 7.3 - 116km NE of L'Esperance Rock, New Zealand</t>
        </is>
      </c>
      <c r="B164" s="33" t="n">
        <v>7.3</v>
      </c>
      <c r="C164" s="33" t="inlineStr">
        <is>
          <t>15/06/2019 22:55</t>
        </is>
      </c>
      <c r="D164" s="33" t="n">
        <v>8</v>
      </c>
      <c r="E164" s="33" t="n">
        <v>6</v>
      </c>
      <c r="F164" s="33" t="inlineStr">
        <is>
          <t>green</t>
        </is>
      </c>
      <c r="G164" s="33" t="n">
        <v>1</v>
      </c>
      <c r="H164" s="33" t="n">
        <v>830</v>
      </c>
      <c r="I164" s="33" t="inlineStr">
        <is>
          <t>us</t>
        </is>
      </c>
      <c r="J164" s="33" t="n">
        <v>0</v>
      </c>
      <c r="K164" s="33" t="n">
        <v>1.402</v>
      </c>
      <c r="L164" s="33" t="n">
        <v>11</v>
      </c>
      <c r="M164" s="33" t="inlineStr">
        <is>
          <t>mww</t>
        </is>
      </c>
      <c r="N164" s="33" t="n">
        <v>46</v>
      </c>
      <c r="O164" s="33" t="n">
        <v>-30.6441</v>
      </c>
      <c r="P164" s="33" t="n">
        <v>-178.1</v>
      </c>
      <c r="Q164" s="33" t="inlineStr">
        <is>
          <t>L'Esperance Rock, New Zealand</t>
        </is>
      </c>
      <c r="T164" s="36">
        <f>DATE(MID(C164,7,4),MID(C164,4,2),MID(C164,1,2))+TIME(MID(C164,12,2),MID(C164,15,2),0)</f>
        <v/>
      </c>
      <c r="U164" s="33">
        <f>IF(ISNUMBER(VALUE(MID(A164,7,1))),"Distance-prefix pattern","Named-region pattern")</f>
        <v/>
      </c>
      <c r="V164" s="33">
        <f>LOWER(M164)</f>
        <v/>
      </c>
      <c r="W164" s="33">
        <f>IF(COUNTIFS($A$2:$A$1001,A164,$C$2:$C$1001,C164)&gt;1,"Duplicate","Unique")</f>
        <v/>
      </c>
      <c r="X164" s="33">
        <f>YEAR(T164)</f>
        <v/>
      </c>
      <c r="Y164" s="33">
        <f>IF(B164&lt;6.5,"&lt;6.5",IF(B164&lt;7,"6.5–6.9",IF(B164&lt;7.5,"7.0–7.4",IF(B164&lt;8,"7.5–7.9","8.0+"))))</f>
        <v/>
      </c>
      <c r="Z164" s="33">
        <f>IF(F164="","Blank",F164)</f>
        <v/>
      </c>
    </row>
    <row r="165" ht="15" customHeight="1" s="34">
      <c r="A165" s="33" t="inlineStr">
        <is>
          <t>M 6.6 - 32 km S of La Libertad, El Salvador</t>
        </is>
      </c>
      <c r="B165" s="33" t="n">
        <v>6.6</v>
      </c>
      <c r="C165" s="33" t="inlineStr">
        <is>
          <t>30/05/2019 09:03</t>
        </is>
      </c>
      <c r="D165" s="33" t="n">
        <v>7</v>
      </c>
      <c r="E165" s="33" t="n">
        <v>6</v>
      </c>
      <c r="F165" s="33" t="inlineStr">
        <is>
          <t>yellow</t>
        </is>
      </c>
      <c r="G165" s="33" t="n">
        <v>1</v>
      </c>
      <c r="H165" s="33" t="n">
        <v>886</v>
      </c>
      <c r="I165" s="33" t="inlineStr">
        <is>
          <t>us</t>
        </is>
      </c>
      <c r="J165" s="33" t="n">
        <v>0</v>
      </c>
      <c r="K165" s="33" t="n">
        <v>1.193</v>
      </c>
      <c r="L165" s="33" t="n">
        <v>22</v>
      </c>
      <c r="M165" s="33" t="inlineStr">
        <is>
          <t>mww</t>
        </is>
      </c>
      <c r="N165" s="33" t="n">
        <v>57.92</v>
      </c>
      <c r="O165" s="33" t="n">
        <v>13.1994</v>
      </c>
      <c r="P165" s="33" t="n">
        <v>-89.3056</v>
      </c>
      <c r="Q165" s="33" t="inlineStr">
        <is>
          <t>La Libertad, El Salvador</t>
        </is>
      </c>
      <c r="T165" s="36">
        <f>DATE(MID(C165,7,4),MID(C165,4,2),MID(C165,1,2))+TIME(MID(C165,12,2),MID(C165,15,2),0)</f>
        <v/>
      </c>
      <c r="U165" s="33">
        <f>IF(ISNUMBER(VALUE(MID(A165,7,1))),"Distance-prefix pattern","Named-region pattern")</f>
        <v/>
      </c>
      <c r="V165" s="33">
        <f>LOWER(M165)</f>
        <v/>
      </c>
      <c r="W165" s="33">
        <f>IF(COUNTIFS($A$2:$A$1001,A165,$C$2:$C$1001,C165)&gt;1,"Duplicate","Unique")</f>
        <v/>
      </c>
      <c r="X165" s="33">
        <f>YEAR(T165)</f>
        <v/>
      </c>
      <c r="Y165" s="33">
        <f>IF(B165&lt;6.5,"&lt;6.5",IF(B165&lt;7,"6.5–6.9",IF(B165&lt;7.5,"7.0–7.4",IF(B165&lt;8,"7.5–7.9","8.0+"))))</f>
        <v/>
      </c>
      <c r="Z165" s="33">
        <f>IF(F165="","Blank",F165)</f>
        <v/>
      </c>
    </row>
    <row r="166" ht="15" customHeight="1" s="34">
      <c r="A166" s="33" t="inlineStr">
        <is>
          <t>M 8.0 - 78 km NE of Navarro, Peru</t>
        </is>
      </c>
      <c r="B166" s="33" t="n">
        <v>8</v>
      </c>
      <c r="C166" s="33" t="inlineStr">
        <is>
          <t>26/05/2019 07:41</t>
        </is>
      </c>
      <c r="D166" s="33" t="n">
        <v>9</v>
      </c>
      <c r="E166" s="33" t="n">
        <v>8</v>
      </c>
      <c r="F166" s="33" t="inlineStr">
        <is>
          <t>orange</t>
        </is>
      </c>
      <c r="G166" s="33" t="n">
        <v>1</v>
      </c>
      <c r="H166" s="33" t="n">
        <v>1890</v>
      </c>
      <c r="I166" s="33" t="inlineStr">
        <is>
          <t>us</t>
        </is>
      </c>
      <c r="J166" s="33" t="n">
        <v>0</v>
      </c>
      <c r="K166" s="33" t="n">
        <v>3.18</v>
      </c>
      <c r="L166" s="33" t="n">
        <v>17</v>
      </c>
      <c r="M166" s="33" t="inlineStr">
        <is>
          <t>mww</t>
        </is>
      </c>
      <c r="N166" s="33" t="n">
        <v>122.57</v>
      </c>
      <c r="O166" s="33" t="n">
        <v>-5.8119</v>
      </c>
      <c r="P166" s="33" t="n">
        <v>-75.2697</v>
      </c>
      <c r="Q166" s="33" t="inlineStr">
        <is>
          <t>Navarro, Peru</t>
        </is>
      </c>
      <c r="R166" s="33" t="inlineStr">
        <is>
          <t>South America</t>
        </is>
      </c>
      <c r="S166" s="33" t="inlineStr">
        <is>
          <t>Peru</t>
        </is>
      </c>
      <c r="T166" s="36">
        <f>DATE(MID(C166,7,4),MID(C166,4,2),MID(C166,1,2))+TIME(MID(C166,12,2),MID(C166,15,2),0)</f>
        <v/>
      </c>
      <c r="U166" s="33">
        <f>IF(ISNUMBER(VALUE(MID(A166,7,1))),"Distance-prefix pattern","Named-region pattern")</f>
        <v/>
      </c>
      <c r="V166" s="33">
        <f>LOWER(M166)</f>
        <v/>
      </c>
      <c r="W166" s="33">
        <f>IF(COUNTIFS($A$2:$A$1001,A166,$C$2:$C$1001,C166)&gt;1,"Duplicate","Unique")</f>
        <v/>
      </c>
      <c r="X166" s="33">
        <f>YEAR(T166)</f>
        <v/>
      </c>
      <c r="Y166" s="33">
        <f>IF(B166&lt;6.5,"&lt;6.5",IF(B166&lt;7,"6.5–6.9",IF(B166&lt;7.5,"7.0–7.4",IF(B166&lt;8,"7.5–7.9","8.0+"))))</f>
        <v/>
      </c>
      <c r="Z166" s="33">
        <f>IF(F166="","Blank",F166)</f>
        <v/>
      </c>
    </row>
    <row r="167" ht="15" customHeight="1" s="34">
      <c r="A167" s="33" t="inlineStr">
        <is>
          <t>M 7.6 - 46km SSE of Namatanai, Papua New Guinea</t>
        </is>
      </c>
      <c r="B167" s="33" t="n">
        <v>7.6</v>
      </c>
      <c r="C167" s="33" t="inlineStr">
        <is>
          <t>14/05/2019 12:58</t>
        </is>
      </c>
      <c r="D167" s="33" t="n">
        <v>7</v>
      </c>
      <c r="E167" s="33" t="n">
        <v>7</v>
      </c>
      <c r="F167" s="33" t="inlineStr">
        <is>
          <t>green</t>
        </is>
      </c>
      <c r="G167" s="33" t="n">
        <v>1</v>
      </c>
      <c r="H167" s="33" t="n">
        <v>929</v>
      </c>
      <c r="I167" s="33" t="inlineStr">
        <is>
          <t>us</t>
        </is>
      </c>
      <c r="J167" s="33" t="n">
        <v>0</v>
      </c>
      <c r="K167" s="33" t="n">
        <v>0.453</v>
      </c>
      <c r="L167" s="33" t="n">
        <v>16</v>
      </c>
      <c r="M167" s="33" t="inlineStr">
        <is>
          <t>mww</t>
        </is>
      </c>
      <c r="N167" s="33" t="n">
        <v>10</v>
      </c>
      <c r="O167" s="33" t="n">
        <v>-4.051</v>
      </c>
      <c r="P167" s="33" t="n">
        <v>152.597</v>
      </c>
      <c r="Q167" s="33" t="inlineStr">
        <is>
          <t>Namatanai, Papua New Guinea</t>
        </is>
      </c>
      <c r="S167" s="33" t="inlineStr">
        <is>
          <t>Papua New Guinea</t>
        </is>
      </c>
      <c r="T167" s="36">
        <f>DATE(MID(C167,7,4),MID(C167,4,2),MID(C167,1,2))+TIME(MID(C167,12,2),MID(C167,15,2),0)</f>
        <v/>
      </c>
      <c r="U167" s="33">
        <f>IF(ISNUMBER(VALUE(MID(A167,7,1))),"Distance-prefix pattern","Named-region pattern")</f>
        <v/>
      </c>
      <c r="V167" s="33">
        <f>LOWER(M167)</f>
        <v/>
      </c>
      <c r="W167" s="33">
        <f>IF(COUNTIFS($A$2:$A$1001,A167,$C$2:$C$1001,C167)&gt;1,"Duplicate","Unique")</f>
        <v/>
      </c>
      <c r="X167" s="33">
        <f>YEAR(T167)</f>
        <v/>
      </c>
      <c r="Y167" s="33">
        <f>IF(B167&lt;6.5,"&lt;6.5",IF(B167&lt;7,"6.5–6.9",IF(B167&lt;7.5,"7.0–7.4",IF(B167&lt;8,"7.5–7.9","8.0+"))))</f>
        <v/>
      </c>
      <c r="Z167" s="33">
        <f>IF(F167="","Blank",F167)</f>
        <v/>
      </c>
    </row>
    <row r="168" ht="15" customHeight="1" s="34">
      <c r="A168" s="33" t="inlineStr">
        <is>
          <t>M 7.1 - 33km NW of Bulolo, Papua New Guinea</t>
        </is>
      </c>
      <c r="B168" s="33" t="n">
        <v>7.1</v>
      </c>
      <c r="C168" s="33" t="inlineStr">
        <is>
          <t>06/05/2019 21:19</t>
        </is>
      </c>
      <c r="D168" s="33" t="n">
        <v>7</v>
      </c>
      <c r="E168" s="33" t="n">
        <v>6</v>
      </c>
      <c r="F168" s="33" t="inlineStr">
        <is>
          <t>yellow</t>
        </is>
      </c>
      <c r="G168" s="33" t="n">
        <v>1</v>
      </c>
      <c r="H168" s="33" t="n">
        <v>826</v>
      </c>
      <c r="I168" s="33" t="inlineStr">
        <is>
          <t>us</t>
        </is>
      </c>
      <c r="J168" s="33" t="n">
        <v>0</v>
      </c>
      <c r="K168" s="33" t="n">
        <v>2.514</v>
      </c>
      <c r="L168" s="33" t="n">
        <v>16</v>
      </c>
      <c r="M168" s="33" t="inlineStr">
        <is>
          <t>mww</t>
        </is>
      </c>
      <c r="N168" s="33" t="n">
        <v>146</v>
      </c>
      <c r="O168" s="33" t="n">
        <v>-6.9746</v>
      </c>
      <c r="P168" s="33" t="n">
        <v>146.449</v>
      </c>
      <c r="Q168" s="33" t="inlineStr">
        <is>
          <t>Bulolo, Papua New Guinea</t>
        </is>
      </c>
      <c r="S168" s="33" t="inlineStr">
        <is>
          <t>Papua New Guinea</t>
        </is>
      </c>
      <c r="T168" s="36">
        <f>DATE(MID(C168,7,4),MID(C168,4,2),MID(C168,1,2))+TIME(MID(C168,12,2),MID(C168,15,2),0)</f>
        <v/>
      </c>
      <c r="U168" s="33">
        <f>IF(ISNUMBER(VALUE(MID(A168,7,1))),"Distance-prefix pattern","Named-region pattern")</f>
        <v/>
      </c>
      <c r="V168" s="33">
        <f>LOWER(M168)</f>
        <v/>
      </c>
      <c r="W168" s="33">
        <f>IF(COUNTIFS($A$2:$A$1001,A168,$C$2:$C$1001,C168)&gt;1,"Duplicate","Unique")</f>
        <v/>
      </c>
      <c r="X168" s="33">
        <f>YEAR(T168)</f>
        <v/>
      </c>
      <c r="Y168" s="33">
        <f>IF(B168&lt;6.5,"&lt;6.5",IF(B168&lt;7,"6.5–6.9",IF(B168&lt;7.5,"7.0–7.4",IF(B168&lt;8,"7.5–7.9","8.0+"))))</f>
        <v/>
      </c>
      <c r="Z168" s="33">
        <f>IF(F168="","Blank",F168)</f>
        <v/>
      </c>
    </row>
    <row r="169" ht="15" customHeight="1" s="34">
      <c r="A169" s="33" t="inlineStr">
        <is>
          <t>M 6.8 - 98km SSW of Luwuk, Indonesia</t>
        </is>
      </c>
      <c r="B169" s="33" t="n">
        <v>6.8</v>
      </c>
      <c r="C169" s="33" t="inlineStr">
        <is>
          <t>12/04/2019 11:40</t>
        </is>
      </c>
      <c r="D169" s="33" t="n">
        <v>5</v>
      </c>
      <c r="E169" s="33" t="n">
        <v>6</v>
      </c>
      <c r="F169" s="33" t="inlineStr">
        <is>
          <t>green</t>
        </is>
      </c>
      <c r="G169" s="33" t="n">
        <v>1</v>
      </c>
      <c r="H169" s="33" t="n">
        <v>717</v>
      </c>
      <c r="I169" s="33" t="inlineStr">
        <is>
          <t>us</t>
        </is>
      </c>
      <c r="J169" s="33" t="n">
        <v>0</v>
      </c>
      <c r="K169" s="33" t="n">
        <v>0.791</v>
      </c>
      <c r="L169" s="33" t="n">
        <v>28</v>
      </c>
      <c r="M169" s="33" t="inlineStr">
        <is>
          <t>mww</t>
        </is>
      </c>
      <c r="N169" s="33" t="n">
        <v>15.46</v>
      </c>
      <c r="O169" s="33" t="n">
        <v>-1.8146</v>
      </c>
      <c r="P169" s="33" t="n">
        <v>122.58</v>
      </c>
      <c r="Q169" s="33" t="inlineStr">
        <is>
          <t>Luwuk, Indonesia</t>
        </is>
      </c>
      <c r="S169" s="33" t="inlineStr">
        <is>
          <t>Indonesia</t>
        </is>
      </c>
      <c r="T169" s="36">
        <f>DATE(MID(C169,7,4),MID(C169,4,2),MID(C169,1,2))+TIME(MID(C169,12,2),MID(C169,15,2),0)</f>
        <v/>
      </c>
      <c r="U169" s="33">
        <f>IF(ISNUMBER(VALUE(MID(A169,7,1))),"Distance-prefix pattern","Named-region pattern")</f>
        <v/>
      </c>
      <c r="V169" s="33">
        <f>LOWER(M169)</f>
        <v/>
      </c>
      <c r="W169" s="33">
        <f>IF(COUNTIFS($A$2:$A$1001,A169,$C$2:$C$1001,C169)&gt;1,"Duplicate","Unique")</f>
        <v/>
      </c>
      <c r="X169" s="33">
        <f>YEAR(T169)</f>
        <v/>
      </c>
      <c r="Y169" s="33">
        <f>IF(B169&lt;6.5,"&lt;6.5",IF(B169&lt;7,"6.5–6.9",IF(B169&lt;7.5,"7.0–7.4",IF(B169&lt;8,"7.5–7.9","8.0+"))))</f>
        <v/>
      </c>
      <c r="Z169" s="33">
        <f>IF(F169="","Blank",F169)</f>
        <v/>
      </c>
    </row>
    <row r="170" ht="15" customHeight="1" s="34">
      <c r="A170" s="33" t="inlineStr">
        <is>
          <t>M 6.5 - 83km ENE of Bristol Island, South Sandwich Islands</t>
        </is>
      </c>
      <c r="B170" s="33" t="n">
        <v>6.5</v>
      </c>
      <c r="C170" s="33" t="inlineStr">
        <is>
          <t>09/04/2019 17:53</t>
        </is>
      </c>
      <c r="D170" s="33" t="n">
        <v>0</v>
      </c>
      <c r="E170" s="33" t="n">
        <v>5</v>
      </c>
      <c r="F170" s="33" t="inlineStr">
        <is>
          <t>green</t>
        </is>
      </c>
      <c r="G170" s="33" t="n">
        <v>1</v>
      </c>
      <c r="H170" s="33" t="n">
        <v>650</v>
      </c>
      <c r="I170" s="33" t="inlineStr">
        <is>
          <t>us</t>
        </is>
      </c>
      <c r="J170" s="33" t="n">
        <v>0</v>
      </c>
      <c r="K170" s="33" t="n">
        <v>7.568</v>
      </c>
      <c r="L170" s="33" t="n">
        <v>18</v>
      </c>
      <c r="M170" s="33" t="inlineStr">
        <is>
          <t>mww</t>
        </is>
      </c>
      <c r="N170" s="33" t="n">
        <v>38</v>
      </c>
      <c r="O170" s="33" t="n">
        <v>-58.6262</v>
      </c>
      <c r="P170" s="33" t="n">
        <v>-25.304</v>
      </c>
      <c r="Q170" s="33" t="inlineStr">
        <is>
          <t>Bristol Island, South Sandwich Islands</t>
        </is>
      </c>
      <c r="T170" s="36">
        <f>DATE(MID(C170,7,4),MID(C170,4,2),MID(C170,1,2))+TIME(MID(C170,12,2),MID(C170,15,2),0)</f>
        <v/>
      </c>
      <c r="U170" s="33">
        <f>IF(ISNUMBER(VALUE(MID(A170,7,1))),"Distance-prefix pattern","Named-region pattern")</f>
        <v/>
      </c>
      <c r="V170" s="33">
        <f>LOWER(M170)</f>
        <v/>
      </c>
      <c r="W170" s="33">
        <f>IF(COUNTIFS($A$2:$A$1001,A170,$C$2:$C$1001,C170)&gt;1,"Duplicate","Unique")</f>
        <v/>
      </c>
      <c r="X170" s="33">
        <f>YEAR(T170)</f>
        <v/>
      </c>
      <c r="Y170" s="33">
        <f>IF(B170&lt;6.5,"&lt;6.5",IF(B170&lt;7,"6.5–6.9",IF(B170&lt;7.5,"7.0–7.4",IF(B170&lt;8,"7.5–7.9","8.0+"))))</f>
        <v/>
      </c>
      <c r="Z170" s="33">
        <f>IF(F170="","Blank",F170)</f>
        <v/>
      </c>
    </row>
    <row r="171" ht="15" customHeight="1" s="34">
      <c r="A171" s="33" t="inlineStr">
        <is>
          <t>M 7.0 - 22 km NNE of Azángaro, Peru</t>
        </is>
      </c>
      <c r="B171" s="33" t="n">
        <v>7</v>
      </c>
      <c r="C171" s="33" t="inlineStr">
        <is>
          <t>01/03/2019 08:50</t>
        </is>
      </c>
      <c r="D171" s="33" t="n">
        <v>7</v>
      </c>
      <c r="E171" s="33" t="n">
        <v>4</v>
      </c>
      <c r="F171" s="33" t="inlineStr">
        <is>
          <t>green</t>
        </is>
      </c>
      <c r="G171" s="33" t="n">
        <v>1</v>
      </c>
      <c r="H171" s="33" t="n">
        <v>869</v>
      </c>
      <c r="I171" s="33" t="inlineStr">
        <is>
          <t>us</t>
        </is>
      </c>
      <c r="J171" s="33" t="n">
        <v>0</v>
      </c>
      <c r="K171" s="33" t="n">
        <v>2.501</v>
      </c>
      <c r="L171" s="33" t="n">
        <v>42</v>
      </c>
      <c r="M171" s="33" t="inlineStr">
        <is>
          <t>mww</t>
        </is>
      </c>
      <c r="N171" s="33" t="n">
        <v>267</v>
      </c>
      <c r="O171" s="33" t="n">
        <v>-14.7131</v>
      </c>
      <c r="P171" s="33" t="n">
        <v>-70.1546</v>
      </c>
      <c r="Q171" s="33" t="inlineStr">
        <is>
          <t>Azángaro, Peru</t>
        </is>
      </c>
      <c r="R171" s="33" t="inlineStr">
        <is>
          <t>South America</t>
        </is>
      </c>
      <c r="S171" s="33" t="inlineStr">
        <is>
          <t>Peru</t>
        </is>
      </c>
      <c r="T171" s="36">
        <f>DATE(MID(C171,7,4),MID(C171,4,2),MID(C171,1,2))+TIME(MID(C171,12,2),MID(C171,15,2),0)</f>
        <v/>
      </c>
      <c r="U171" s="33">
        <f>IF(ISNUMBER(VALUE(MID(A171,7,1))),"Distance-prefix pattern","Named-region pattern")</f>
        <v/>
      </c>
      <c r="V171" s="33">
        <f>LOWER(M171)</f>
        <v/>
      </c>
      <c r="W171" s="33">
        <f>IF(COUNTIFS($A$2:$A$1001,A171,$C$2:$C$1001,C171)&gt;1,"Duplicate","Unique")</f>
        <v/>
      </c>
      <c r="X171" s="33">
        <f>YEAR(T171)</f>
        <v/>
      </c>
      <c r="Y171" s="33">
        <f>IF(B171&lt;6.5,"&lt;6.5",IF(B171&lt;7,"6.5–6.9",IF(B171&lt;7.5,"7.0–7.4",IF(B171&lt;8,"7.5–7.9","8.0+"))))</f>
        <v/>
      </c>
      <c r="Z171" s="33">
        <f>IF(F171="","Blank",F171)</f>
        <v/>
      </c>
    </row>
    <row r="172" ht="15" customHeight="1" s="34">
      <c r="A172" s="33" t="inlineStr">
        <is>
          <t>M 7.5 - 111km ESE of Palora, Ecuador</t>
        </is>
      </c>
      <c r="B172" s="33" t="n">
        <v>7.5</v>
      </c>
      <c r="C172" s="33" t="inlineStr">
        <is>
          <t>22/02/2019 10:17</t>
        </is>
      </c>
      <c r="D172" s="33" t="n">
        <v>7</v>
      </c>
      <c r="E172" s="33" t="n">
        <v>7</v>
      </c>
      <c r="F172" s="33" t="inlineStr">
        <is>
          <t>yellow</t>
        </is>
      </c>
      <c r="G172" s="33" t="n">
        <v>1</v>
      </c>
      <c r="H172" s="33" t="n">
        <v>1145</v>
      </c>
      <c r="I172" s="33" t="inlineStr">
        <is>
          <t>us</t>
        </is>
      </c>
      <c r="J172" s="33" t="n">
        <v>0</v>
      </c>
      <c r="K172" s="33" t="n">
        <v>2.045</v>
      </c>
      <c r="L172" s="33" t="n">
        <v>15</v>
      </c>
      <c r="M172" s="33" t="inlineStr">
        <is>
          <t>mww</t>
        </is>
      </c>
      <c r="N172" s="33" t="n">
        <v>145</v>
      </c>
      <c r="O172" s="33" t="n">
        <v>-2.1862</v>
      </c>
      <c r="P172" s="33" t="n">
        <v>-77.0505</v>
      </c>
      <c r="Q172" s="33" t="inlineStr">
        <is>
          <t>Palora, Ecuador</t>
        </is>
      </c>
      <c r="R172" s="33" t="inlineStr">
        <is>
          <t>South America</t>
        </is>
      </c>
      <c r="S172" s="33" t="inlineStr">
        <is>
          <t>Ecuador</t>
        </is>
      </c>
      <c r="T172" s="36">
        <f>DATE(MID(C172,7,4),MID(C172,4,2),MID(C172,1,2))+TIME(MID(C172,12,2),MID(C172,15,2),0)</f>
        <v/>
      </c>
      <c r="U172" s="33">
        <f>IF(ISNUMBER(VALUE(MID(A172,7,1))),"Distance-prefix pattern","Named-region pattern")</f>
        <v/>
      </c>
      <c r="V172" s="33">
        <f>LOWER(M172)</f>
        <v/>
      </c>
      <c r="W172" s="33">
        <f>IF(COUNTIFS($A$2:$A$1001,A172,$C$2:$C$1001,C172)&gt;1,"Duplicate","Unique")</f>
        <v/>
      </c>
      <c r="X172" s="33">
        <f>YEAR(T172)</f>
        <v/>
      </c>
      <c r="Y172" s="33">
        <f>IF(B172&lt;6.5,"&lt;6.5",IF(B172&lt;7,"6.5–6.9",IF(B172&lt;7.5,"7.0–7.4",IF(B172&lt;8,"7.5–7.9","8.0+"))))</f>
        <v/>
      </c>
      <c r="Z172" s="33">
        <f>IF(F172="","Blank",F172)</f>
        <v/>
      </c>
    </row>
    <row r="173" ht="15" customHeight="1" s="34">
      <c r="A173" s="33" t="inlineStr">
        <is>
          <t>M 6.7 - 5 km SW of Puerto Madero, Mexico</t>
        </is>
      </c>
      <c r="B173" s="33" t="n">
        <v>6.7</v>
      </c>
      <c r="C173" s="33" t="inlineStr">
        <is>
          <t>01/02/2019 16:14</t>
        </is>
      </c>
      <c r="D173" s="33" t="n">
        <v>6</v>
      </c>
      <c r="E173" s="33" t="n">
        <v>6</v>
      </c>
      <c r="F173" s="33" t="inlineStr">
        <is>
          <t>yellow</t>
        </is>
      </c>
      <c r="G173" s="33" t="n">
        <v>1</v>
      </c>
      <c r="H173" s="33" t="n">
        <v>909</v>
      </c>
      <c r="I173" s="33" t="inlineStr">
        <is>
          <t>us</t>
        </is>
      </c>
      <c r="J173" s="33" t="n">
        <v>0</v>
      </c>
      <c r="K173" s="33" t="n">
        <v>0.289</v>
      </c>
      <c r="L173" s="33" t="n">
        <v>43</v>
      </c>
      <c r="M173" s="33" t="inlineStr">
        <is>
          <t>mww</t>
        </is>
      </c>
      <c r="N173" s="33" t="n">
        <v>66</v>
      </c>
      <c r="O173" s="33" t="n">
        <v>14.6802</v>
      </c>
      <c r="P173" s="33" t="n">
        <v>-92.45269999999999</v>
      </c>
      <c r="Q173" s="33" t="inlineStr">
        <is>
          <t>Puerto Madero, Mexico</t>
        </is>
      </c>
      <c r="S173" s="33" t="inlineStr">
        <is>
          <t>Mexico</t>
        </is>
      </c>
      <c r="T173" s="36">
        <f>DATE(MID(C173,7,4),MID(C173,4,2),MID(C173,1,2))+TIME(MID(C173,12,2),MID(C173,15,2),0)</f>
        <v/>
      </c>
      <c r="U173" s="33">
        <f>IF(ISNUMBER(VALUE(MID(A173,7,1))),"Distance-prefix pattern","Named-region pattern")</f>
        <v/>
      </c>
      <c r="V173" s="33">
        <f>LOWER(M173)</f>
        <v/>
      </c>
      <c r="W173" s="33">
        <f>IF(COUNTIFS($A$2:$A$1001,A173,$C$2:$C$1001,C173)&gt;1,"Duplicate","Unique")</f>
        <v/>
      </c>
      <c r="X173" s="33">
        <f>YEAR(T173)</f>
        <v/>
      </c>
      <c r="Y173" s="33">
        <f>IF(B173&lt;6.5,"&lt;6.5",IF(B173&lt;7,"6.5–6.9",IF(B173&lt;7.5,"7.0–7.4",IF(B173&lt;8,"7.5–7.9","8.0+"))))</f>
        <v/>
      </c>
      <c r="Z173" s="33">
        <f>IF(F173="","Blank",F173)</f>
        <v/>
      </c>
    </row>
    <row r="174" ht="15" customHeight="1" s="34">
      <c r="A174" s="33" t="inlineStr">
        <is>
          <t>M 6.7 - Prince Edward Islands region</t>
        </is>
      </c>
      <c r="B174" s="33" t="n">
        <v>6.7</v>
      </c>
      <c r="C174" s="33" t="inlineStr">
        <is>
          <t>22/01/2019 19:01</t>
        </is>
      </c>
      <c r="D174" s="33" t="n">
        <v>0</v>
      </c>
      <c r="E174" s="33" t="n">
        <v>3</v>
      </c>
      <c r="F174" s="33" t="inlineStr">
        <is>
          <t>green</t>
        </is>
      </c>
      <c r="G174" s="33" t="n">
        <v>0</v>
      </c>
      <c r="H174" s="33" t="n">
        <v>691</v>
      </c>
      <c r="I174" s="33" t="inlineStr">
        <is>
          <t>us</t>
        </is>
      </c>
      <c r="J174" s="33" t="n">
        <v>0</v>
      </c>
      <c r="K174" s="33" t="n">
        <v>7.527</v>
      </c>
      <c r="L174" s="33" t="n">
        <v>17</v>
      </c>
      <c r="M174" s="33" t="inlineStr">
        <is>
          <t>mww</t>
        </is>
      </c>
      <c r="N174" s="33" t="n">
        <v>13</v>
      </c>
      <c r="O174" s="33" t="n">
        <v>-43.1219</v>
      </c>
      <c r="P174" s="33" t="n">
        <v>42.3568</v>
      </c>
      <c r="Q174" s="33" t="inlineStr">
        <is>
          <t>Prince Edward Islands region</t>
        </is>
      </c>
      <c r="T174" s="36">
        <f>DATE(MID(C174,7,4),MID(C174,4,2),MID(C174,1,2))+TIME(MID(C174,12,2),MID(C174,15,2),0)</f>
        <v/>
      </c>
      <c r="U174" s="33">
        <f>IF(ISNUMBER(VALUE(MID(A174,7,1))),"Distance-prefix pattern","Named-region pattern")</f>
        <v/>
      </c>
      <c r="V174" s="33">
        <f>LOWER(M174)</f>
        <v/>
      </c>
      <c r="W174" s="33">
        <f>IF(COUNTIFS($A$2:$A$1001,A174,$C$2:$C$1001,C174)&gt;1,"Duplicate","Unique")</f>
        <v/>
      </c>
      <c r="X174" s="33">
        <f>YEAR(T174)</f>
        <v/>
      </c>
      <c r="Y174" s="33">
        <f>IF(B174&lt;6.5,"&lt;6.5",IF(B174&lt;7,"6.5–6.9",IF(B174&lt;7.5,"7.0–7.4",IF(B174&lt;8,"7.5–7.9","8.0+"))))</f>
        <v/>
      </c>
      <c r="Z174" s="33">
        <f>IF(F174="","Blank",F174)</f>
        <v/>
      </c>
    </row>
    <row r="175" ht="15" customHeight="1" s="34">
      <c r="A175" s="33" t="inlineStr">
        <is>
          <t>M 6.7 - 10 km SSW of Coquimbo, Chile</t>
        </is>
      </c>
      <c r="B175" s="33" t="n">
        <v>6.7</v>
      </c>
      <c r="C175" s="33" t="inlineStr">
        <is>
          <t>20/01/2019 01:32</t>
        </is>
      </c>
      <c r="D175" s="33" t="n">
        <v>8</v>
      </c>
      <c r="E175" s="33" t="n">
        <v>8</v>
      </c>
      <c r="F175" s="33" t="inlineStr">
        <is>
          <t>orange</t>
        </is>
      </c>
      <c r="G175" s="33" t="n">
        <v>1</v>
      </c>
      <c r="H175" s="33" t="n">
        <v>1600</v>
      </c>
      <c r="I175" s="33" t="inlineStr">
        <is>
          <t>us</t>
        </is>
      </c>
      <c r="J175" s="33" t="n">
        <v>0</v>
      </c>
      <c r="K175" s="33" t="n">
        <v>0.173</v>
      </c>
      <c r="L175" s="33" t="n">
        <v>22</v>
      </c>
      <c r="M175" s="33" t="inlineStr">
        <is>
          <t>mww</t>
        </is>
      </c>
      <c r="N175" s="33" t="n">
        <v>63</v>
      </c>
      <c r="O175" s="33" t="n">
        <v>-30.0404</v>
      </c>
      <c r="P175" s="33" t="n">
        <v>-71.3815</v>
      </c>
      <c r="Q175" s="33" t="inlineStr">
        <is>
          <t>Coquimbo, Chile</t>
        </is>
      </c>
      <c r="R175" s="33" t="inlineStr">
        <is>
          <t>South America</t>
        </is>
      </c>
      <c r="S175" s="33" t="inlineStr">
        <is>
          <t>Chile</t>
        </is>
      </c>
      <c r="T175" s="36">
        <f>DATE(MID(C175,7,4),MID(C175,4,2),MID(C175,1,2))+TIME(MID(C175,12,2),MID(C175,15,2),0)</f>
        <v/>
      </c>
      <c r="U175" s="33">
        <f>IF(ISNUMBER(VALUE(MID(A175,7,1))),"Distance-prefix pattern","Named-region pattern")</f>
        <v/>
      </c>
      <c r="V175" s="33">
        <f>LOWER(M175)</f>
        <v/>
      </c>
      <c r="W175" s="33">
        <f>IF(COUNTIFS($A$2:$A$1001,A175,$C$2:$C$1001,C175)&gt;1,"Duplicate","Unique")</f>
        <v/>
      </c>
      <c r="X175" s="33">
        <f>YEAR(T175)</f>
        <v/>
      </c>
      <c r="Y175" s="33">
        <f>IF(B175&lt;6.5,"&lt;6.5",IF(B175&lt;7,"6.5–6.9",IF(B175&lt;7.5,"7.0–7.4",IF(B175&lt;8,"7.5–7.9","8.0+"))))</f>
        <v/>
      </c>
      <c r="Z175" s="33">
        <f>IF(F175="","Blank",F175)</f>
        <v/>
      </c>
    </row>
    <row r="176" ht="15" customHeight="1" s="34">
      <c r="A176" s="33" t="inlineStr">
        <is>
          <t>M 6.6 - 94 km NW of Sola, Vanuatu</t>
        </is>
      </c>
      <c r="B176" s="33" t="n">
        <v>6.6</v>
      </c>
      <c r="C176" s="33" t="inlineStr">
        <is>
          <t>15/01/2019 18:06</t>
        </is>
      </c>
      <c r="D176" s="33" t="n">
        <v>5</v>
      </c>
      <c r="E176" s="33" t="n">
        <v>4</v>
      </c>
      <c r="F176" s="33" t="inlineStr">
        <is>
          <t>green</t>
        </is>
      </c>
      <c r="G176" s="33" t="n">
        <v>1</v>
      </c>
      <c r="H176" s="33" t="n">
        <v>671</v>
      </c>
      <c r="I176" s="33" t="inlineStr">
        <is>
          <t>us</t>
        </is>
      </c>
      <c r="J176" s="33" t="n">
        <v>0</v>
      </c>
      <c r="K176" s="33" t="n">
        <v>7.818</v>
      </c>
      <c r="L176" s="33" t="n">
        <v>18</v>
      </c>
      <c r="M176" s="33" t="inlineStr">
        <is>
          <t>mww</t>
        </is>
      </c>
      <c r="N176" s="33" t="n">
        <v>35</v>
      </c>
      <c r="O176" s="33" t="n">
        <v>-13.336</v>
      </c>
      <c r="P176" s="33" t="n">
        <v>166.875</v>
      </c>
      <c r="Q176" s="33" t="inlineStr">
        <is>
          <t>Sola, Vanuatu</t>
        </is>
      </c>
      <c r="S176" s="33" t="inlineStr">
        <is>
          <t>Vanuatu</t>
        </is>
      </c>
      <c r="T176" s="36">
        <f>DATE(MID(C176,7,4),MID(C176,4,2),MID(C176,1,2))+TIME(MID(C176,12,2),MID(C176,15,2),0)</f>
        <v/>
      </c>
      <c r="U176" s="33">
        <f>IF(ISNUMBER(VALUE(MID(A176,7,1))),"Distance-prefix pattern","Named-region pattern")</f>
        <v/>
      </c>
      <c r="V176" s="33">
        <f>LOWER(M176)</f>
        <v/>
      </c>
      <c r="W176" s="33">
        <f>IF(COUNTIFS($A$2:$A$1001,A176,$C$2:$C$1001,C176)&gt;1,"Duplicate","Unique")</f>
        <v/>
      </c>
      <c r="X176" s="33">
        <f>YEAR(T176)</f>
        <v/>
      </c>
      <c r="Y176" s="33">
        <f>IF(B176&lt;6.5,"&lt;6.5",IF(B176&lt;7,"6.5–6.9",IF(B176&lt;7.5,"7.0–7.4",IF(B176&lt;8,"7.5–7.9","8.0+"))))</f>
        <v/>
      </c>
      <c r="Z176" s="33">
        <f>IF(F176="","Blank",F176)</f>
        <v/>
      </c>
    </row>
    <row r="177" ht="15" customHeight="1" s="34">
      <c r="A177" s="33" t="inlineStr">
        <is>
          <t>M 6.6 - Molucca Sea</t>
        </is>
      </c>
      <c r="B177" s="33" t="n">
        <v>6.6</v>
      </c>
      <c r="C177" s="33" t="inlineStr">
        <is>
          <t>06/01/2019 17:27</t>
        </is>
      </c>
      <c r="D177" s="33" t="n">
        <v>2</v>
      </c>
      <c r="E177" s="33" t="n">
        <v>4</v>
      </c>
      <c r="F177" s="33" t="inlineStr">
        <is>
          <t>green</t>
        </is>
      </c>
      <c r="G177" s="33" t="n">
        <v>1</v>
      </c>
      <c r="H177" s="33" t="n">
        <v>672</v>
      </c>
      <c r="I177" s="33" t="inlineStr">
        <is>
          <t>us</t>
        </is>
      </c>
      <c r="J177" s="33" t="n">
        <v>0</v>
      </c>
      <c r="K177" s="33" t="n">
        <v>1.596</v>
      </c>
      <c r="L177" s="33" t="n">
        <v>33</v>
      </c>
      <c r="M177" s="33" t="inlineStr">
        <is>
          <t>mww</t>
        </is>
      </c>
      <c r="N177" s="33" t="n">
        <v>43.21</v>
      </c>
      <c r="O177" s="33" t="n">
        <v>2.258</v>
      </c>
      <c r="P177" s="33" t="n">
        <v>126.758</v>
      </c>
      <c r="Q177" s="33" t="inlineStr">
        <is>
          <t>Molucca Sea</t>
        </is>
      </c>
      <c r="S177" s="33" t="inlineStr">
        <is>
          <t>Indonesia</t>
        </is>
      </c>
      <c r="T177" s="36">
        <f>DATE(MID(C177,7,4),MID(C177,4,2),MID(C177,1,2))+TIME(MID(C177,12,2),MID(C177,15,2),0)</f>
        <v/>
      </c>
      <c r="U177" s="33">
        <f>IF(ISNUMBER(VALUE(MID(A177,7,1))),"Distance-prefix pattern","Named-region pattern")</f>
        <v/>
      </c>
      <c r="V177" s="33">
        <f>LOWER(M177)</f>
        <v/>
      </c>
      <c r="W177" s="33">
        <f>IF(COUNTIFS($A$2:$A$1001,A177,$C$2:$C$1001,C177)&gt;1,"Duplicate","Unique")</f>
        <v/>
      </c>
      <c r="X177" s="33">
        <f>YEAR(T177)</f>
        <v/>
      </c>
      <c r="Y177" s="33">
        <f>IF(B177&lt;6.5,"&lt;6.5",IF(B177&lt;7,"6.5–6.9",IF(B177&lt;7.5,"7.0–7.4",IF(B177&lt;8,"7.5–7.9","8.0+"))))</f>
        <v/>
      </c>
      <c r="Z177" s="33">
        <f>IF(F177="","Blank",F177)</f>
        <v/>
      </c>
    </row>
    <row r="178" ht="15" customHeight="1" s="34">
      <c r="A178" s="33" t="inlineStr">
        <is>
          <t>M 6.8 - 90km W of Tarauaca, Brazil</t>
        </is>
      </c>
      <c r="B178" s="33" t="n">
        <v>6.8</v>
      </c>
      <c r="C178" s="33" t="inlineStr">
        <is>
          <t>05/01/2019 19:25</t>
        </is>
      </c>
      <c r="D178" s="33" t="n">
        <v>3</v>
      </c>
      <c r="E178" s="33" t="n">
        <v>3</v>
      </c>
      <c r="F178" s="33" t="inlineStr">
        <is>
          <t>green</t>
        </is>
      </c>
      <c r="G178" s="33" t="n">
        <v>0</v>
      </c>
      <c r="H178" s="33" t="n">
        <v>715</v>
      </c>
      <c r="I178" s="33" t="inlineStr">
        <is>
          <t>us</t>
        </is>
      </c>
      <c r="J178" s="33" t="n">
        <v>0</v>
      </c>
      <c r="K178" s="33" t="n">
        <v>1.181</v>
      </c>
      <c r="L178" s="33" t="n">
        <v>16</v>
      </c>
      <c r="M178" s="33" t="inlineStr">
        <is>
          <t>mww</t>
        </is>
      </c>
      <c r="N178" s="33" t="n">
        <v>570.41</v>
      </c>
      <c r="O178" s="33" t="n">
        <v>-8.144</v>
      </c>
      <c r="P178" s="33" t="n">
        <v>-71.587</v>
      </c>
      <c r="Q178" s="33" t="inlineStr">
        <is>
          <t>Tarauaca, Brazil</t>
        </is>
      </c>
      <c r="R178" s="33" t="inlineStr">
        <is>
          <t>South America</t>
        </is>
      </c>
      <c r="S178" s="33" t="inlineStr">
        <is>
          <t>Brazil</t>
        </is>
      </c>
      <c r="T178" s="36">
        <f>DATE(MID(C178,7,4),MID(C178,4,2),MID(C178,1,2))+TIME(MID(C178,12,2),MID(C178,15,2),0)</f>
        <v/>
      </c>
      <c r="U178" s="33">
        <f>IF(ISNUMBER(VALUE(MID(A178,7,1))),"Distance-prefix pattern","Named-region pattern")</f>
        <v/>
      </c>
      <c r="V178" s="33">
        <f>LOWER(M178)</f>
        <v/>
      </c>
      <c r="W178" s="33">
        <f>IF(COUNTIFS($A$2:$A$1001,A178,$C$2:$C$1001,C178)&gt;1,"Duplicate","Unique")</f>
        <v/>
      </c>
      <c r="X178" s="33">
        <f>YEAR(T178)</f>
        <v/>
      </c>
      <c r="Y178" s="33">
        <f>IF(B178&lt;6.5,"&lt;6.5",IF(B178&lt;7,"6.5–6.9",IF(B178&lt;7.5,"7.0–7.4",IF(B178&lt;8,"7.5–7.9","8.0+"))))</f>
        <v/>
      </c>
      <c r="Z178" s="33">
        <f>IF(F178="","Blank",F178)</f>
        <v/>
      </c>
    </row>
    <row r="179" ht="15" customHeight="1" s="34">
      <c r="A179" s="33" t="inlineStr">
        <is>
          <t>M 7.0 - 96 km ESE of Pondaguitan, Philippines</t>
        </is>
      </c>
      <c r="B179" s="33" t="n">
        <v>7</v>
      </c>
      <c r="C179" s="33" t="inlineStr">
        <is>
          <t>29/12/2018 03:39</t>
        </is>
      </c>
      <c r="D179" s="33" t="n">
        <v>5</v>
      </c>
      <c r="E179" s="33" t="n">
        <v>5</v>
      </c>
      <c r="F179" s="33" t="inlineStr">
        <is>
          <t>green</t>
        </is>
      </c>
      <c r="G179" s="33" t="n">
        <v>1</v>
      </c>
      <c r="H179" s="33" t="n">
        <v>803</v>
      </c>
      <c r="I179" s="33" t="inlineStr">
        <is>
          <t>us</t>
        </is>
      </c>
      <c r="J179" s="33" t="n">
        <v>0</v>
      </c>
      <c r="K179" s="33" t="n">
        <v>1.769</v>
      </c>
      <c r="L179" s="33" t="n">
        <v>21</v>
      </c>
      <c r="M179" s="33" t="inlineStr">
        <is>
          <t>mww</t>
        </is>
      </c>
      <c r="N179" s="33" t="n">
        <v>60.21</v>
      </c>
      <c r="O179" s="33" t="n">
        <v>5.8983</v>
      </c>
      <c r="P179" s="33" t="n">
        <v>126.921</v>
      </c>
      <c r="Q179" s="33" t="inlineStr">
        <is>
          <t>Pondaguitan, Philippines</t>
        </is>
      </c>
      <c r="T179" s="36">
        <f>DATE(MID(C179,7,4),MID(C179,4,2),MID(C179,1,2))+TIME(MID(C179,12,2),MID(C179,15,2),0)</f>
        <v/>
      </c>
      <c r="U179" s="33">
        <f>IF(ISNUMBER(VALUE(MID(A179,7,1))),"Distance-prefix pattern","Named-region pattern")</f>
        <v/>
      </c>
      <c r="V179" s="33">
        <f>LOWER(M179)</f>
        <v/>
      </c>
      <c r="W179" s="33">
        <f>IF(COUNTIFS($A$2:$A$1001,A179,$C$2:$C$1001,C179)&gt;1,"Duplicate","Unique")</f>
        <v/>
      </c>
      <c r="X179" s="33">
        <f>YEAR(T179)</f>
        <v/>
      </c>
      <c r="Y179" s="33">
        <f>IF(B179&lt;6.5,"&lt;6.5",IF(B179&lt;7,"6.5–6.9",IF(B179&lt;7.5,"7.0–7.4",IF(B179&lt;8,"7.5–7.9","8.0+"))))</f>
        <v/>
      </c>
      <c r="Z179" s="33">
        <f>IF(F179="","Blank",F179)</f>
        <v/>
      </c>
    </row>
    <row r="180" ht="15" customHeight="1" s="34">
      <c r="A180" s="33" t="inlineStr">
        <is>
          <t>M 7.3 - 187 km SE of Ust’-Kamchatsk Staryy, Russia</t>
        </is>
      </c>
      <c r="B180" s="33" t="n">
        <v>7.3</v>
      </c>
      <c r="C180" s="33" t="inlineStr">
        <is>
          <t>20/12/2018 17:01</t>
        </is>
      </c>
      <c r="D180" s="33" t="n">
        <v>3</v>
      </c>
      <c r="E180" s="33" t="n">
        <v>7</v>
      </c>
      <c r="F180" s="33" t="inlineStr">
        <is>
          <t>green</t>
        </is>
      </c>
      <c r="G180" s="33" t="n">
        <v>1</v>
      </c>
      <c r="H180" s="33" t="n">
        <v>822</v>
      </c>
      <c r="I180" s="33" t="inlineStr">
        <is>
          <t>us</t>
        </is>
      </c>
      <c r="J180" s="33" t="n">
        <v>0</v>
      </c>
      <c r="K180" s="33" t="n">
        <v>4.126</v>
      </c>
      <c r="L180" s="33" t="n">
        <v>23</v>
      </c>
      <c r="M180" s="33" t="inlineStr">
        <is>
          <t>mww</t>
        </is>
      </c>
      <c r="N180" s="33" t="n">
        <v>16.56</v>
      </c>
      <c r="O180" s="33" t="n">
        <v>55.0999</v>
      </c>
      <c r="P180" s="33" t="n">
        <v>164.699</v>
      </c>
      <c r="Q180" s="33" t="inlineStr">
        <is>
          <t>Ust’-Kamchatsk Staryy, Russia</t>
        </is>
      </c>
      <c r="T180" s="36">
        <f>DATE(MID(C180,7,4),MID(C180,4,2),MID(C180,1,2))+TIME(MID(C180,12,2),MID(C180,15,2),0)</f>
        <v/>
      </c>
      <c r="U180" s="33">
        <f>IF(ISNUMBER(VALUE(MID(A180,7,1))),"Distance-prefix pattern","Named-region pattern")</f>
        <v/>
      </c>
      <c r="V180" s="33">
        <f>LOWER(M180)</f>
        <v/>
      </c>
      <c r="W180" s="33">
        <f>IF(COUNTIFS($A$2:$A$1001,A180,$C$2:$C$1001,C180)&gt;1,"Duplicate","Unique")</f>
        <v/>
      </c>
      <c r="X180" s="33">
        <f>YEAR(T180)</f>
        <v/>
      </c>
      <c r="Y180" s="33">
        <f>IF(B180&lt;6.5,"&lt;6.5",IF(B180&lt;7,"6.5–6.9",IF(B180&lt;7.5,"7.0–7.4",IF(B180&lt;8,"7.5–7.9","8.0+"))))</f>
        <v/>
      </c>
      <c r="Z180" s="33">
        <f>IF(F180="","Blank",F180)</f>
        <v/>
      </c>
    </row>
    <row r="181" ht="15" customHeight="1" s="34">
      <c r="A181" s="33" t="inlineStr">
        <is>
          <t>M 7.1 - South Sandwich Islands region</t>
        </is>
      </c>
      <c r="B181" s="33" t="n">
        <v>7.1</v>
      </c>
      <c r="C181" s="33" t="inlineStr">
        <is>
          <t>11/12/2018 02:26</t>
        </is>
      </c>
      <c r="D181" s="33" t="n">
        <v>0</v>
      </c>
      <c r="E181" s="33" t="n">
        <v>5</v>
      </c>
      <c r="F181" s="33" t="inlineStr">
        <is>
          <t>green</t>
        </is>
      </c>
      <c r="G181" s="33" t="n">
        <v>1</v>
      </c>
      <c r="H181" s="33" t="n">
        <v>776</v>
      </c>
      <c r="I181" s="33" t="inlineStr">
        <is>
          <t>us</t>
        </is>
      </c>
      <c r="J181" s="33" t="n">
        <v>0</v>
      </c>
      <c r="K181" s="33" t="n">
        <v>7.043</v>
      </c>
      <c r="L181" s="33" t="n">
        <v>20</v>
      </c>
      <c r="M181" s="33" t="inlineStr">
        <is>
          <t>mww</t>
        </is>
      </c>
      <c r="N181" s="33" t="n">
        <v>133</v>
      </c>
      <c r="O181" s="33" t="n">
        <v>-58.5446</v>
      </c>
      <c r="P181" s="33" t="n">
        <v>-26.3856</v>
      </c>
      <c r="Q181" s="33" t="inlineStr">
        <is>
          <t>South Sandwich Islands region</t>
        </is>
      </c>
      <c r="S181" s="33" t="inlineStr">
        <is>
          <t>South Georgia and the South Sandwich Islands</t>
        </is>
      </c>
      <c r="T181" s="36">
        <f>DATE(MID(C181,7,4),MID(C181,4,2),MID(C181,1,2))+TIME(MID(C181,12,2),MID(C181,15,2),0)</f>
        <v/>
      </c>
      <c r="U181" s="33">
        <f>IF(ISNUMBER(VALUE(MID(A181,7,1))),"Distance-prefix pattern","Named-region pattern")</f>
        <v/>
      </c>
      <c r="V181" s="33">
        <f>LOWER(M181)</f>
        <v/>
      </c>
      <c r="W181" s="33">
        <f>IF(COUNTIFS($A$2:$A$1001,A181,$C$2:$C$1001,C181)&gt;1,"Duplicate","Unique")</f>
        <v/>
      </c>
      <c r="X181" s="33">
        <f>YEAR(T181)</f>
        <v/>
      </c>
      <c r="Y181" s="33">
        <f>IF(B181&lt;6.5,"&lt;6.5",IF(B181&lt;7,"6.5–6.9",IF(B181&lt;7.5,"7.0–7.4",IF(B181&lt;8,"7.5–7.9","8.0+"))))</f>
        <v/>
      </c>
      <c r="Z181" s="33">
        <f>IF(F181="","Blank",F181)</f>
        <v/>
      </c>
    </row>
    <row r="182" ht="15" customHeight="1" s="34">
      <c r="A182" s="33" t="inlineStr">
        <is>
          <t>M 6.6 - 199 km ESE of Tadine, New Caledonia</t>
        </is>
      </c>
      <c r="B182" s="33" t="n">
        <v>6.6</v>
      </c>
      <c r="C182" s="33" t="inlineStr">
        <is>
          <t>05/12/2018 06:43</t>
        </is>
      </c>
      <c r="D182" s="33" t="n">
        <v>0</v>
      </c>
      <c r="E182" s="33" t="n">
        <v>4</v>
      </c>
      <c r="F182" s="33" t="inlineStr">
        <is>
          <t>green</t>
        </is>
      </c>
      <c r="G182" s="33" t="n">
        <v>1</v>
      </c>
      <c r="H182" s="33" t="n">
        <v>670</v>
      </c>
      <c r="I182" s="33" t="inlineStr">
        <is>
          <t>us</t>
        </is>
      </c>
      <c r="J182" s="33" t="n">
        <v>0</v>
      </c>
      <c r="K182" s="33" t="n">
        <v>2.679</v>
      </c>
      <c r="L182" s="33" t="n">
        <v>31</v>
      </c>
      <c r="M182" s="33" t="inlineStr">
        <is>
          <t>mww</t>
        </is>
      </c>
      <c r="N182" s="33" t="n">
        <v>10</v>
      </c>
      <c r="O182" s="33" t="n">
        <v>-22.0629</v>
      </c>
      <c r="P182" s="33" t="n">
        <v>169.733</v>
      </c>
      <c r="Q182" s="33" t="inlineStr">
        <is>
          <t>Tadine, New Caledonia</t>
        </is>
      </c>
      <c r="T182" s="36">
        <f>DATE(MID(C182,7,4),MID(C182,4,2),MID(C182,1,2))+TIME(MID(C182,12,2),MID(C182,15,2),0)</f>
        <v/>
      </c>
      <c r="U182" s="33">
        <f>IF(ISNUMBER(VALUE(MID(A182,7,1))),"Distance-prefix pattern","Named-region pattern")</f>
        <v/>
      </c>
      <c r="V182" s="33">
        <f>LOWER(M182)</f>
        <v/>
      </c>
      <c r="W182" s="33">
        <f>IF(COUNTIFS($A$2:$A$1001,A182,$C$2:$C$1001,C182)&gt;1,"Duplicate","Unique")</f>
        <v/>
      </c>
      <c r="X182" s="33">
        <f>YEAR(T182)</f>
        <v/>
      </c>
      <c r="Y182" s="33">
        <f>IF(B182&lt;6.5,"&lt;6.5",IF(B182&lt;7,"6.5–6.9",IF(B182&lt;7.5,"7.0–7.4",IF(B182&lt;8,"7.5–7.9","8.0+"))))</f>
        <v/>
      </c>
      <c r="Z182" s="33">
        <f>IF(F182="","Blank",F182)</f>
        <v/>
      </c>
    </row>
    <row r="183" ht="15" customHeight="1" s="34">
      <c r="A183" s="33" t="inlineStr">
        <is>
          <t>M 7.5 - 166 km ESE of Tadine, New Caledonia</t>
        </is>
      </c>
      <c r="B183" s="33" t="n">
        <v>7.5</v>
      </c>
      <c r="C183" s="33" t="inlineStr">
        <is>
          <t>05/12/2018 04:18</t>
        </is>
      </c>
      <c r="D183" s="33" t="n">
        <v>3</v>
      </c>
      <c r="E183" s="33" t="n">
        <v>6</v>
      </c>
      <c r="F183" s="33" t="inlineStr">
        <is>
          <t>green</t>
        </is>
      </c>
      <c r="G183" s="33" t="n">
        <v>1</v>
      </c>
      <c r="H183" s="33" t="n">
        <v>871</v>
      </c>
      <c r="I183" s="33" t="inlineStr">
        <is>
          <t>us</t>
        </is>
      </c>
      <c r="J183" s="33" t="n">
        <v>0</v>
      </c>
      <c r="K183" s="33" t="n">
        <v>2.405</v>
      </c>
      <c r="L183" s="33" t="n">
        <v>18</v>
      </c>
      <c r="M183" s="33" t="inlineStr">
        <is>
          <t>mww</t>
        </is>
      </c>
      <c r="N183" s="33" t="n">
        <v>10</v>
      </c>
      <c r="O183" s="33" t="n">
        <v>-21.9496</v>
      </c>
      <c r="P183" s="33" t="n">
        <v>169.427</v>
      </c>
      <c r="Q183" s="33" t="inlineStr">
        <is>
          <t>Tadine, New Caledonia</t>
        </is>
      </c>
      <c r="T183" s="36">
        <f>DATE(MID(C183,7,4),MID(C183,4,2),MID(C183,1,2))+TIME(MID(C183,12,2),MID(C183,15,2),0)</f>
        <v/>
      </c>
      <c r="U183" s="33">
        <f>IF(ISNUMBER(VALUE(MID(A183,7,1))),"Distance-prefix pattern","Named-region pattern")</f>
        <v/>
      </c>
      <c r="V183" s="33">
        <f>LOWER(M183)</f>
        <v/>
      </c>
      <c r="W183" s="33">
        <f>IF(COUNTIFS($A$2:$A$1001,A183,$C$2:$C$1001,C183)&gt;1,"Duplicate","Unique")</f>
        <v/>
      </c>
      <c r="X183" s="33">
        <f>YEAR(T183)</f>
        <v/>
      </c>
      <c r="Y183" s="33">
        <f>IF(B183&lt;6.5,"&lt;6.5",IF(B183&lt;7,"6.5–6.9",IF(B183&lt;7.5,"7.0–7.4",IF(B183&lt;8,"7.5–7.9","8.0+"))))</f>
        <v/>
      </c>
      <c r="Z183" s="33">
        <f>IF(F183="","Blank",F183)</f>
        <v/>
      </c>
    </row>
    <row r="184" ht="15" customHeight="1" s="34">
      <c r="A184" s="33" t="inlineStr">
        <is>
          <t>M 7.1 - 1 km SE of Point MacKenzie, Alaska</t>
        </is>
      </c>
      <c r="B184" s="33" t="n">
        <v>7.1</v>
      </c>
      <c r="C184" s="33" t="inlineStr">
        <is>
          <t>30/11/2018 17:29</t>
        </is>
      </c>
      <c r="D184" s="33" t="n">
        <v>8</v>
      </c>
      <c r="E184" s="33" t="n">
        <v>8</v>
      </c>
      <c r="F184" s="33" t="inlineStr">
        <is>
          <t>orange</t>
        </is>
      </c>
      <c r="G184" s="33" t="n">
        <v>1</v>
      </c>
      <c r="H184" s="33" t="n">
        <v>1790</v>
      </c>
      <c r="I184" s="33" t="inlineStr">
        <is>
          <t>ak</t>
        </is>
      </c>
      <c r="J184" s="33" t="n">
        <v>0</v>
      </c>
      <c r="K184" s="33" t="n">
        <v>0</v>
      </c>
      <c r="L184" s="33" t="n">
        <v>0</v>
      </c>
      <c r="M184" s="33" t="inlineStr">
        <is>
          <t>mw</t>
        </is>
      </c>
      <c r="N184" s="33" t="n">
        <v>46.7</v>
      </c>
      <c r="O184" s="33" t="n">
        <v>61.3464</v>
      </c>
      <c r="P184" s="33" t="n">
        <v>-149.955</v>
      </c>
      <c r="Q184" s="33" t="inlineStr">
        <is>
          <t>Point MacKenzie, Alaska</t>
        </is>
      </c>
      <c r="R184" s="33" t="inlineStr">
        <is>
          <t>North America</t>
        </is>
      </c>
      <c r="S184" s="33" t="inlineStr">
        <is>
          <t>United States of America</t>
        </is>
      </c>
      <c r="T184" s="36">
        <f>DATE(MID(C184,7,4),MID(C184,4,2),MID(C184,1,2))+TIME(MID(C184,12,2),MID(C184,15,2),0)</f>
        <v/>
      </c>
      <c r="U184" s="33">
        <f>IF(ISNUMBER(VALUE(MID(A184,7,1))),"Distance-prefix pattern","Named-region pattern")</f>
        <v/>
      </c>
      <c r="V184" s="33">
        <f>LOWER(M184)</f>
        <v/>
      </c>
      <c r="W184" s="33">
        <f>IF(COUNTIFS($A$2:$A$1001,A184,$C$2:$C$1001,C184)&gt;1,"Duplicate","Unique")</f>
        <v/>
      </c>
      <c r="X184" s="33">
        <f>YEAR(T184)</f>
        <v/>
      </c>
      <c r="Y184" s="33">
        <f>IF(B184&lt;6.5,"&lt;6.5",IF(B184&lt;7,"6.5–6.9",IF(B184&lt;7.5,"7.0–7.4",IF(B184&lt;8,"7.5–7.9","8.0+"))))</f>
        <v/>
      </c>
      <c r="Z184" s="33">
        <f>IF(F184="","Blank",F184)</f>
        <v/>
      </c>
    </row>
    <row r="185" ht="15" customHeight="1" s="34">
      <c r="A185" s="33" t="inlineStr">
        <is>
          <t>M 6.8 - 187 km E of Levuka, Fiji</t>
        </is>
      </c>
      <c r="B185" s="33" t="n">
        <v>6.8</v>
      </c>
      <c r="C185" s="33" t="inlineStr">
        <is>
          <t>18/11/2018 20:25</t>
        </is>
      </c>
      <c r="D185" s="33" t="n">
        <v>0</v>
      </c>
      <c r="E185" s="33" t="n">
        <v>3</v>
      </c>
      <c r="F185" s="33" t="inlineStr">
        <is>
          <t>green</t>
        </is>
      </c>
      <c r="G185" s="33" t="n">
        <v>1</v>
      </c>
      <c r="H185" s="33" t="n">
        <v>711</v>
      </c>
      <c r="I185" s="33" t="inlineStr">
        <is>
          <t>us</t>
        </is>
      </c>
      <c r="J185" s="33" t="n">
        <v>0</v>
      </c>
      <c r="K185" s="33" t="n">
        <v>2.879</v>
      </c>
      <c r="L185" s="33" t="n">
        <v>39</v>
      </c>
      <c r="M185" s="33" t="inlineStr">
        <is>
          <t>mww</t>
        </is>
      </c>
      <c r="N185" s="33" t="n">
        <v>540</v>
      </c>
      <c r="O185" s="33" t="n">
        <v>-17.8735</v>
      </c>
      <c r="P185" s="33" t="n">
        <v>-178.927</v>
      </c>
      <c r="Q185" s="33" t="inlineStr">
        <is>
          <t>Levuka, Fiji</t>
        </is>
      </c>
      <c r="S185" s="33" t="inlineStr">
        <is>
          <t>Fiji</t>
        </is>
      </c>
      <c r="T185" s="36">
        <f>DATE(MID(C185,7,4),MID(C185,4,2),MID(C185,1,2))+TIME(MID(C185,12,2),MID(C185,15,2),0)</f>
        <v/>
      </c>
      <c r="U185" s="33">
        <f>IF(ISNUMBER(VALUE(MID(A185,7,1))),"Distance-prefix pattern","Named-region pattern")</f>
        <v/>
      </c>
      <c r="V185" s="33">
        <f>LOWER(M185)</f>
        <v/>
      </c>
      <c r="W185" s="33">
        <f>IF(COUNTIFS($A$2:$A$1001,A185,$C$2:$C$1001,C185)&gt;1,"Duplicate","Unique")</f>
        <v/>
      </c>
      <c r="X185" s="33">
        <f>YEAR(T185)</f>
        <v/>
      </c>
      <c r="Y185" s="33">
        <f>IF(B185&lt;6.5,"&lt;6.5",IF(B185&lt;7,"6.5–6.9",IF(B185&lt;7.5,"7.0–7.4",IF(B185&lt;8,"7.5–7.9","8.0+"))))</f>
        <v/>
      </c>
      <c r="Z185" s="33">
        <f>IF(F185="","Blank",F185)</f>
        <v/>
      </c>
    </row>
    <row r="186" ht="15" customHeight="1" s="34">
      <c r="A186" s="33" t="inlineStr">
        <is>
          <t>M 6.7 - 120 km NW of Olonkinbyen, Svalbard and Jan Mayen</t>
        </is>
      </c>
      <c r="B186" s="33" t="n">
        <v>6.7</v>
      </c>
      <c r="C186" s="33" t="inlineStr">
        <is>
          <t>09/11/2018 01:49</t>
        </is>
      </c>
      <c r="D186" s="33" t="n">
        <v>3</v>
      </c>
      <c r="E186" s="33" t="n">
        <v>4</v>
      </c>
      <c r="F186" s="33" t="inlineStr">
        <is>
          <t>green</t>
        </is>
      </c>
      <c r="G186" s="33" t="n">
        <v>1</v>
      </c>
      <c r="H186" s="33" t="n">
        <v>693</v>
      </c>
      <c r="I186" s="33" t="inlineStr">
        <is>
          <t>us</t>
        </is>
      </c>
      <c r="J186" s="33" t="n">
        <v>0</v>
      </c>
      <c r="K186" s="33" t="n">
        <v>7.853</v>
      </c>
      <c r="L186" s="33" t="n">
        <v>19</v>
      </c>
      <c r="M186" s="33" t="inlineStr">
        <is>
          <t>mww</t>
        </is>
      </c>
      <c r="N186" s="33" t="n">
        <v>10</v>
      </c>
      <c r="O186" s="33" t="n">
        <v>71.63120000000001</v>
      </c>
      <c r="P186" s="33" t="n">
        <v>-11.2431</v>
      </c>
      <c r="Q186" s="33" t="inlineStr">
        <is>
          <t>Olonkinbyen, Svalbard and Jan Mayen</t>
        </is>
      </c>
      <c r="T186" s="36">
        <f>DATE(MID(C186,7,4),MID(C186,4,2),MID(C186,1,2))+TIME(MID(C186,12,2),MID(C186,15,2),0)</f>
        <v/>
      </c>
      <c r="U186" s="33">
        <f>IF(ISNUMBER(VALUE(MID(A186,7,1))),"Distance-prefix pattern","Named-region pattern")</f>
        <v/>
      </c>
      <c r="V186" s="33">
        <f>LOWER(M186)</f>
        <v/>
      </c>
      <c r="W186" s="33">
        <f>IF(COUNTIFS($A$2:$A$1001,A186,$C$2:$C$1001,C186)&gt;1,"Duplicate","Unique")</f>
        <v/>
      </c>
      <c r="X186" s="33">
        <f>YEAR(T186)</f>
        <v/>
      </c>
      <c r="Y186" s="33">
        <f>IF(B186&lt;6.5,"&lt;6.5",IF(B186&lt;7,"6.5–6.9",IF(B186&lt;7.5,"7.0–7.4",IF(B186&lt;8,"7.5–7.9","8.0+"))))</f>
        <v/>
      </c>
      <c r="Z186" s="33">
        <f>IF(F186="","Blank",F186)</f>
        <v/>
      </c>
    </row>
    <row r="187" ht="15" customHeight="1" s="34">
      <c r="A187" s="33" t="inlineStr">
        <is>
          <t>M 6.8 - 32 km SW of Lithakiá, Greece</t>
        </is>
      </c>
      <c r="B187" s="33" t="n">
        <v>6.8</v>
      </c>
      <c r="C187" s="33" t="inlineStr">
        <is>
          <t>25/10/2018 22:54</t>
        </is>
      </c>
      <c r="D187" s="33" t="n">
        <v>8</v>
      </c>
      <c r="E187" s="33" t="n">
        <v>7</v>
      </c>
      <c r="F187" s="33" t="inlineStr">
        <is>
          <t>yellow</t>
        </is>
      </c>
      <c r="G187" s="33" t="n">
        <v>0</v>
      </c>
      <c r="H187" s="33" t="n">
        <v>954</v>
      </c>
      <c r="I187" s="33" t="inlineStr">
        <is>
          <t>us</t>
        </is>
      </c>
      <c r="J187" s="33" t="n">
        <v>0</v>
      </c>
      <c r="K187" s="33" t="n">
        <v>2.268</v>
      </c>
      <c r="L187" s="33" t="n">
        <v>15</v>
      </c>
      <c r="M187" s="33" t="inlineStr">
        <is>
          <t>mww</t>
        </is>
      </c>
      <c r="N187" s="33" t="n">
        <v>14</v>
      </c>
      <c r="O187" s="33" t="n">
        <v>37.5203</v>
      </c>
      <c r="P187" s="33" t="n">
        <v>20.5565</v>
      </c>
      <c r="Q187" s="33" t="inlineStr">
        <is>
          <t>Lithakiá, Greece</t>
        </is>
      </c>
      <c r="R187" s="33" t="inlineStr">
        <is>
          <t>Europe</t>
        </is>
      </c>
      <c r="T187" s="36">
        <f>DATE(MID(C187,7,4),MID(C187,4,2),MID(C187,1,2))+TIME(MID(C187,12,2),MID(C187,15,2),0)</f>
        <v/>
      </c>
      <c r="U187" s="33">
        <f>IF(ISNUMBER(VALUE(MID(A187,7,1))),"Distance-prefix pattern","Named-region pattern")</f>
        <v/>
      </c>
      <c r="V187" s="33">
        <f>LOWER(M187)</f>
        <v/>
      </c>
      <c r="W187" s="33">
        <f>IF(COUNTIFS($A$2:$A$1001,A187,$C$2:$C$1001,C187)&gt;1,"Duplicate","Unique")</f>
        <v/>
      </c>
      <c r="X187" s="33">
        <f>YEAR(T187)</f>
        <v/>
      </c>
      <c r="Y187" s="33">
        <f>IF(B187&lt;6.5,"&lt;6.5",IF(B187&lt;7,"6.5–6.9",IF(B187&lt;7.5,"7.0–7.4",IF(B187&lt;8,"7.5–7.9","8.0+"))))</f>
        <v/>
      </c>
      <c r="Z187" s="33">
        <f>IF(F187="","Blank",F187)</f>
        <v/>
      </c>
    </row>
    <row r="188" ht="15" customHeight="1" s="34">
      <c r="A188" s="33" t="inlineStr">
        <is>
          <t>M 6.5 - 237 km SW of Port McNeill, Canada</t>
        </is>
      </c>
      <c r="B188" s="33" t="n">
        <v>6.5</v>
      </c>
      <c r="C188" s="33" t="inlineStr">
        <is>
          <t>22/10/2018 06:22</t>
        </is>
      </c>
      <c r="D188" s="33" t="n">
        <v>2</v>
      </c>
      <c r="E188" s="33" t="n">
        <v>4</v>
      </c>
      <c r="F188" s="33" t="inlineStr">
        <is>
          <t>green</t>
        </is>
      </c>
      <c r="G188" s="33" t="n">
        <v>0</v>
      </c>
      <c r="H188" s="33" t="n">
        <v>655</v>
      </c>
      <c r="I188" s="33" t="inlineStr">
        <is>
          <t>us</t>
        </is>
      </c>
      <c r="J188" s="33" t="n">
        <v>0</v>
      </c>
      <c r="K188" s="33" t="n">
        <v>1.692</v>
      </c>
      <c r="L188" s="33" t="n">
        <v>68</v>
      </c>
      <c r="M188" s="33" t="inlineStr">
        <is>
          <t>mww</t>
        </is>
      </c>
      <c r="N188" s="33" t="n">
        <v>10</v>
      </c>
      <c r="O188" s="33" t="n">
        <v>49.297</v>
      </c>
      <c r="P188" s="33" t="n">
        <v>-129.724</v>
      </c>
      <c r="Q188" s="33" t="inlineStr">
        <is>
          <t>Port McNeill, Canada</t>
        </is>
      </c>
      <c r="T188" s="36">
        <f>DATE(MID(C188,7,4),MID(C188,4,2),MID(C188,1,2))+TIME(MID(C188,12,2),MID(C188,15,2),0)</f>
        <v/>
      </c>
      <c r="U188" s="33">
        <f>IF(ISNUMBER(VALUE(MID(A188,7,1))),"Distance-prefix pattern","Named-region pattern")</f>
        <v/>
      </c>
      <c r="V188" s="33">
        <f>LOWER(M188)</f>
        <v/>
      </c>
      <c r="W188" s="33">
        <f>IF(COUNTIFS($A$2:$A$1001,A188,$C$2:$C$1001,C188)&gt;1,"Duplicate","Unique")</f>
        <v/>
      </c>
      <c r="X188" s="33">
        <f>YEAR(T188)</f>
        <v/>
      </c>
      <c r="Y188" s="33">
        <f>IF(B188&lt;6.5,"&lt;6.5",IF(B188&lt;7,"6.5–6.9",IF(B188&lt;7.5,"7.0–7.4",IF(B188&lt;8,"7.5–7.9","8.0+"))))</f>
        <v/>
      </c>
      <c r="Z188" s="33">
        <f>IF(F188="","Blank",F188)</f>
        <v/>
      </c>
    </row>
    <row r="189" ht="15" customHeight="1" s="34">
      <c r="A189" s="33" t="inlineStr">
        <is>
          <t>M 6.8 - 210 km SW of Port McNeill, Canada</t>
        </is>
      </c>
      <c r="B189" s="33" t="n">
        <v>6.8</v>
      </c>
      <c r="C189" s="33" t="inlineStr">
        <is>
          <t>22/10/2018 06:16</t>
        </is>
      </c>
      <c r="D189" s="33" t="n">
        <v>4</v>
      </c>
      <c r="E189" s="33" t="n">
        <v>4</v>
      </c>
      <c r="F189" s="33" t="inlineStr">
        <is>
          <t>green</t>
        </is>
      </c>
      <c r="G189" s="33" t="n">
        <v>1</v>
      </c>
      <c r="H189" s="33" t="n">
        <v>776</v>
      </c>
      <c r="I189" s="33" t="inlineStr">
        <is>
          <t>us</t>
        </is>
      </c>
      <c r="J189" s="33" t="n">
        <v>0</v>
      </c>
      <c r="K189" s="33" t="n">
        <v>1.505</v>
      </c>
      <c r="L189" s="33" t="n">
        <v>36</v>
      </c>
      <c r="M189" s="33" t="inlineStr">
        <is>
          <t>mww</t>
        </is>
      </c>
      <c r="N189" s="33" t="n">
        <v>10</v>
      </c>
      <c r="O189" s="33" t="n">
        <v>49.3346</v>
      </c>
      <c r="P189" s="33" t="n">
        <v>-129.289</v>
      </c>
      <c r="Q189" s="33" t="inlineStr">
        <is>
          <t>Port McNeill, Canada</t>
        </is>
      </c>
      <c r="T189" s="36">
        <f>DATE(MID(C189,7,4),MID(C189,4,2),MID(C189,1,2))+TIME(MID(C189,12,2),MID(C189,15,2),0)</f>
        <v/>
      </c>
      <c r="U189" s="33">
        <f>IF(ISNUMBER(VALUE(MID(A189,7,1))),"Distance-prefix pattern","Named-region pattern")</f>
        <v/>
      </c>
      <c r="V189" s="33">
        <f>LOWER(M189)</f>
        <v/>
      </c>
      <c r="W189" s="33">
        <f>IF(COUNTIFS($A$2:$A$1001,A189,$C$2:$C$1001,C189)&gt;1,"Duplicate","Unique")</f>
        <v/>
      </c>
      <c r="X189" s="33">
        <f>YEAR(T189)</f>
        <v/>
      </c>
      <c r="Y189" s="33">
        <f>IF(B189&lt;6.5,"&lt;6.5",IF(B189&lt;7,"6.5–6.9",IF(B189&lt;7.5,"7.0–7.4",IF(B189&lt;8,"7.5–7.9","8.0+"))))</f>
        <v/>
      </c>
      <c r="Z189" s="33">
        <f>IF(F189="","Blank",F189)</f>
        <v/>
      </c>
    </row>
    <row r="190" ht="15" customHeight="1" s="34">
      <c r="A190" s="33" t="inlineStr">
        <is>
          <t>M 6.5 - 223 km SW of Port McNeill, Canada</t>
        </is>
      </c>
      <c r="B190" s="33" t="n">
        <v>6.5</v>
      </c>
      <c r="C190" s="33" t="inlineStr">
        <is>
          <t>22/10/2018 05:39</t>
        </is>
      </c>
      <c r="D190" s="33" t="n">
        <v>3</v>
      </c>
      <c r="E190" s="33" t="n">
        <v>4</v>
      </c>
      <c r="F190" s="33" t="inlineStr">
        <is>
          <t>green</t>
        </is>
      </c>
      <c r="G190" s="33" t="n">
        <v>1</v>
      </c>
      <c r="H190" s="33" t="n">
        <v>669</v>
      </c>
      <c r="I190" s="33" t="inlineStr">
        <is>
          <t>us</t>
        </is>
      </c>
      <c r="J190" s="33" t="n">
        <v>0</v>
      </c>
      <c r="K190" s="33" t="n">
        <v>1.611</v>
      </c>
      <c r="L190" s="33" t="n">
        <v>63</v>
      </c>
      <c r="M190" s="33" t="inlineStr">
        <is>
          <t>mww</t>
        </is>
      </c>
      <c r="N190" s="33" t="n">
        <v>10</v>
      </c>
      <c r="O190" s="33" t="n">
        <v>49.2586</v>
      </c>
      <c r="P190" s="33" t="n">
        <v>-129.412</v>
      </c>
      <c r="Q190" s="33" t="inlineStr">
        <is>
          <t>Port McNeill, Canada</t>
        </is>
      </c>
      <c r="T190" s="36">
        <f>DATE(MID(C190,7,4),MID(C190,4,2),MID(C190,1,2))+TIME(MID(C190,12,2),MID(C190,15,2),0)</f>
        <v/>
      </c>
      <c r="U190" s="33">
        <f>IF(ISNUMBER(VALUE(MID(A190,7,1))),"Distance-prefix pattern","Named-region pattern")</f>
        <v/>
      </c>
      <c r="V190" s="33">
        <f>LOWER(M190)</f>
        <v/>
      </c>
      <c r="W190" s="33">
        <f>IF(COUNTIFS($A$2:$A$1001,A190,$C$2:$C$1001,C190)&gt;1,"Duplicate","Unique")</f>
        <v/>
      </c>
      <c r="X190" s="33">
        <f>YEAR(T190)</f>
        <v/>
      </c>
      <c r="Y190" s="33">
        <f>IF(B190&lt;6.5,"&lt;6.5",IF(B190&lt;7,"6.5–6.9",IF(B190&lt;7.5,"7.0–7.4",IF(B190&lt;8,"7.5–7.9","8.0+"))))</f>
        <v/>
      </c>
      <c r="Z190" s="33">
        <f>IF(F190="","Blank",F190)</f>
        <v/>
      </c>
    </row>
    <row r="191" ht="15" customHeight="1" s="34">
      <c r="A191" s="33" t="inlineStr">
        <is>
          <t>M 6.5 - 171 km E of Tadine, New Caledonia</t>
        </is>
      </c>
      <c r="B191" s="33" t="n">
        <v>6.5</v>
      </c>
      <c r="C191" s="33" t="inlineStr">
        <is>
          <t>16/10/2018 01:03</t>
        </is>
      </c>
      <c r="D191" s="33" t="n">
        <v>0</v>
      </c>
      <c r="E191" s="33" t="n">
        <v>4</v>
      </c>
      <c r="F191" s="33" t="inlineStr">
        <is>
          <t>green</t>
        </is>
      </c>
      <c r="G191" s="33" t="n">
        <v>1</v>
      </c>
      <c r="H191" s="33" t="n">
        <v>650</v>
      </c>
      <c r="I191" s="33" t="inlineStr">
        <is>
          <t>us</t>
        </is>
      </c>
      <c r="J191" s="33" t="n">
        <v>0</v>
      </c>
      <c r="K191" s="33" t="n">
        <v>2.109</v>
      </c>
      <c r="L191" s="33" t="n">
        <v>22</v>
      </c>
      <c r="M191" s="33" t="inlineStr">
        <is>
          <t>mww</t>
        </is>
      </c>
      <c r="N191" s="33" t="n">
        <v>17</v>
      </c>
      <c r="O191" s="33" t="n">
        <v>-21.7427</v>
      </c>
      <c r="P191" s="33" t="n">
        <v>169.522</v>
      </c>
      <c r="Q191" s="33" t="inlineStr">
        <is>
          <t>Tadine, New Caledonia</t>
        </is>
      </c>
      <c r="T191" s="36">
        <f>DATE(MID(C191,7,4),MID(C191,4,2),MID(C191,1,2))+TIME(MID(C191,12,2),MID(C191,15,2),0)</f>
        <v/>
      </c>
      <c r="U191" s="33">
        <f>IF(ISNUMBER(VALUE(MID(A191,7,1))),"Distance-prefix pattern","Named-region pattern")</f>
        <v/>
      </c>
      <c r="V191" s="33">
        <f>LOWER(M191)</f>
        <v/>
      </c>
      <c r="W191" s="33">
        <f>IF(COUNTIFS($A$2:$A$1001,A191,$C$2:$C$1001,C191)&gt;1,"Duplicate","Unique")</f>
        <v/>
      </c>
      <c r="X191" s="33">
        <f>YEAR(T191)</f>
        <v/>
      </c>
      <c r="Y191" s="33">
        <f>IF(B191&lt;6.5,"&lt;6.5",IF(B191&lt;7,"6.5–6.9",IF(B191&lt;7.5,"7.0–7.4",IF(B191&lt;8,"7.5–7.9","8.0+"))))</f>
        <v/>
      </c>
      <c r="Z191" s="33">
        <f>IF(F191="","Blank",F191)</f>
        <v/>
      </c>
    </row>
    <row r="192" ht="15" customHeight="1" s="34">
      <c r="A192" s="33" t="inlineStr">
        <is>
          <t>M 6.7 - 269 km WNW of Ozernovskiy, Russia</t>
        </is>
      </c>
      <c r="B192" s="33" t="n">
        <v>6.7</v>
      </c>
      <c r="C192" s="33" t="inlineStr">
        <is>
          <t>13/10/2018 11:10</t>
        </is>
      </c>
      <c r="D192" s="33" t="n">
        <v>0</v>
      </c>
      <c r="E192" s="33" t="n">
        <v>3</v>
      </c>
      <c r="F192" s="33" t="inlineStr">
        <is>
          <t>green</t>
        </is>
      </c>
      <c r="G192" s="33" t="n">
        <v>1</v>
      </c>
      <c r="H192" s="33" t="n">
        <v>691</v>
      </c>
      <c r="I192" s="33" t="inlineStr">
        <is>
          <t>us</t>
        </is>
      </c>
      <c r="J192" s="33" t="n">
        <v>0</v>
      </c>
      <c r="K192" s="33" t="n">
        <v>2.705</v>
      </c>
      <c r="L192" s="33" t="n">
        <v>17</v>
      </c>
      <c r="M192" s="33" t="inlineStr">
        <is>
          <t>mww</t>
        </is>
      </c>
      <c r="N192" s="33" t="n">
        <v>461</v>
      </c>
      <c r="O192" s="33" t="n">
        <v>52.8549</v>
      </c>
      <c r="P192" s="33" t="n">
        <v>153.243</v>
      </c>
      <c r="Q192" s="33" t="inlineStr">
        <is>
          <t>Ozernovskiy, Russia</t>
        </is>
      </c>
      <c r="T192" s="36">
        <f>DATE(MID(C192,7,4),MID(C192,4,2),MID(C192,1,2))+TIME(MID(C192,12,2),MID(C192,15,2),0)</f>
        <v/>
      </c>
      <c r="U192" s="33">
        <f>IF(ISNUMBER(VALUE(MID(A192,7,1))),"Distance-prefix pattern","Named-region pattern")</f>
        <v/>
      </c>
      <c r="V192" s="33">
        <f>LOWER(M192)</f>
        <v/>
      </c>
      <c r="W192" s="33">
        <f>IF(COUNTIFS($A$2:$A$1001,A192,$C$2:$C$1001,C192)&gt;1,"Duplicate","Unique")</f>
        <v/>
      </c>
      <c r="X192" s="33">
        <f>YEAR(T192)</f>
        <v/>
      </c>
      <c r="Y192" s="33">
        <f>IF(B192&lt;6.5,"&lt;6.5",IF(B192&lt;7,"6.5–6.9",IF(B192&lt;7.5,"7.0–7.4",IF(B192&lt;8,"7.5–7.9","8.0+"))))</f>
        <v/>
      </c>
      <c r="Z192" s="33">
        <f>IF(F192="","Blank",F192)</f>
        <v/>
      </c>
    </row>
    <row r="193" ht="15" customHeight="1" s="34">
      <c r="A193" s="33" t="inlineStr">
        <is>
          <t>M 6.5 - 154 km S of Severo-Kuril’sk, Russia</t>
        </is>
      </c>
      <c r="B193" s="33" t="n">
        <v>6.5</v>
      </c>
      <c r="C193" s="33" t="inlineStr">
        <is>
          <t>10/10/2018 23:16</t>
        </is>
      </c>
      <c r="D193" s="33" t="n">
        <v>0</v>
      </c>
      <c r="E193" s="33" t="n">
        <v>4</v>
      </c>
      <c r="F193" s="33" t="inlineStr">
        <is>
          <t>green</t>
        </is>
      </c>
      <c r="G193" s="33" t="n">
        <v>1</v>
      </c>
      <c r="H193" s="33" t="n">
        <v>650</v>
      </c>
      <c r="I193" s="33" t="inlineStr">
        <is>
          <t>us</t>
        </is>
      </c>
      <c r="J193" s="33" t="n">
        <v>0</v>
      </c>
      <c r="K193" s="33" t="n">
        <v>3.923</v>
      </c>
      <c r="L193" s="33" t="n">
        <v>14</v>
      </c>
      <c r="M193" s="33" t="inlineStr">
        <is>
          <t>mww</t>
        </is>
      </c>
      <c r="N193" s="33" t="n">
        <v>20</v>
      </c>
      <c r="O193" s="33" t="n">
        <v>49.2902</v>
      </c>
      <c r="P193" s="33" t="n">
        <v>156.297</v>
      </c>
      <c r="Q193" s="33" t="inlineStr">
        <is>
          <t>Severo-Kuril’sk, Russia</t>
        </is>
      </c>
      <c r="T193" s="36">
        <f>DATE(MID(C193,7,4),MID(C193,4,2),MID(C193,1,2))+TIME(MID(C193,12,2),MID(C193,15,2),0)</f>
        <v/>
      </c>
      <c r="U193" s="33">
        <f>IF(ISNUMBER(VALUE(MID(A193,7,1))),"Distance-prefix pattern","Named-region pattern")</f>
        <v/>
      </c>
      <c r="V193" s="33">
        <f>LOWER(M193)</f>
        <v/>
      </c>
      <c r="W193" s="33">
        <f>IF(COUNTIFS($A$2:$A$1001,A193,$C$2:$C$1001,C193)&gt;1,"Duplicate","Unique")</f>
        <v/>
      </c>
      <c r="X193" s="33">
        <f>YEAR(T193)</f>
        <v/>
      </c>
      <c r="Y193" s="33">
        <f>IF(B193&lt;6.5,"&lt;6.5",IF(B193&lt;7,"6.5–6.9",IF(B193&lt;7.5,"7.0–7.4",IF(B193&lt;8,"7.5–7.9","8.0+"))))</f>
        <v/>
      </c>
      <c r="Z193" s="33">
        <f>IF(F193="","Blank",F193)</f>
        <v/>
      </c>
    </row>
    <row r="194" ht="15" customHeight="1" s="34">
      <c r="A194" s="33" t="inlineStr">
        <is>
          <t>M 7.0 - 119 km E of Kimbe, Papua New Guinea</t>
        </is>
      </c>
      <c r="B194" s="33" t="n">
        <v>7</v>
      </c>
      <c r="C194" s="33" t="inlineStr">
        <is>
          <t>10/10/2018 20:48</t>
        </is>
      </c>
      <c r="D194" s="33" t="n">
        <v>6</v>
      </c>
      <c r="E194" s="33" t="n">
        <v>6</v>
      </c>
      <c r="F194" s="33" t="inlineStr">
        <is>
          <t>green</t>
        </is>
      </c>
      <c r="G194" s="33" t="n">
        <v>1</v>
      </c>
      <c r="H194" s="33" t="n">
        <v>758</v>
      </c>
      <c r="I194" s="33" t="inlineStr">
        <is>
          <t>us</t>
        </is>
      </c>
      <c r="J194" s="33" t="n">
        <v>0</v>
      </c>
      <c r="K194" s="33" t="n">
        <v>1.778</v>
      </c>
      <c r="L194" s="33" t="n">
        <v>18</v>
      </c>
      <c r="M194" s="33" t="inlineStr">
        <is>
          <t>mww</t>
        </is>
      </c>
      <c r="N194" s="33" t="n">
        <v>39</v>
      </c>
      <c r="O194" s="33" t="n">
        <v>-5.7012</v>
      </c>
      <c r="P194" s="33" t="n">
        <v>151.205</v>
      </c>
      <c r="Q194" s="33" t="inlineStr">
        <is>
          <t>Kimbe, Papua New Guinea</t>
        </is>
      </c>
      <c r="S194" s="33" t="inlineStr">
        <is>
          <t>Papua New Guinea</t>
        </is>
      </c>
      <c r="T194" s="36">
        <f>DATE(MID(C194,7,4),MID(C194,4,2),MID(C194,1,2))+TIME(MID(C194,12,2),MID(C194,15,2),0)</f>
        <v/>
      </c>
      <c r="U194" s="33">
        <f>IF(ISNUMBER(VALUE(MID(A194,7,1))),"Distance-prefix pattern","Named-region pattern")</f>
        <v/>
      </c>
      <c r="V194" s="33">
        <f>LOWER(M194)</f>
        <v/>
      </c>
      <c r="W194" s="33">
        <f>IF(COUNTIFS($A$2:$A$1001,A194,$C$2:$C$1001,C194)&gt;1,"Duplicate","Unique")</f>
        <v/>
      </c>
      <c r="X194" s="33">
        <f>YEAR(T194)</f>
        <v/>
      </c>
      <c r="Y194" s="33">
        <f>IF(B194&lt;6.5,"&lt;6.5",IF(B194&lt;7,"6.5–6.9",IF(B194&lt;7.5,"7.0–7.4",IF(B194&lt;8,"7.5–7.9","8.0+"))))</f>
        <v/>
      </c>
      <c r="Z194" s="33">
        <f>IF(F194="","Blank",F194)</f>
        <v/>
      </c>
    </row>
    <row r="195" ht="15" customHeight="1" s="34">
      <c r="A195" s="33" t="inlineStr">
        <is>
          <t>M 6.7 - 279 km E of Levuka, Fiji</t>
        </is>
      </c>
      <c r="B195" s="33" t="n">
        <v>6.7</v>
      </c>
      <c r="C195" s="33" t="inlineStr">
        <is>
          <t>30/09/2018 10:52</t>
        </is>
      </c>
      <c r="D195" s="33" t="n">
        <v>2</v>
      </c>
      <c r="E195" s="33" t="n">
        <v>3</v>
      </c>
      <c r="F195" s="33" t="inlineStr">
        <is>
          <t>green</t>
        </is>
      </c>
      <c r="G195" s="33" t="n">
        <v>1</v>
      </c>
      <c r="H195" s="33" t="n">
        <v>691</v>
      </c>
      <c r="I195" s="33" t="inlineStr">
        <is>
          <t>us</t>
        </is>
      </c>
      <c r="J195" s="33" t="n">
        <v>0</v>
      </c>
      <c r="K195" s="33" t="n">
        <v>3.745</v>
      </c>
      <c r="L195" s="33" t="n">
        <v>23</v>
      </c>
      <c r="M195" s="33" t="inlineStr">
        <is>
          <t>mww</t>
        </is>
      </c>
      <c r="N195" s="33" t="n">
        <v>550</v>
      </c>
      <c r="O195" s="33" t="n">
        <v>-18.3604</v>
      </c>
      <c r="P195" s="33" t="n">
        <v>-178.063</v>
      </c>
      <c r="Q195" s="33" t="inlineStr">
        <is>
          <t>Levuka, Fiji</t>
        </is>
      </c>
      <c r="S195" s="33" t="inlineStr">
        <is>
          <t>Fiji</t>
        </is>
      </c>
      <c r="T195" s="36">
        <f>DATE(MID(C195,7,4),MID(C195,4,2),MID(C195,1,2))+TIME(MID(C195,12,2),MID(C195,15,2),0)</f>
        <v/>
      </c>
      <c r="U195" s="33">
        <f>IF(ISNUMBER(VALUE(MID(A195,7,1))),"Distance-prefix pattern","Named-region pattern")</f>
        <v/>
      </c>
      <c r="V195" s="33">
        <f>LOWER(M195)</f>
        <v/>
      </c>
      <c r="W195" s="33">
        <f>IF(COUNTIFS($A$2:$A$1001,A195,$C$2:$C$1001,C195)&gt;1,"Duplicate","Unique")</f>
        <v/>
      </c>
      <c r="X195" s="33">
        <f>YEAR(T195)</f>
        <v/>
      </c>
      <c r="Y195" s="33">
        <f>IF(B195&lt;6.5,"&lt;6.5",IF(B195&lt;7,"6.5–6.9",IF(B195&lt;7.5,"7.0–7.4",IF(B195&lt;8,"7.5–7.9","8.0+"))))</f>
        <v/>
      </c>
      <c r="Z195" s="33">
        <f>IF(F195="","Blank",F195)</f>
        <v/>
      </c>
    </row>
    <row r="196" ht="15" customHeight="1" s="34">
      <c r="A196" s="33" t="inlineStr">
        <is>
          <t>M 7.5 - 72 km N of Palu, Indonesia</t>
        </is>
      </c>
      <c r="B196" s="33" t="n">
        <v>7.5</v>
      </c>
      <c r="C196" s="33" t="inlineStr">
        <is>
          <t>28/09/2018 10:02</t>
        </is>
      </c>
      <c r="D196" s="33" t="n">
        <v>8</v>
      </c>
      <c r="E196" s="33" t="n">
        <v>8</v>
      </c>
      <c r="F196" s="33" t="inlineStr">
        <is>
          <t>red</t>
        </is>
      </c>
      <c r="G196" s="33" t="n">
        <v>0</v>
      </c>
      <c r="H196" s="33" t="n">
        <v>2026</v>
      </c>
      <c r="I196" s="33" t="inlineStr">
        <is>
          <t>us</t>
        </is>
      </c>
      <c r="J196" s="33" t="n">
        <v>0</v>
      </c>
      <c r="K196" s="33" t="n">
        <v>1.649</v>
      </c>
      <c r="L196" s="33" t="n">
        <v>13</v>
      </c>
      <c r="M196" s="33" t="inlineStr">
        <is>
          <t>mww</t>
        </is>
      </c>
      <c r="N196" s="33" t="n">
        <v>20</v>
      </c>
      <c r="O196" s="33" t="n">
        <v>-0.2559</v>
      </c>
      <c r="P196" s="33" t="n">
        <v>119.846</v>
      </c>
      <c r="Q196" s="33" t="inlineStr">
        <is>
          <t>Palu, Indonesia</t>
        </is>
      </c>
      <c r="S196" s="33" t="inlineStr">
        <is>
          <t>Indonesia</t>
        </is>
      </c>
      <c r="T196" s="36">
        <f>DATE(MID(C196,7,4),MID(C196,4,2),MID(C196,1,2))+TIME(MID(C196,12,2),MID(C196,15,2),0)</f>
        <v/>
      </c>
      <c r="U196" s="33">
        <f>IF(ISNUMBER(VALUE(MID(A196,7,1))),"Distance-prefix pattern","Named-region pattern")</f>
        <v/>
      </c>
      <c r="V196" s="33">
        <f>LOWER(M196)</f>
        <v/>
      </c>
      <c r="W196" s="33">
        <f>IF(COUNTIFS($A$2:$A$1001,A196,$C$2:$C$1001,C196)&gt;1,"Duplicate","Unique")</f>
        <v/>
      </c>
      <c r="X196" s="33">
        <f>YEAR(T196)</f>
        <v/>
      </c>
      <c r="Y196" s="33">
        <f>IF(B196&lt;6.5,"&lt;6.5",IF(B196&lt;7,"6.5–6.9",IF(B196&lt;7.5,"7.0–7.4",IF(B196&lt;8,"7.5–7.9","8.0+"))))</f>
        <v/>
      </c>
      <c r="Z196" s="33">
        <f>IF(F196="","Blank",F196)</f>
        <v/>
      </c>
    </row>
    <row r="197" ht="15" customHeight="1" s="34">
      <c r="A197" s="33" t="inlineStr">
        <is>
          <t>M 6.5 - south of the Fiji Islands</t>
        </is>
      </c>
      <c r="B197" s="33" t="n">
        <v>6.5</v>
      </c>
      <c r="C197" s="33" t="inlineStr">
        <is>
          <t>16/09/2018 21:11</t>
        </is>
      </c>
      <c r="D197" s="33" t="n">
        <v>4</v>
      </c>
      <c r="E197" s="33" t="n">
        <v>1</v>
      </c>
      <c r="F197" s="33" t="inlineStr">
        <is>
          <t>green</t>
        </is>
      </c>
      <c r="G197" s="33" t="n">
        <v>0</v>
      </c>
      <c r="H197" s="33" t="n">
        <v>651</v>
      </c>
      <c r="I197" s="33" t="inlineStr">
        <is>
          <t>us</t>
        </is>
      </c>
      <c r="J197" s="33" t="n">
        <v>0</v>
      </c>
      <c r="K197" s="33" t="n">
        <v>5.139</v>
      </c>
      <c r="L197" s="33" t="n">
        <v>18</v>
      </c>
      <c r="M197" s="33" t="inlineStr">
        <is>
          <t>mww</t>
        </is>
      </c>
      <c r="N197" s="33" t="n">
        <v>576</v>
      </c>
      <c r="O197" s="33" t="n">
        <v>-25.415</v>
      </c>
      <c r="P197" s="33" t="n">
        <v>178.199</v>
      </c>
      <c r="Q197" s="33" t="inlineStr">
        <is>
          <t>the Fiji Islands</t>
        </is>
      </c>
      <c r="T197" s="36">
        <f>DATE(MID(C197,7,4),MID(C197,4,2),MID(C197,1,2))+TIME(MID(C197,12,2),MID(C197,15,2),0)</f>
        <v/>
      </c>
      <c r="U197" s="33">
        <f>IF(ISNUMBER(VALUE(MID(A197,7,1))),"Distance-prefix pattern","Named-region pattern")</f>
        <v/>
      </c>
      <c r="V197" s="33">
        <f>LOWER(M197)</f>
        <v/>
      </c>
      <c r="W197" s="33">
        <f>IF(COUNTIFS($A$2:$A$1001,A197,$C$2:$C$1001,C197)&gt;1,"Duplicate","Unique")</f>
        <v/>
      </c>
      <c r="X197" s="33">
        <f>YEAR(T197)</f>
        <v/>
      </c>
      <c r="Y197" s="33">
        <f>IF(B197&lt;6.5,"&lt;6.5",IF(B197&lt;7,"6.5–6.9",IF(B197&lt;7.5,"7.0–7.4",IF(B197&lt;8,"7.5–7.9","8.0+"))))</f>
        <v/>
      </c>
      <c r="Z197" s="33">
        <f>IF(F197="","Blank",F197)</f>
        <v/>
      </c>
    </row>
    <row r="198" ht="15" customHeight="1" s="34">
      <c r="A198" s="33" t="inlineStr">
        <is>
          <t>M 6.9 - Kermadec Islands region</t>
        </is>
      </c>
      <c r="B198" s="33" t="n">
        <v>6.9</v>
      </c>
      <c r="C198" s="33" t="inlineStr">
        <is>
          <t>10/09/2018 04:19</t>
        </is>
      </c>
      <c r="D198" s="33" t="n">
        <v>3</v>
      </c>
      <c r="E198" s="33" t="n">
        <v>4</v>
      </c>
      <c r="F198" s="33" t="inlineStr">
        <is>
          <t>green</t>
        </is>
      </c>
      <c r="G198" s="33" t="n">
        <v>0</v>
      </c>
      <c r="H198" s="33" t="n">
        <v>735</v>
      </c>
      <c r="I198" s="33" t="inlineStr">
        <is>
          <t>us</t>
        </is>
      </c>
      <c r="J198" s="33" t="n">
        <v>0</v>
      </c>
      <c r="K198" s="33" t="n">
        <v>2.785</v>
      </c>
      <c r="L198" s="33" t="n">
        <v>18</v>
      </c>
      <c r="M198" s="33" t="inlineStr">
        <is>
          <t>mww</t>
        </is>
      </c>
      <c r="N198" s="33" t="n">
        <v>115</v>
      </c>
      <c r="O198" s="33" t="n">
        <v>-31.7447</v>
      </c>
      <c r="P198" s="33" t="n">
        <v>-179.373</v>
      </c>
      <c r="Q198" s="33" t="inlineStr">
        <is>
          <t>Kermadec Islands region</t>
        </is>
      </c>
      <c r="T198" s="36">
        <f>DATE(MID(C198,7,4),MID(C198,4,2),MID(C198,1,2))+TIME(MID(C198,12,2),MID(C198,15,2),0)</f>
        <v/>
      </c>
      <c r="U198" s="33">
        <f>IF(ISNUMBER(VALUE(MID(A198,7,1))),"Distance-prefix pattern","Named-region pattern")</f>
        <v/>
      </c>
      <c r="V198" s="33">
        <f>LOWER(M198)</f>
        <v/>
      </c>
      <c r="W198" s="33">
        <f>IF(COUNTIFS($A$2:$A$1001,A198,$C$2:$C$1001,C198)&gt;1,"Duplicate","Unique")</f>
        <v/>
      </c>
      <c r="X198" s="33">
        <f>YEAR(T198)</f>
        <v/>
      </c>
      <c r="Y198" s="33">
        <f>IF(B198&lt;6.5,"&lt;6.5",IF(B198&lt;7,"6.5–6.9",IF(B198&lt;7.5,"7.0–7.4",IF(B198&lt;8,"7.5–7.9","8.0+"))))</f>
        <v/>
      </c>
      <c r="Z198" s="33">
        <f>IF(F198="","Blank",F198)</f>
        <v/>
      </c>
    </row>
    <row r="199" ht="15" customHeight="1" s="34">
      <c r="A199" s="33" t="inlineStr">
        <is>
          <t>M 6.5 - 66 km NW of Kirakira, Solomon Islands</t>
        </is>
      </c>
      <c r="B199" s="33" t="n">
        <v>6.5</v>
      </c>
      <c r="C199" s="33" t="inlineStr">
        <is>
          <t>09/09/2018 19:31</t>
        </is>
      </c>
      <c r="D199" s="33" t="n">
        <v>3</v>
      </c>
      <c r="E199" s="33" t="n">
        <v>6</v>
      </c>
      <c r="F199" s="33" t="inlineStr">
        <is>
          <t>green</t>
        </is>
      </c>
      <c r="G199" s="33" t="n">
        <v>1</v>
      </c>
      <c r="H199" s="33" t="n">
        <v>651</v>
      </c>
      <c r="I199" s="33" t="inlineStr">
        <is>
          <t>us</t>
        </is>
      </c>
      <c r="J199" s="33" t="n">
        <v>0</v>
      </c>
      <c r="K199" s="33" t="n">
        <v>1.638</v>
      </c>
      <c r="L199" s="33" t="n">
        <v>25</v>
      </c>
      <c r="M199" s="33" t="inlineStr">
        <is>
          <t>mww</t>
        </is>
      </c>
      <c r="N199" s="33" t="n">
        <v>68</v>
      </c>
      <c r="O199" s="33" t="n">
        <v>-10.0207</v>
      </c>
      <c r="P199" s="33" t="n">
        <v>161.503</v>
      </c>
      <c r="Q199" s="33" t="inlineStr">
        <is>
          <t>Kirakira, Solomon Islands</t>
        </is>
      </c>
      <c r="S199" s="33" t="inlineStr">
        <is>
          <t>Solomon Islands</t>
        </is>
      </c>
      <c r="T199" s="36">
        <f>DATE(MID(C199,7,4),MID(C199,4,2),MID(C199,1,2))+TIME(MID(C199,12,2),MID(C199,15,2),0)</f>
        <v/>
      </c>
      <c r="U199" s="33">
        <f>IF(ISNUMBER(VALUE(MID(A199,7,1))),"Distance-prefix pattern","Named-region pattern")</f>
        <v/>
      </c>
      <c r="V199" s="33">
        <f>LOWER(M199)</f>
        <v/>
      </c>
      <c r="W199" s="33">
        <f>IF(COUNTIFS($A$2:$A$1001,A199,$C$2:$C$1001,C199)&gt;1,"Duplicate","Unique")</f>
        <v/>
      </c>
      <c r="X199" s="33">
        <f>YEAR(T199)</f>
        <v/>
      </c>
      <c r="Y199" s="33">
        <f>IF(B199&lt;6.5,"&lt;6.5",IF(B199&lt;7,"6.5–6.9",IF(B199&lt;7.5,"7.0–7.4",IF(B199&lt;8,"7.5–7.9","8.0+"))))</f>
        <v/>
      </c>
      <c r="Z199" s="33">
        <f>IF(F199="","Blank",F199)</f>
        <v/>
      </c>
    </row>
    <row r="200" ht="15" customHeight="1" s="34">
      <c r="A200" s="33" t="inlineStr">
        <is>
          <t>M 7.9 - 45 km S of Levuka, Fiji</t>
        </is>
      </c>
      <c r="B200" s="33" t="n">
        <v>7.9</v>
      </c>
      <c r="C200" s="33" t="inlineStr">
        <is>
          <t>06/09/2018 15:49</t>
        </is>
      </c>
      <c r="D200" s="33" t="n">
        <v>7</v>
      </c>
      <c r="E200" s="33" t="n">
        <v>4</v>
      </c>
      <c r="F200" s="33" t="inlineStr">
        <is>
          <t>green</t>
        </is>
      </c>
      <c r="G200" s="33" t="n">
        <v>1</v>
      </c>
      <c r="H200" s="33" t="n">
        <v>979</v>
      </c>
      <c r="I200" s="33" t="inlineStr">
        <is>
          <t>us</t>
        </is>
      </c>
      <c r="J200" s="33" t="n">
        <v>0</v>
      </c>
      <c r="K200" s="33" t="n">
        <v>1.431</v>
      </c>
      <c r="L200" s="33" t="n">
        <v>12</v>
      </c>
      <c r="M200" s="33" t="inlineStr">
        <is>
          <t>mww</t>
        </is>
      </c>
      <c r="N200" s="33" t="n">
        <v>670.8099999999999</v>
      </c>
      <c r="O200" s="33" t="n">
        <v>-18.4743</v>
      </c>
      <c r="P200" s="33" t="n">
        <v>179.35</v>
      </c>
      <c r="Q200" s="33" t="inlineStr">
        <is>
          <t>Levuka, Fiji</t>
        </is>
      </c>
      <c r="S200" s="33" t="inlineStr">
        <is>
          <t>Fiji</t>
        </is>
      </c>
      <c r="T200" s="36">
        <f>DATE(MID(C200,7,4),MID(C200,4,2),MID(C200,1,2))+TIME(MID(C200,12,2),MID(C200,15,2),0)</f>
        <v/>
      </c>
      <c r="U200" s="33">
        <f>IF(ISNUMBER(VALUE(MID(A200,7,1))),"Distance-prefix pattern","Named-region pattern")</f>
        <v/>
      </c>
      <c r="V200" s="33">
        <f>LOWER(M200)</f>
        <v/>
      </c>
      <c r="W200" s="33">
        <f>IF(COUNTIFS($A$2:$A$1001,A200,$C$2:$C$1001,C200)&gt;1,"Duplicate","Unique")</f>
        <v/>
      </c>
      <c r="X200" s="33">
        <f>YEAR(T200)</f>
        <v/>
      </c>
      <c r="Y200" s="33">
        <f>IF(B200&lt;6.5,"&lt;6.5",IF(B200&lt;7,"6.5–6.9",IF(B200&lt;7.5,"7.0–7.4",IF(B200&lt;8,"7.5–7.9","8.0+"))))</f>
        <v/>
      </c>
      <c r="Z200" s="33">
        <f>IF(F200="","Blank",F200)</f>
        <v/>
      </c>
    </row>
    <row r="201" ht="15" customHeight="1" s="34">
      <c r="A201" s="33" t="inlineStr">
        <is>
          <t>M 6.6 - 27 km ESE of Chitose, Japan</t>
        </is>
      </c>
      <c r="B201" s="33" t="n">
        <v>6.6</v>
      </c>
      <c r="C201" s="33" t="inlineStr">
        <is>
          <t>05/09/2018 18:07</t>
        </is>
      </c>
      <c r="D201" s="33" t="n">
        <v>8</v>
      </c>
      <c r="E201" s="33" t="n">
        <v>9</v>
      </c>
      <c r="F201" s="33" t="inlineStr">
        <is>
          <t>orange</t>
        </is>
      </c>
      <c r="G201" s="33" t="n">
        <v>1</v>
      </c>
      <c r="H201" s="33" t="n">
        <v>1075</v>
      </c>
      <c r="I201" s="33" t="inlineStr">
        <is>
          <t>us</t>
        </is>
      </c>
      <c r="J201" s="33" t="n">
        <v>0</v>
      </c>
      <c r="K201" s="33" t="n">
        <v>1.13</v>
      </c>
      <c r="L201" s="33" t="n">
        <v>32</v>
      </c>
      <c r="M201" s="33" t="inlineStr">
        <is>
          <t>mww</t>
        </is>
      </c>
      <c r="N201" s="33" t="n">
        <v>35</v>
      </c>
      <c r="O201" s="33" t="n">
        <v>42.6861</v>
      </c>
      <c r="P201" s="33" t="n">
        <v>141.929</v>
      </c>
      <c r="Q201" s="33" t="inlineStr">
        <is>
          <t>Chitose, Japan</t>
        </is>
      </c>
      <c r="R201" s="33" t="inlineStr">
        <is>
          <t>Asia</t>
        </is>
      </c>
      <c r="S201" s="33" t="inlineStr">
        <is>
          <t>Japan</t>
        </is>
      </c>
      <c r="T201" s="36">
        <f>DATE(MID(C201,7,4),MID(C201,4,2),MID(C201,1,2))+TIME(MID(C201,12,2),MID(C201,15,2),0)</f>
        <v/>
      </c>
      <c r="U201" s="33">
        <f>IF(ISNUMBER(VALUE(MID(A201,7,1))),"Distance-prefix pattern","Named-region pattern")</f>
        <v/>
      </c>
      <c r="V201" s="33">
        <f>LOWER(M201)</f>
        <v/>
      </c>
      <c r="W201" s="33">
        <f>IF(COUNTIFS($A$2:$A$1001,A201,$C$2:$C$1001,C201)&gt;1,"Duplicate","Unique")</f>
        <v/>
      </c>
      <c r="X201" s="33">
        <f>YEAR(T201)</f>
        <v/>
      </c>
      <c r="Y201" s="33">
        <f>IF(B201&lt;6.5,"&lt;6.5",IF(B201&lt;7,"6.5–6.9",IF(B201&lt;7.5,"7.0–7.4",IF(B201&lt;8,"7.5–7.9","8.0+"))))</f>
        <v/>
      </c>
      <c r="Z201" s="33">
        <f>IF(F201="","Blank",F201)</f>
        <v/>
      </c>
    </row>
    <row r="202" ht="15" customHeight="1" s="34">
      <c r="A202" s="33" t="inlineStr">
        <is>
          <t>M 7.1 - 238 km ESE of Tadine, New Caledonia</t>
        </is>
      </c>
      <c r="B202" s="33" t="n">
        <v>7.1</v>
      </c>
      <c r="C202" s="33" t="inlineStr">
        <is>
          <t>29/08/2018 03:51</t>
        </is>
      </c>
      <c r="D202" s="33" t="n">
        <v>2</v>
      </c>
      <c r="E202" s="33" t="n">
        <v>5</v>
      </c>
      <c r="F202" s="33" t="inlineStr">
        <is>
          <t>green</t>
        </is>
      </c>
      <c r="G202" s="33" t="n">
        <v>1</v>
      </c>
      <c r="H202" s="33" t="n">
        <v>776</v>
      </c>
      <c r="I202" s="33" t="inlineStr">
        <is>
          <t>us</t>
        </is>
      </c>
      <c r="J202" s="33" t="n">
        <v>0</v>
      </c>
      <c r="K202" s="33" t="n">
        <v>2.548</v>
      </c>
      <c r="L202" s="33" t="n">
        <v>23</v>
      </c>
      <c r="M202" s="33" t="inlineStr">
        <is>
          <t>mww</t>
        </is>
      </c>
      <c r="N202" s="33" t="n">
        <v>21.43</v>
      </c>
      <c r="O202" s="33" t="n">
        <v>-22.0295</v>
      </c>
      <c r="P202" s="33" t="n">
        <v>170.126</v>
      </c>
      <c r="Q202" s="33" t="inlineStr">
        <is>
          <t>Tadine, New Caledonia</t>
        </is>
      </c>
      <c r="T202" s="36">
        <f>DATE(MID(C202,7,4),MID(C202,4,2),MID(C202,1,2))+TIME(MID(C202,12,2),MID(C202,15,2),0)</f>
        <v/>
      </c>
      <c r="U202" s="33">
        <f>IF(ISNUMBER(VALUE(MID(A202,7,1))),"Distance-prefix pattern","Named-region pattern")</f>
        <v/>
      </c>
      <c r="V202" s="33">
        <f>LOWER(M202)</f>
        <v/>
      </c>
      <c r="W202" s="33">
        <f>IF(COUNTIFS($A$2:$A$1001,A202,$C$2:$C$1001,C202)&gt;1,"Duplicate","Unique")</f>
        <v/>
      </c>
      <c r="X202" s="33">
        <f>YEAR(T202)</f>
        <v/>
      </c>
      <c r="Y202" s="33">
        <f>IF(B202&lt;6.5,"&lt;6.5",IF(B202&lt;7,"6.5–6.9",IF(B202&lt;7.5,"7.0–7.4",IF(B202&lt;8,"7.5–7.9","8.0+"))))</f>
        <v/>
      </c>
      <c r="Z202" s="33">
        <f>IF(F202="","Blank",F202)</f>
        <v/>
      </c>
    </row>
    <row r="203" ht="15" customHeight="1" s="34">
      <c r="A203" s="33" t="inlineStr">
        <is>
          <t>M 7.1 - 136 km W of Iñapari, Peru</t>
        </is>
      </c>
      <c r="B203" s="33" t="n">
        <v>7.1</v>
      </c>
      <c r="C203" s="33" t="inlineStr">
        <is>
          <t>24/08/2018 09:04</t>
        </is>
      </c>
      <c r="D203" s="33" t="n">
        <v>0</v>
      </c>
      <c r="E203" s="33" t="n">
        <v>3</v>
      </c>
      <c r="F203" s="33" t="inlineStr">
        <is>
          <t>green</t>
        </is>
      </c>
      <c r="G203" s="33" t="n">
        <v>0</v>
      </c>
      <c r="H203" s="33" t="n">
        <v>776</v>
      </c>
      <c r="I203" s="33" t="inlineStr">
        <is>
          <t>us</t>
        </is>
      </c>
      <c r="J203" s="33" t="n">
        <v>0</v>
      </c>
      <c r="K203" s="33" t="n">
        <v>3.77</v>
      </c>
      <c r="L203" s="33" t="n">
        <v>12</v>
      </c>
      <c r="M203" s="33" t="inlineStr">
        <is>
          <t>mww</t>
        </is>
      </c>
      <c r="N203" s="33" t="n">
        <v>630</v>
      </c>
      <c r="O203" s="33" t="n">
        <v>-11.0355</v>
      </c>
      <c r="P203" s="33" t="n">
        <v>-70.8284</v>
      </c>
      <c r="Q203" s="33" t="inlineStr">
        <is>
          <t>Iñapari, Peru</t>
        </is>
      </c>
      <c r="R203" s="33" t="inlineStr">
        <is>
          <t>South America</t>
        </is>
      </c>
      <c r="S203" s="33" t="inlineStr">
        <is>
          <t>Peru</t>
        </is>
      </c>
      <c r="T203" s="36">
        <f>DATE(MID(C203,7,4),MID(C203,4,2),MID(C203,1,2))+TIME(MID(C203,12,2),MID(C203,15,2),0)</f>
        <v/>
      </c>
      <c r="U203" s="33">
        <f>IF(ISNUMBER(VALUE(MID(A203,7,1))),"Distance-prefix pattern","Named-region pattern")</f>
        <v/>
      </c>
      <c r="V203" s="33">
        <f>LOWER(M203)</f>
        <v/>
      </c>
      <c r="W203" s="33">
        <f>IF(COUNTIFS($A$2:$A$1001,A203,$C$2:$C$1001,C203)&gt;1,"Duplicate","Unique")</f>
        <v/>
      </c>
      <c r="X203" s="33">
        <f>YEAR(T203)</f>
        <v/>
      </c>
      <c r="Y203" s="33">
        <f>IF(B203&lt;6.5,"&lt;6.5",IF(B203&lt;7,"6.5–6.9",IF(B203&lt;7.5,"7.0–7.4",IF(B203&lt;8,"7.5–7.9","8.0+"))))</f>
        <v/>
      </c>
      <c r="Z203" s="33">
        <f>IF(F203="","Blank",F203)</f>
        <v/>
      </c>
    </row>
    <row r="204" ht="15" customHeight="1" s="34">
      <c r="A204" s="33" t="inlineStr">
        <is>
          <t>M 6.5 - 78 km E of Lakatoro, Vanuatu</t>
        </is>
      </c>
      <c r="B204" s="33" t="n">
        <v>6.5</v>
      </c>
      <c r="C204" s="33" t="inlineStr">
        <is>
          <t>21/08/2018 22:32</t>
        </is>
      </c>
      <c r="D204" s="33" t="n">
        <v>6</v>
      </c>
      <c r="E204" s="33" t="n">
        <v>7</v>
      </c>
      <c r="F204" s="33" t="inlineStr">
        <is>
          <t>green</t>
        </is>
      </c>
      <c r="G204" s="33" t="n">
        <v>1</v>
      </c>
      <c r="H204" s="33" t="n">
        <v>652</v>
      </c>
      <c r="I204" s="33" t="inlineStr">
        <is>
          <t>us</t>
        </is>
      </c>
      <c r="J204" s="33" t="n">
        <v>0</v>
      </c>
      <c r="K204" s="33" t="n">
        <v>4.797</v>
      </c>
      <c r="L204" s="33" t="n">
        <v>10</v>
      </c>
      <c r="M204" s="33" t="inlineStr">
        <is>
          <t>mww</t>
        </is>
      </c>
      <c r="N204" s="33" t="n">
        <v>9</v>
      </c>
      <c r="O204" s="33" t="n">
        <v>-16.0315</v>
      </c>
      <c r="P204" s="33" t="n">
        <v>168.143</v>
      </c>
      <c r="Q204" s="33" t="inlineStr">
        <is>
          <t>Lakatoro, Vanuatu</t>
        </is>
      </c>
      <c r="S204" s="33" t="inlineStr">
        <is>
          <t>Vanuatu</t>
        </is>
      </c>
      <c r="T204" s="36">
        <f>DATE(MID(C204,7,4),MID(C204,4,2),MID(C204,1,2))+TIME(MID(C204,12,2),MID(C204,15,2),0)</f>
        <v/>
      </c>
      <c r="U204" s="33">
        <f>IF(ISNUMBER(VALUE(MID(A204,7,1))),"Distance-prefix pattern","Named-region pattern")</f>
        <v/>
      </c>
      <c r="V204" s="33">
        <f>LOWER(M204)</f>
        <v/>
      </c>
      <c r="W204" s="33">
        <f>IF(COUNTIFS($A$2:$A$1001,A204,$C$2:$C$1001,C204)&gt;1,"Duplicate","Unique")</f>
        <v/>
      </c>
      <c r="X204" s="33">
        <f>YEAR(T204)</f>
        <v/>
      </c>
      <c r="Y204" s="33">
        <f>IF(B204&lt;6.5,"&lt;6.5",IF(B204&lt;7,"6.5–6.9",IF(B204&lt;7.5,"7.0–7.4",IF(B204&lt;8,"7.5–7.9","8.0+"))))</f>
        <v/>
      </c>
      <c r="Z204" s="33">
        <f>IF(F204="","Blank",F204)</f>
        <v/>
      </c>
    </row>
    <row r="205" ht="15" customHeight="1" s="34">
      <c r="A205" s="33" t="inlineStr">
        <is>
          <t>M 7.3 - 40 km ENE of Carúpano, Venezuela</t>
        </is>
      </c>
      <c r="B205" s="33" t="n">
        <v>7.3</v>
      </c>
      <c r="C205" s="33" t="inlineStr">
        <is>
          <t>21/08/2018 21:31</t>
        </is>
      </c>
      <c r="D205" s="33" t="n">
        <v>8</v>
      </c>
      <c r="E205" s="33" t="n">
        <v>6</v>
      </c>
      <c r="F205" s="33" t="inlineStr">
        <is>
          <t>yellow</t>
        </is>
      </c>
      <c r="G205" s="33" t="n">
        <v>1</v>
      </c>
      <c r="H205" s="33" t="n">
        <v>1570</v>
      </c>
      <c r="I205" s="33" t="inlineStr">
        <is>
          <t>us</t>
        </is>
      </c>
      <c r="J205" s="33" t="n">
        <v>0</v>
      </c>
      <c r="K205" s="33" t="n">
        <v>1.822</v>
      </c>
      <c r="L205" s="33" t="n">
        <v>15</v>
      </c>
      <c r="M205" s="33" t="inlineStr">
        <is>
          <t>mww</t>
        </is>
      </c>
      <c r="N205" s="33" t="n">
        <v>146.82</v>
      </c>
      <c r="O205" s="33" t="n">
        <v>10.7731</v>
      </c>
      <c r="P205" s="33" t="n">
        <v>-62.9019</v>
      </c>
      <c r="Q205" s="33" t="inlineStr">
        <is>
          <t>Carúpano, Venezuela</t>
        </is>
      </c>
      <c r="S205" s="33" t="inlineStr">
        <is>
          <t>Venezuela</t>
        </is>
      </c>
      <c r="T205" s="36">
        <f>DATE(MID(C205,7,4),MID(C205,4,2),MID(C205,1,2))+TIME(MID(C205,12,2),MID(C205,15,2),0)</f>
        <v/>
      </c>
      <c r="U205" s="33">
        <f>IF(ISNUMBER(VALUE(MID(A205,7,1))),"Distance-prefix pattern","Named-region pattern")</f>
        <v/>
      </c>
      <c r="V205" s="33">
        <f>LOWER(M205)</f>
        <v/>
      </c>
      <c r="W205" s="33">
        <f>IF(COUNTIFS($A$2:$A$1001,A205,$C$2:$C$1001,C205)&gt;1,"Duplicate","Unique")</f>
        <v/>
      </c>
      <c r="X205" s="33">
        <f>YEAR(T205)</f>
        <v/>
      </c>
      <c r="Y205" s="33">
        <f>IF(B205&lt;6.5,"&lt;6.5",IF(B205&lt;7,"6.5–6.9",IF(B205&lt;7.5,"7.0–7.4",IF(B205&lt;8,"7.5–7.9","8.0+"))))</f>
        <v/>
      </c>
      <c r="Z205" s="33">
        <f>IF(F205="","Blank",F205)</f>
        <v/>
      </c>
    </row>
    <row r="206" ht="15" customHeight="1" s="34">
      <c r="A206" s="33" t="inlineStr">
        <is>
          <t>M 6.9 - 20 km NNW of Labuan Lombok, Indonesia</t>
        </is>
      </c>
      <c r="B206" s="33" t="n">
        <v>6.9</v>
      </c>
      <c r="C206" s="33" t="inlineStr">
        <is>
          <t>19/08/2018 14:56</t>
        </is>
      </c>
      <c r="D206" s="33" t="n">
        <v>7</v>
      </c>
      <c r="E206" s="33" t="n">
        <v>7</v>
      </c>
      <c r="F206" s="33" t="inlineStr">
        <is>
          <t>green</t>
        </is>
      </c>
      <c r="G206" s="33" t="n">
        <v>0</v>
      </c>
      <c r="H206" s="33" t="n">
        <v>1206</v>
      </c>
      <c r="I206" s="33" t="inlineStr">
        <is>
          <t>us</t>
        </is>
      </c>
      <c r="J206" s="33" t="n">
        <v>0</v>
      </c>
      <c r="K206" s="33" t="n">
        <v>2.453</v>
      </c>
      <c r="L206" s="33" t="n">
        <v>31</v>
      </c>
      <c r="M206" s="33" t="inlineStr">
        <is>
          <t>mww</t>
        </is>
      </c>
      <c r="N206" s="33" t="n">
        <v>21</v>
      </c>
      <c r="O206" s="33" t="n">
        <v>-8.319000000000001</v>
      </c>
      <c r="P206" s="33" t="n">
        <v>116.627</v>
      </c>
      <c r="Q206" s="33" t="inlineStr">
        <is>
          <t>Labuan Lombok, Indonesia</t>
        </is>
      </c>
      <c r="S206" s="33" t="inlineStr">
        <is>
          <t>Indonesia</t>
        </is>
      </c>
      <c r="T206" s="36">
        <f>DATE(MID(C206,7,4),MID(C206,4,2),MID(C206,1,2))+TIME(MID(C206,12,2),MID(C206,15,2),0)</f>
        <v/>
      </c>
      <c r="U206" s="33">
        <f>IF(ISNUMBER(VALUE(MID(A206,7,1))),"Distance-prefix pattern","Named-region pattern")</f>
        <v/>
      </c>
      <c r="V206" s="33">
        <f>LOWER(M206)</f>
        <v/>
      </c>
      <c r="W206" s="33">
        <f>IF(COUNTIFS($A$2:$A$1001,A206,$C$2:$C$1001,C206)&gt;1,"Duplicate","Unique")</f>
        <v/>
      </c>
      <c r="X206" s="33">
        <f>YEAR(T206)</f>
        <v/>
      </c>
      <c r="Y206" s="33">
        <f>IF(B206&lt;6.5,"&lt;6.5",IF(B206&lt;7,"6.5–6.9",IF(B206&lt;7.5,"7.0–7.4",IF(B206&lt;8,"7.5–7.9","8.0+"))))</f>
        <v/>
      </c>
      <c r="Z206" s="33">
        <f>IF(F206="","Blank",F206)</f>
        <v/>
      </c>
    </row>
    <row r="207" ht="15" customHeight="1" s="34">
      <c r="A207" s="33" t="inlineStr">
        <is>
          <t>M 8.2 - 267 km E of Levuka, Fiji</t>
        </is>
      </c>
      <c r="B207" s="33" t="n">
        <v>8.199999999999999</v>
      </c>
      <c r="C207" s="33" t="inlineStr">
        <is>
          <t>19/08/2018 00:19</t>
        </is>
      </c>
      <c r="D207" s="33" t="n">
        <v>5</v>
      </c>
      <c r="E207" s="33" t="n">
        <v>4</v>
      </c>
      <c r="F207" s="33" t="inlineStr">
        <is>
          <t>green</t>
        </is>
      </c>
      <c r="G207" s="33" t="n">
        <v>1</v>
      </c>
      <c r="H207" s="33" t="n">
        <v>1050</v>
      </c>
      <c r="I207" s="33" t="inlineStr">
        <is>
          <t>us</t>
        </is>
      </c>
      <c r="J207" s="33" t="n">
        <v>0</v>
      </c>
      <c r="K207" s="33" t="n">
        <v>3.63</v>
      </c>
      <c r="L207" s="33" t="n">
        <v>13</v>
      </c>
      <c r="M207" s="33" t="inlineStr">
        <is>
          <t>mww</t>
        </is>
      </c>
      <c r="N207" s="33" t="n">
        <v>600</v>
      </c>
      <c r="O207" s="33" t="n">
        <v>-18.1125</v>
      </c>
      <c r="P207" s="33" t="n">
        <v>-178.153</v>
      </c>
      <c r="Q207" s="33" t="inlineStr">
        <is>
          <t>Levuka, Fiji</t>
        </is>
      </c>
      <c r="S207" s="33" t="inlineStr">
        <is>
          <t>Fiji</t>
        </is>
      </c>
      <c r="T207" s="36">
        <f>DATE(MID(C207,7,4),MID(C207,4,2),MID(C207,1,2))+TIME(MID(C207,12,2),MID(C207,15,2),0)</f>
        <v/>
      </c>
      <c r="U207" s="33">
        <f>IF(ISNUMBER(VALUE(MID(A207,7,1))),"Distance-prefix pattern","Named-region pattern")</f>
        <v/>
      </c>
      <c r="V207" s="33">
        <f>LOWER(M207)</f>
        <v/>
      </c>
      <c r="W207" s="33">
        <f>IF(COUNTIFS($A$2:$A$1001,A207,$C$2:$C$1001,C207)&gt;1,"Duplicate","Unique")</f>
        <v/>
      </c>
      <c r="X207" s="33">
        <f>YEAR(T207)</f>
        <v/>
      </c>
      <c r="Y207" s="33">
        <f>IF(B207&lt;6.5,"&lt;6.5",IF(B207&lt;7,"6.5–6.9",IF(B207&lt;7.5,"7.0–7.4",IF(B207&lt;8,"7.5–7.9","8.0+"))))</f>
        <v/>
      </c>
      <c r="Z207" s="33">
        <f>IF(F207="","Blank",F207)</f>
        <v/>
      </c>
    </row>
    <row r="208" ht="15" customHeight="1" s="34">
      <c r="A208" s="33" t="inlineStr">
        <is>
          <t>M 6.5 - 124 km N of Labuan Bajo, Indonesia</t>
        </is>
      </c>
      <c r="B208" s="33" t="n">
        <v>6.5</v>
      </c>
      <c r="C208" s="33" t="inlineStr">
        <is>
          <t>17/08/2018 15:35</t>
        </is>
      </c>
      <c r="D208" s="33" t="n">
        <v>5</v>
      </c>
      <c r="E208" s="33" t="n">
        <v>3</v>
      </c>
      <c r="F208" s="33" t="inlineStr">
        <is>
          <t>green</t>
        </is>
      </c>
      <c r="G208" s="33" t="n">
        <v>0</v>
      </c>
      <c r="H208" s="33" t="n">
        <v>743</v>
      </c>
      <c r="I208" s="33" t="inlineStr">
        <is>
          <t>us</t>
        </is>
      </c>
      <c r="J208" s="33" t="n">
        <v>0</v>
      </c>
      <c r="K208" s="33" t="n">
        <v>2.719</v>
      </c>
      <c r="L208" s="33" t="n">
        <v>23</v>
      </c>
      <c r="M208" s="33" t="inlineStr">
        <is>
          <t>mww</t>
        </is>
      </c>
      <c r="N208" s="33" t="n">
        <v>529</v>
      </c>
      <c r="O208" s="33" t="n">
        <v>-7.3718</v>
      </c>
      <c r="P208" s="33" t="n">
        <v>119.802</v>
      </c>
      <c r="Q208" s="33" t="inlineStr">
        <is>
          <t>Labuan Bajo, Indonesia</t>
        </is>
      </c>
      <c r="S208" s="33" t="inlineStr">
        <is>
          <t>Indonesia</t>
        </is>
      </c>
      <c r="T208" s="36">
        <f>DATE(MID(C208,7,4),MID(C208,4,2),MID(C208,1,2))+TIME(MID(C208,12,2),MID(C208,15,2),0)</f>
        <v/>
      </c>
      <c r="U208" s="33">
        <f>IF(ISNUMBER(VALUE(MID(A208,7,1))),"Distance-prefix pattern","Named-region pattern")</f>
        <v/>
      </c>
      <c r="V208" s="33">
        <f>LOWER(M208)</f>
        <v/>
      </c>
      <c r="W208" s="33">
        <f>IF(COUNTIFS($A$2:$A$1001,A208,$C$2:$C$1001,C208)&gt;1,"Duplicate","Unique")</f>
        <v/>
      </c>
      <c r="X208" s="33">
        <f>YEAR(T208)</f>
        <v/>
      </c>
      <c r="Y208" s="33">
        <f>IF(B208&lt;6.5,"&lt;6.5",IF(B208&lt;7,"6.5–6.9",IF(B208&lt;7.5,"7.0–7.4",IF(B208&lt;8,"7.5–7.9","8.0+"))))</f>
        <v/>
      </c>
      <c r="Z208" s="33">
        <f>IF(F208="","Blank",F208)</f>
        <v/>
      </c>
    </row>
    <row r="209" ht="15" customHeight="1" s="34">
      <c r="A209" s="33" t="inlineStr">
        <is>
          <t>M 6.5 - 108 km WSW of Adak, Alaska</t>
        </is>
      </c>
      <c r="B209" s="33" t="n">
        <v>6.5</v>
      </c>
      <c r="C209" s="33" t="inlineStr">
        <is>
          <t>15/08/2018 21:56</t>
        </is>
      </c>
      <c r="D209" s="33" t="n">
        <v>6</v>
      </c>
      <c r="E209" s="33" t="n">
        <v>6</v>
      </c>
      <c r="F209" s="33" t="inlineStr">
        <is>
          <t>green</t>
        </is>
      </c>
      <c r="G209" s="33" t="n">
        <v>1</v>
      </c>
      <c r="H209" s="33" t="n">
        <v>655</v>
      </c>
      <c r="I209" s="33" t="inlineStr">
        <is>
          <t>us</t>
        </is>
      </c>
      <c r="J209" s="33" t="n">
        <v>0</v>
      </c>
      <c r="K209" s="33" t="n">
        <v>0.576</v>
      </c>
      <c r="L209" s="33" t="n">
        <v>22</v>
      </c>
      <c r="M209" s="33" t="inlineStr">
        <is>
          <t>mww</t>
        </is>
      </c>
      <c r="N209" s="33" t="n">
        <v>33.93</v>
      </c>
      <c r="O209" s="33" t="n">
        <v>51.4234</v>
      </c>
      <c r="P209" s="33" t="n">
        <v>-178.026</v>
      </c>
      <c r="Q209" s="33" t="inlineStr">
        <is>
          <t>Adak, Alaska</t>
        </is>
      </c>
      <c r="R209" s="33" t="inlineStr">
        <is>
          <t>North America</t>
        </is>
      </c>
      <c r="S209" s="33" t="inlineStr">
        <is>
          <t>United States of America</t>
        </is>
      </c>
      <c r="T209" s="36">
        <f>DATE(MID(C209,7,4),MID(C209,4,2),MID(C209,1,2))+TIME(MID(C209,12,2),MID(C209,15,2),0)</f>
        <v/>
      </c>
      <c r="U209" s="33">
        <f>IF(ISNUMBER(VALUE(MID(A209,7,1))),"Distance-prefix pattern","Named-region pattern")</f>
        <v/>
      </c>
      <c r="V209" s="33">
        <f>LOWER(M209)</f>
        <v/>
      </c>
      <c r="W209" s="33">
        <f>IF(COUNTIFS($A$2:$A$1001,A209,$C$2:$C$1001,C209)&gt;1,"Duplicate","Unique")</f>
        <v/>
      </c>
      <c r="X209" s="33">
        <f>YEAR(T209)</f>
        <v/>
      </c>
      <c r="Y209" s="33">
        <f>IF(B209&lt;6.5,"&lt;6.5",IF(B209&lt;7,"6.5–6.9",IF(B209&lt;7.5,"7.0–7.4",IF(B209&lt;8,"7.5–7.9","8.0+"))))</f>
        <v/>
      </c>
      <c r="Z209" s="33">
        <f>IF(F209="","Blank",F209)</f>
        <v/>
      </c>
    </row>
    <row r="210" ht="15" customHeight="1" s="34">
      <c r="A210" s="33" t="inlineStr">
        <is>
          <t>M 6.9 - 36 km NW of Labuan Lombok, Indonesia</t>
        </is>
      </c>
      <c r="B210" s="33" t="n">
        <v>6.9</v>
      </c>
      <c r="C210" s="33" t="inlineStr">
        <is>
          <t>05/08/2018 11:46</t>
        </is>
      </c>
      <c r="D210" s="33" t="n">
        <v>9</v>
      </c>
      <c r="E210" s="33" t="n">
        <v>8</v>
      </c>
      <c r="F210" s="33" t="inlineStr">
        <is>
          <t>orange</t>
        </is>
      </c>
      <c r="G210" s="33" t="n">
        <v>0</v>
      </c>
      <c r="H210" s="33" t="n">
        <v>1704</v>
      </c>
      <c r="I210" s="33" t="inlineStr">
        <is>
          <t>us</t>
        </is>
      </c>
      <c r="J210" s="33" t="n">
        <v>0</v>
      </c>
      <c r="K210" s="33" t="n">
        <v>2.271</v>
      </c>
      <c r="L210" s="33" t="n">
        <v>15</v>
      </c>
      <c r="M210" s="33" t="inlineStr">
        <is>
          <t>mww</t>
        </is>
      </c>
      <c r="N210" s="33" t="n">
        <v>34</v>
      </c>
      <c r="O210" s="33" t="n">
        <v>-8.258100000000001</v>
      </c>
      <c r="P210" s="33" t="n">
        <v>116.438</v>
      </c>
      <c r="Q210" s="33" t="inlineStr">
        <is>
          <t>Labuan Lombok, Indonesia</t>
        </is>
      </c>
      <c r="S210" s="33" t="inlineStr">
        <is>
          <t>Indonesia</t>
        </is>
      </c>
      <c r="T210" s="36">
        <f>DATE(MID(C210,7,4),MID(C210,4,2),MID(C210,1,2))+TIME(MID(C210,12,2),MID(C210,15,2),0)</f>
        <v/>
      </c>
      <c r="U210" s="33">
        <f>IF(ISNUMBER(VALUE(MID(A210,7,1))),"Distance-prefix pattern","Named-region pattern")</f>
        <v/>
      </c>
      <c r="V210" s="33">
        <f>LOWER(M210)</f>
        <v/>
      </c>
      <c r="W210" s="33">
        <f>IF(COUNTIFS($A$2:$A$1001,A210,$C$2:$C$1001,C210)&gt;1,"Duplicate","Unique")</f>
        <v/>
      </c>
      <c r="X210" s="33">
        <f>YEAR(T210)</f>
        <v/>
      </c>
      <c r="Y210" s="33">
        <f>IF(B210&lt;6.5,"&lt;6.5",IF(B210&lt;7,"6.5–6.9",IF(B210&lt;7.5,"7.0–7.4",IF(B210&lt;8,"7.5–7.9","8.0+"))))</f>
        <v/>
      </c>
      <c r="Z210" s="33">
        <f>IF(F210="","Blank",F210)</f>
        <v/>
      </c>
    </row>
    <row r="211" ht="15" customHeight="1" s="34">
      <c r="A211" s="33" t="inlineStr">
        <is>
          <t>M 6.9 - 18 km SSW of Leilani Estates, Hawaii</t>
        </is>
      </c>
      <c r="B211" s="33" t="n">
        <v>6.9</v>
      </c>
      <c r="C211" s="33" t="inlineStr">
        <is>
          <t>04/05/2018 22:32</t>
        </is>
      </c>
      <c r="D211" s="33" t="n">
        <v>7</v>
      </c>
      <c r="E211" s="33" t="n">
        <v>8</v>
      </c>
      <c r="F211" s="33" t="inlineStr">
        <is>
          <t>yellow</t>
        </is>
      </c>
      <c r="G211" s="33" t="n">
        <v>1</v>
      </c>
      <c r="H211" s="33" t="n">
        <v>1392</v>
      </c>
      <c r="I211" s="33" t="inlineStr">
        <is>
          <t>hv</t>
        </is>
      </c>
      <c r="J211" s="33" t="n">
        <v>63</v>
      </c>
      <c r="K211" s="33" t="n">
        <v>0.11</v>
      </c>
      <c r="L211" s="33" t="n">
        <v>210</v>
      </c>
      <c r="M211" s="33" t="inlineStr">
        <is>
          <t>mw</t>
        </is>
      </c>
      <c r="N211" s="33" t="n">
        <v>5.81</v>
      </c>
      <c r="O211" s="33" t="n">
        <v>19.3182</v>
      </c>
      <c r="P211" s="33" t="n">
        <v>-155</v>
      </c>
      <c r="Q211" s="33" t="inlineStr">
        <is>
          <t>Leilani Estates, Hawaii</t>
        </is>
      </c>
      <c r="S211" s="33" t="inlineStr">
        <is>
          <t>United States of America</t>
        </is>
      </c>
      <c r="T211" s="36">
        <f>DATE(MID(C211,7,4),MID(C211,4,2),MID(C211,1,2))+TIME(MID(C211,12,2),MID(C211,15,2),0)</f>
        <v/>
      </c>
      <c r="U211" s="33">
        <f>IF(ISNUMBER(VALUE(MID(A211,7,1))),"Distance-prefix pattern","Named-region pattern")</f>
        <v/>
      </c>
      <c r="V211" s="33">
        <f>LOWER(M211)</f>
        <v/>
      </c>
      <c r="W211" s="33">
        <f>IF(COUNTIFS($A$2:$A$1001,A211,$C$2:$C$1001,C211)&gt;1,"Duplicate","Unique")</f>
        <v/>
      </c>
      <c r="X211" s="33">
        <f>YEAR(T211)</f>
        <v/>
      </c>
      <c r="Y211" s="33">
        <f>IF(B211&lt;6.5,"&lt;6.5",IF(B211&lt;7,"6.5–6.9",IF(B211&lt;7.5,"7.0–7.4",IF(B211&lt;8,"7.5–7.9","8.0+"))))</f>
        <v/>
      </c>
      <c r="Z211" s="33">
        <f>IF(F211="","Blank",F211)</f>
        <v/>
      </c>
    </row>
    <row r="212" ht="15" customHeight="1" s="34">
      <c r="A212" s="33" t="inlineStr">
        <is>
          <t>M 6.8 - 38 km SE of Boyuibe, Bolivia</t>
        </is>
      </c>
      <c r="B212" s="33" t="n">
        <v>6.8</v>
      </c>
      <c r="C212" s="33" t="inlineStr">
        <is>
          <t>02/04/2018 13:40</t>
        </is>
      </c>
      <c r="D212" s="33" t="n">
        <v>5</v>
      </c>
      <c r="E212" s="33" t="n">
        <v>3</v>
      </c>
      <c r="F212" s="33" t="inlineStr">
        <is>
          <t>green</t>
        </is>
      </c>
      <c r="G212" s="33" t="n">
        <v>0</v>
      </c>
      <c r="H212" s="33" t="n">
        <v>733</v>
      </c>
      <c r="I212" s="33" t="inlineStr">
        <is>
          <t>us</t>
        </is>
      </c>
      <c r="J212" s="33" t="n">
        <v>0</v>
      </c>
      <c r="K212" s="33" t="n">
        <v>5.32</v>
      </c>
      <c r="L212" s="33" t="n">
        <v>16</v>
      </c>
      <c r="M212" s="33" t="inlineStr">
        <is>
          <t>mww</t>
        </is>
      </c>
      <c r="N212" s="33" t="n">
        <v>559</v>
      </c>
      <c r="O212" s="33" t="n">
        <v>-20.6588</v>
      </c>
      <c r="P212" s="33" t="n">
        <v>-63.0058</v>
      </c>
      <c r="Q212" s="33" t="inlineStr">
        <is>
          <t>Boyuibe, Bolivia</t>
        </is>
      </c>
      <c r="R212" s="33" t="inlineStr">
        <is>
          <t>South America</t>
        </is>
      </c>
      <c r="S212" s="33" t="inlineStr">
        <is>
          <t>Bolivia</t>
        </is>
      </c>
      <c r="T212" s="36">
        <f>DATE(MID(C212,7,4),MID(C212,4,2),MID(C212,1,2))+TIME(MID(C212,12,2),MID(C212,15,2),0)</f>
        <v/>
      </c>
      <c r="U212" s="33">
        <f>IF(ISNUMBER(VALUE(MID(A212,7,1))),"Distance-prefix pattern","Named-region pattern")</f>
        <v/>
      </c>
      <c r="V212" s="33">
        <f>LOWER(M212)</f>
        <v/>
      </c>
      <c r="W212" s="33">
        <f>IF(COUNTIFS($A$2:$A$1001,A212,$C$2:$C$1001,C212)&gt;1,"Duplicate","Unique")</f>
        <v/>
      </c>
      <c r="X212" s="33">
        <f>YEAR(T212)</f>
        <v/>
      </c>
      <c r="Y212" s="33">
        <f>IF(B212&lt;6.5,"&lt;6.5",IF(B212&lt;7,"6.5–6.9",IF(B212&lt;7.5,"7.0–7.4",IF(B212&lt;8,"7.5–7.9","8.0+"))))</f>
        <v/>
      </c>
      <c r="Z212" s="33">
        <f>IF(F212="","Blank",F212)</f>
        <v/>
      </c>
    </row>
    <row r="213" ht="15" customHeight="1" s="34">
      <c r="A213" s="33" t="inlineStr">
        <is>
          <t>M 6.9 - 150 km E of Kimbe, Papua New Guinea</t>
        </is>
      </c>
      <c r="B213" s="33" t="n">
        <v>6.9</v>
      </c>
      <c r="C213" s="33" t="inlineStr">
        <is>
          <t>29/03/2018 21:25</t>
        </is>
      </c>
      <c r="D213" s="33" t="n">
        <v>9</v>
      </c>
      <c r="E213" s="33" t="n">
        <v>6</v>
      </c>
      <c r="F213" s="33" t="inlineStr">
        <is>
          <t>green</t>
        </is>
      </c>
      <c r="G213" s="33" t="n">
        <v>1</v>
      </c>
      <c r="H213" s="33" t="n">
        <v>741</v>
      </c>
      <c r="I213" s="33" t="inlineStr">
        <is>
          <t>us</t>
        </is>
      </c>
      <c r="J213" s="33" t="n">
        <v>0</v>
      </c>
      <c r="K213" s="33" t="n">
        <v>1.487</v>
      </c>
      <c r="L213" s="33" t="n">
        <v>18</v>
      </c>
      <c r="M213" s="33" t="inlineStr">
        <is>
          <t>mww</t>
        </is>
      </c>
      <c r="N213" s="33" t="n">
        <v>35</v>
      </c>
      <c r="O213" s="33" t="n">
        <v>-5.5321</v>
      </c>
      <c r="P213" s="33" t="n">
        <v>151.5</v>
      </c>
      <c r="Q213" s="33" t="inlineStr">
        <is>
          <t>Kimbe, Papua New Guinea</t>
        </is>
      </c>
      <c r="S213" s="33" t="inlineStr">
        <is>
          <t>Papua New Guinea</t>
        </is>
      </c>
      <c r="T213" s="36">
        <f>DATE(MID(C213,7,4),MID(C213,4,2),MID(C213,1,2))+TIME(MID(C213,12,2),MID(C213,15,2),0)</f>
        <v/>
      </c>
      <c r="U213" s="33">
        <f>IF(ISNUMBER(VALUE(MID(A213,7,1))),"Distance-prefix pattern","Named-region pattern")</f>
        <v/>
      </c>
      <c r="V213" s="33">
        <f>LOWER(M213)</f>
        <v/>
      </c>
      <c r="W213" s="33">
        <f>IF(COUNTIFS($A$2:$A$1001,A213,$C$2:$C$1001,C213)&gt;1,"Duplicate","Unique")</f>
        <v/>
      </c>
      <c r="X213" s="33">
        <f>YEAR(T213)</f>
        <v/>
      </c>
      <c r="Y213" s="33">
        <f>IF(B213&lt;6.5,"&lt;6.5",IF(B213&lt;7,"6.5–6.9",IF(B213&lt;7.5,"7.0–7.4",IF(B213&lt;8,"7.5–7.9","8.0+"))))</f>
        <v/>
      </c>
      <c r="Z213" s="33">
        <f>IF(F213="","Blank",F213)</f>
        <v/>
      </c>
    </row>
    <row r="214" ht="15" customHeight="1" s="34">
      <c r="A214" s="33" t="inlineStr">
        <is>
          <t>M 6.7 - 140 km E of Kimbe, Papua New Guinea</t>
        </is>
      </c>
      <c r="B214" s="33" t="n">
        <v>6.7</v>
      </c>
      <c r="C214" s="33" t="inlineStr">
        <is>
          <t>26/03/2018 09:51</t>
        </is>
      </c>
      <c r="D214" s="33" t="n">
        <v>5</v>
      </c>
      <c r="E214" s="33" t="n">
        <v>6</v>
      </c>
      <c r="F214" s="33" t="inlineStr">
        <is>
          <t>green</t>
        </is>
      </c>
      <c r="G214" s="33" t="n">
        <v>1</v>
      </c>
      <c r="H214" s="33" t="n">
        <v>696</v>
      </c>
      <c r="I214" s="33" t="inlineStr">
        <is>
          <t>us</t>
        </is>
      </c>
      <c r="J214" s="33" t="n">
        <v>0</v>
      </c>
      <c r="K214" s="33" t="n">
        <v>1.507</v>
      </c>
      <c r="L214" s="33" t="n">
        <v>15</v>
      </c>
      <c r="M214" s="33" t="inlineStr">
        <is>
          <t>mww</t>
        </is>
      </c>
      <c r="N214" s="33" t="n">
        <v>40</v>
      </c>
      <c r="O214" s="33" t="n">
        <v>-5.5024</v>
      </c>
      <c r="P214" s="33" t="n">
        <v>151.402</v>
      </c>
      <c r="Q214" s="33" t="inlineStr">
        <is>
          <t>Kimbe, Papua New Guinea</t>
        </is>
      </c>
      <c r="S214" s="33" t="inlineStr">
        <is>
          <t>Papua New Guinea</t>
        </is>
      </c>
      <c r="T214" s="36">
        <f>DATE(MID(C214,7,4),MID(C214,4,2),MID(C214,1,2))+TIME(MID(C214,12,2),MID(C214,15,2),0)</f>
        <v/>
      </c>
      <c r="U214" s="33">
        <f>IF(ISNUMBER(VALUE(MID(A214,7,1))),"Distance-prefix pattern","Named-region pattern")</f>
        <v/>
      </c>
      <c r="V214" s="33">
        <f>LOWER(M214)</f>
        <v/>
      </c>
      <c r="W214" s="33">
        <f>IF(COUNTIFS($A$2:$A$1001,A214,$C$2:$C$1001,C214)&gt;1,"Duplicate","Unique")</f>
        <v/>
      </c>
      <c r="X214" s="33">
        <f>YEAR(T214)</f>
        <v/>
      </c>
      <c r="Y214" s="33">
        <f>IF(B214&lt;6.5,"&lt;6.5",IF(B214&lt;7,"6.5–6.9",IF(B214&lt;7.5,"7.0–7.4",IF(B214&lt;8,"7.5–7.9","8.0+"))))</f>
        <v/>
      </c>
      <c r="Z214" s="33">
        <f>IF(F214="","Blank",F214)</f>
        <v/>
      </c>
    </row>
    <row r="215" ht="15" customHeight="1" s="34">
      <c r="A215" s="33" t="inlineStr">
        <is>
          <t>M 6.8 - 103 km E of Kokopo, Papua New Guinea</t>
        </is>
      </c>
      <c r="B215" s="33" t="n">
        <v>6.8</v>
      </c>
      <c r="C215" s="33" t="inlineStr">
        <is>
          <t>08/03/2018 17:39</t>
        </is>
      </c>
      <c r="D215" s="33" t="n">
        <v>6</v>
      </c>
      <c r="E215" s="33" t="n">
        <v>6</v>
      </c>
      <c r="F215" s="33" t="inlineStr">
        <is>
          <t>green</t>
        </is>
      </c>
      <c r="G215" s="33" t="n">
        <v>1</v>
      </c>
      <c r="H215" s="33" t="n">
        <v>719</v>
      </c>
      <c r="I215" s="33" t="inlineStr">
        <is>
          <t>us</t>
        </is>
      </c>
      <c r="J215" s="33" t="n">
        <v>0</v>
      </c>
      <c r="K215" s="33" t="n">
        <v>1.049</v>
      </c>
      <c r="L215" s="33" t="n">
        <v>16</v>
      </c>
      <c r="M215" s="33" t="inlineStr">
        <is>
          <t>mww</t>
        </is>
      </c>
      <c r="N215" s="33" t="n">
        <v>22.86</v>
      </c>
      <c r="O215" s="33" t="n">
        <v>-4.3762</v>
      </c>
      <c r="P215" s="33" t="n">
        <v>153.2</v>
      </c>
      <c r="Q215" s="33" t="inlineStr">
        <is>
          <t>Kokopo, Papua New Guinea</t>
        </is>
      </c>
      <c r="S215" s="33" t="inlineStr">
        <is>
          <t>Papua New Guinea</t>
        </is>
      </c>
      <c r="T215" s="36">
        <f>DATE(MID(C215,7,4),MID(C215,4,2),MID(C215,1,2))+TIME(MID(C215,12,2),MID(C215,15,2),0)</f>
        <v/>
      </c>
      <c r="U215" s="33">
        <f>IF(ISNUMBER(VALUE(MID(A215,7,1))),"Distance-prefix pattern","Named-region pattern")</f>
        <v/>
      </c>
      <c r="V215" s="33">
        <f>LOWER(M215)</f>
        <v/>
      </c>
      <c r="W215" s="33">
        <f>IF(COUNTIFS($A$2:$A$1001,A215,$C$2:$C$1001,C215)&gt;1,"Duplicate","Unique")</f>
        <v/>
      </c>
      <c r="X215" s="33">
        <f>YEAR(T215)</f>
        <v/>
      </c>
      <c r="Y215" s="33">
        <f>IF(B215&lt;6.5,"&lt;6.5",IF(B215&lt;7,"6.5–6.9",IF(B215&lt;7.5,"7.0–7.4",IF(B215&lt;8,"7.5–7.9","8.0+"))))</f>
        <v/>
      </c>
      <c r="Z215" s="33">
        <f>IF(F215="","Blank",F215)</f>
        <v/>
      </c>
    </row>
    <row r="216" ht="15" customHeight="1" s="34">
      <c r="A216" s="33" t="inlineStr">
        <is>
          <t>M 6.7 - 62 km SW of Tari, Papua New Guinea</t>
        </is>
      </c>
      <c r="B216" s="33" t="n">
        <v>6.7</v>
      </c>
      <c r="C216" s="33" t="inlineStr">
        <is>
          <t>06/03/2018 14:13</t>
        </is>
      </c>
      <c r="D216" s="33" t="n">
        <v>8</v>
      </c>
      <c r="E216" s="33" t="n">
        <v>7</v>
      </c>
      <c r="F216" s="33" t="inlineStr">
        <is>
          <t>green</t>
        </is>
      </c>
      <c r="G216" s="33" t="n">
        <v>1</v>
      </c>
      <c r="H216" s="33" t="n">
        <v>697</v>
      </c>
      <c r="I216" s="33" t="inlineStr">
        <is>
          <t>us</t>
        </is>
      </c>
      <c r="J216" s="33" t="n">
        <v>0</v>
      </c>
      <c r="K216" s="33" t="n">
        <v>5.457</v>
      </c>
      <c r="L216" s="33" t="n">
        <v>19</v>
      </c>
      <c r="M216" s="33" t="inlineStr">
        <is>
          <t>mww</t>
        </is>
      </c>
      <c r="N216" s="33" t="n">
        <v>20.49</v>
      </c>
      <c r="O216" s="33" t="n">
        <v>-6.3043</v>
      </c>
      <c r="P216" s="33" t="n">
        <v>142.612</v>
      </c>
      <c r="Q216" s="33" t="inlineStr">
        <is>
          <t>Tari, Papua New Guinea</t>
        </is>
      </c>
      <c r="S216" s="33" t="inlineStr">
        <is>
          <t>Papua New Guinea</t>
        </is>
      </c>
      <c r="T216" s="36">
        <f>DATE(MID(C216,7,4),MID(C216,4,2),MID(C216,1,2))+TIME(MID(C216,12,2),MID(C216,15,2),0)</f>
        <v/>
      </c>
      <c r="U216" s="33">
        <f>IF(ISNUMBER(VALUE(MID(A216,7,1))),"Distance-prefix pattern","Named-region pattern")</f>
        <v/>
      </c>
      <c r="V216" s="33">
        <f>LOWER(M216)</f>
        <v/>
      </c>
      <c r="W216" s="33">
        <f>IF(COUNTIFS($A$2:$A$1001,A216,$C$2:$C$1001,C216)&gt;1,"Duplicate","Unique")</f>
        <v/>
      </c>
      <c r="X216" s="33">
        <f>YEAR(T216)</f>
        <v/>
      </c>
      <c r="Y216" s="33">
        <f>IF(B216&lt;6.5,"&lt;6.5",IF(B216&lt;7,"6.5–6.9",IF(B216&lt;7.5,"7.0–7.4",IF(B216&lt;8,"7.5–7.9","8.0+"))))</f>
        <v/>
      </c>
      <c r="Z216" s="33">
        <f>IF(F216="","Blank",F216)</f>
        <v/>
      </c>
    </row>
    <row r="217" ht="15" customHeight="1" s="34">
      <c r="A217" s="33" t="inlineStr">
        <is>
          <t>M 7.5 - 32 km SW of Tari, Papua New Guinea</t>
        </is>
      </c>
      <c r="B217" s="33" t="n">
        <v>7.5</v>
      </c>
      <c r="C217" s="33" t="inlineStr">
        <is>
          <t>25/02/2018 17:44</t>
        </is>
      </c>
      <c r="D217" s="33" t="n">
        <v>9</v>
      </c>
      <c r="E217" s="33" t="n">
        <v>8</v>
      </c>
      <c r="F217" s="33" t="inlineStr">
        <is>
          <t>yellow</t>
        </is>
      </c>
      <c r="G217" s="33" t="n">
        <v>1</v>
      </c>
      <c r="H217" s="33" t="n">
        <v>943</v>
      </c>
      <c r="I217" s="33" t="inlineStr">
        <is>
          <t>us</t>
        </is>
      </c>
      <c r="J217" s="33" t="n">
        <v>0</v>
      </c>
      <c r="K217" s="33" t="n">
        <v>5.48</v>
      </c>
      <c r="L217" s="33" t="n">
        <v>17</v>
      </c>
      <c r="M217" s="33" t="inlineStr">
        <is>
          <t>mww</t>
        </is>
      </c>
      <c r="N217" s="33" t="n">
        <v>25.21</v>
      </c>
      <c r="O217" s="33" t="n">
        <v>-6.0699</v>
      </c>
      <c r="P217" s="33" t="n">
        <v>142.754</v>
      </c>
      <c r="Q217" s="33" t="inlineStr">
        <is>
          <t>Tari, Papua New Guinea</t>
        </is>
      </c>
      <c r="S217" s="33" t="inlineStr">
        <is>
          <t>Papua New Guinea</t>
        </is>
      </c>
      <c r="T217" s="36">
        <f>DATE(MID(C217,7,4),MID(C217,4,2),MID(C217,1,2))+TIME(MID(C217,12,2),MID(C217,15,2),0)</f>
        <v/>
      </c>
      <c r="U217" s="33">
        <f>IF(ISNUMBER(VALUE(MID(A217,7,1))),"Distance-prefix pattern","Named-region pattern")</f>
        <v/>
      </c>
      <c r="V217" s="33">
        <f>LOWER(M217)</f>
        <v/>
      </c>
      <c r="W217" s="33">
        <f>IF(COUNTIFS($A$2:$A$1001,A217,$C$2:$C$1001,C217)&gt;1,"Duplicate","Unique")</f>
        <v/>
      </c>
      <c r="X217" s="33">
        <f>YEAR(T217)</f>
        <v/>
      </c>
      <c r="Y217" s="33">
        <f>IF(B217&lt;6.5,"&lt;6.5",IF(B217&lt;7,"6.5–6.9",IF(B217&lt;7.5,"7.0–7.4",IF(B217&lt;8,"7.5–7.9","8.0+"))))</f>
        <v/>
      </c>
      <c r="Z217" s="33">
        <f>IF(F217="","Blank",F217)</f>
        <v/>
      </c>
    </row>
    <row r="218" ht="15" customHeight="1" s="34">
      <c r="A218" s="33" t="inlineStr">
        <is>
          <t>M 7.2 - 4 km S of Pinotepa de Don Luis, Mexico</t>
        </is>
      </c>
      <c r="B218" s="33" t="n">
        <v>7.2</v>
      </c>
      <c r="C218" s="33" t="inlineStr">
        <is>
          <t>16/02/2018 23:39</t>
        </is>
      </c>
      <c r="D218" s="33" t="n">
        <v>7</v>
      </c>
      <c r="E218" s="33" t="n">
        <v>7</v>
      </c>
      <c r="F218" s="33" t="inlineStr">
        <is>
          <t>yellow</t>
        </is>
      </c>
      <c r="G218" s="33" t="n">
        <v>1</v>
      </c>
      <c r="H218" s="33" t="n">
        <v>1384</v>
      </c>
      <c r="I218" s="33" t="inlineStr">
        <is>
          <t>us</t>
        </is>
      </c>
      <c r="J218" s="33" t="n">
        <v>0</v>
      </c>
      <c r="K218" s="33" t="n">
        <v>0.142</v>
      </c>
      <c r="L218" s="33" t="n">
        <v>82</v>
      </c>
      <c r="M218" s="33" t="inlineStr">
        <is>
          <t>mww</t>
        </is>
      </c>
      <c r="N218" s="33" t="n">
        <v>22</v>
      </c>
      <c r="O218" s="33" t="n">
        <v>16.3855</v>
      </c>
      <c r="P218" s="33" t="n">
        <v>-97.9787</v>
      </c>
      <c r="Q218" s="33" t="inlineStr">
        <is>
          <t>Pinotepa de Don Luis, Mexico</t>
        </is>
      </c>
      <c r="R218" s="33" t="inlineStr">
        <is>
          <t>North America</t>
        </is>
      </c>
      <c r="S218" s="33" t="inlineStr">
        <is>
          <t>Mexico</t>
        </is>
      </c>
      <c r="T218" s="36">
        <f>DATE(MID(C218,7,4),MID(C218,4,2),MID(C218,1,2))+TIME(MID(C218,12,2),MID(C218,15,2),0)</f>
        <v/>
      </c>
      <c r="U218" s="33">
        <f>IF(ISNUMBER(VALUE(MID(A218,7,1))),"Distance-prefix pattern","Named-region pattern")</f>
        <v/>
      </c>
      <c r="V218" s="33">
        <f>LOWER(M218)</f>
        <v/>
      </c>
      <c r="W218" s="33">
        <f>IF(COUNTIFS($A$2:$A$1001,A218,$C$2:$C$1001,C218)&gt;1,"Duplicate","Unique")</f>
        <v/>
      </c>
      <c r="X218" s="33">
        <f>YEAR(T218)</f>
        <v/>
      </c>
      <c r="Y218" s="33">
        <f>IF(B218&lt;6.5,"&lt;6.5",IF(B218&lt;7,"6.5–6.9",IF(B218&lt;7.5,"7.0–7.4",IF(B218&lt;8,"7.5–7.9","8.0+"))))</f>
        <v/>
      </c>
      <c r="Z218" s="33">
        <f>IF(F218="","Blank",F218)</f>
        <v/>
      </c>
    </row>
    <row r="219" ht="15" customHeight="1" s="34">
      <c r="A219" s="33" t="inlineStr">
        <is>
          <t>M 7.9 - 261 km SE of Chiniak, Alaska</t>
        </is>
      </c>
      <c r="B219" s="33" t="n">
        <v>7.9</v>
      </c>
      <c r="C219" s="33" t="inlineStr">
        <is>
          <t>23/01/2018 09:31</t>
        </is>
      </c>
      <c r="D219" s="33" t="n">
        <v>9</v>
      </c>
      <c r="E219" s="33" t="n">
        <v>4</v>
      </c>
      <c r="F219" s="33" t="inlineStr">
        <is>
          <t>green</t>
        </is>
      </c>
      <c r="G219" s="33" t="n">
        <v>1</v>
      </c>
      <c r="H219" s="33" t="n">
        <v>1870</v>
      </c>
      <c r="I219" s="33" t="inlineStr">
        <is>
          <t>us</t>
        </is>
      </c>
      <c r="J219" s="33" t="n">
        <v>0</v>
      </c>
      <c r="K219" s="33" t="n">
        <v>2.585</v>
      </c>
      <c r="L219" s="33" t="n">
        <v>30</v>
      </c>
      <c r="M219" s="33" t="inlineStr">
        <is>
          <t>mww</t>
        </is>
      </c>
      <c r="N219" s="33" t="n">
        <v>14.06</v>
      </c>
      <c r="O219" s="33" t="n">
        <v>56.0039</v>
      </c>
      <c r="P219" s="33" t="n">
        <v>-149.166</v>
      </c>
      <c r="Q219" s="33" t="inlineStr">
        <is>
          <t>Chiniak, Alaska</t>
        </is>
      </c>
      <c r="T219" s="36">
        <f>DATE(MID(C219,7,4),MID(C219,4,2),MID(C219,1,2))+TIME(MID(C219,12,2),MID(C219,15,2),0)</f>
        <v/>
      </c>
      <c r="U219" s="33">
        <f>IF(ISNUMBER(VALUE(MID(A219,7,1))),"Distance-prefix pattern","Named-region pattern")</f>
        <v/>
      </c>
      <c r="V219" s="33">
        <f>LOWER(M219)</f>
        <v/>
      </c>
      <c r="W219" s="33">
        <f>IF(COUNTIFS($A$2:$A$1001,A219,$C$2:$C$1001,C219)&gt;1,"Duplicate","Unique")</f>
        <v/>
      </c>
      <c r="X219" s="33">
        <f>YEAR(T219)</f>
        <v/>
      </c>
      <c r="Y219" s="33">
        <f>IF(B219&lt;6.5,"&lt;6.5",IF(B219&lt;7,"6.5–6.9",IF(B219&lt;7.5,"7.0–7.4",IF(B219&lt;8,"7.5–7.9","8.0+"))))</f>
        <v/>
      </c>
      <c r="Z219" s="33">
        <f>IF(F219="","Blank",F219)</f>
        <v/>
      </c>
    </row>
    <row r="220" ht="15" customHeight="1" s="34">
      <c r="A220" s="33" t="inlineStr">
        <is>
          <t>M 7.1 - 37 km W of Atiquipa, Peru</t>
        </is>
      </c>
      <c r="B220" s="33" t="n">
        <v>7.1</v>
      </c>
      <c r="C220" s="33" t="inlineStr">
        <is>
          <t>14/01/2018 09:18</t>
        </is>
      </c>
      <c r="D220" s="33" t="n">
        <v>9</v>
      </c>
      <c r="E220" s="33" t="n">
        <v>7</v>
      </c>
      <c r="F220" s="33" t="inlineStr">
        <is>
          <t>green</t>
        </is>
      </c>
      <c r="G220" s="33" t="n">
        <v>1</v>
      </c>
      <c r="H220" s="33" t="n">
        <v>1075</v>
      </c>
      <c r="I220" s="33" t="inlineStr">
        <is>
          <t>us</t>
        </is>
      </c>
      <c r="J220" s="33" t="n">
        <v>0</v>
      </c>
      <c r="K220" s="33" t="n">
        <v>4.29</v>
      </c>
      <c r="L220" s="33" t="n">
        <v>23</v>
      </c>
      <c r="M220" s="33" t="inlineStr">
        <is>
          <t>mww</t>
        </is>
      </c>
      <c r="N220" s="33" t="n">
        <v>39</v>
      </c>
      <c r="O220" s="33" t="n">
        <v>-15.7675</v>
      </c>
      <c r="P220" s="33" t="n">
        <v>-74.7092</v>
      </c>
      <c r="Q220" s="33" t="inlineStr">
        <is>
          <t>Atiquipa, Peru</t>
        </is>
      </c>
      <c r="S220" s="33" t="inlineStr">
        <is>
          <t>Peru</t>
        </is>
      </c>
      <c r="T220" s="36">
        <f>DATE(MID(C220,7,4),MID(C220,4,2),MID(C220,1,2))+TIME(MID(C220,12,2),MID(C220,15,2),0)</f>
        <v/>
      </c>
      <c r="U220" s="33">
        <f>IF(ISNUMBER(VALUE(MID(A220,7,1))),"Distance-prefix pattern","Named-region pattern")</f>
        <v/>
      </c>
      <c r="V220" s="33">
        <f>LOWER(M220)</f>
        <v/>
      </c>
      <c r="W220" s="33">
        <f>IF(COUNTIFS($A$2:$A$1001,A220,$C$2:$C$1001,C220)&gt;1,"Duplicate","Unique")</f>
        <v/>
      </c>
      <c r="X220" s="33">
        <f>YEAR(T220)</f>
        <v/>
      </c>
      <c r="Y220" s="33">
        <f>IF(B220&lt;6.5,"&lt;6.5",IF(B220&lt;7,"6.5–6.9",IF(B220&lt;7.5,"7.0–7.4",IF(B220&lt;8,"7.5–7.9","8.0+"))))</f>
        <v/>
      </c>
      <c r="Z220" s="33">
        <f>IF(F220="","Blank",F220)</f>
        <v/>
      </c>
    </row>
    <row r="221" ht="15" customHeight="1" s="34">
      <c r="A221" s="33" t="inlineStr">
        <is>
          <t>M 7.5 - 203 km NNE of Barra Patuca, Honduras</t>
        </is>
      </c>
      <c r="B221" s="33" t="n">
        <v>7.5</v>
      </c>
      <c r="C221" s="33" t="inlineStr">
        <is>
          <t>10/01/2018 02:51</t>
        </is>
      </c>
      <c r="D221" s="33" t="n">
        <v>8</v>
      </c>
      <c r="E221" s="33" t="n">
        <v>5</v>
      </c>
      <c r="F221" s="33" t="inlineStr">
        <is>
          <t>green</t>
        </is>
      </c>
      <c r="G221" s="33" t="n">
        <v>1</v>
      </c>
      <c r="H221" s="33" t="n">
        <v>1623</v>
      </c>
      <c r="I221" s="33" t="inlineStr">
        <is>
          <t>us</t>
        </is>
      </c>
      <c r="J221" s="33" t="n">
        <v>0</v>
      </c>
      <c r="K221" s="33" t="n">
        <v>4.581</v>
      </c>
      <c r="L221" s="33" t="n">
        <v>12</v>
      </c>
      <c r="M221" s="33" t="inlineStr">
        <is>
          <t>mww</t>
        </is>
      </c>
      <c r="N221" s="33" t="n">
        <v>19</v>
      </c>
      <c r="O221" s="33" t="n">
        <v>17.4825</v>
      </c>
      <c r="P221" s="33" t="n">
        <v>-83.52</v>
      </c>
      <c r="Q221" s="33" t="inlineStr">
        <is>
          <t>Barra Patuca, Honduras</t>
        </is>
      </c>
      <c r="T221" s="36">
        <f>DATE(MID(C221,7,4),MID(C221,4,2),MID(C221,1,2))+TIME(MID(C221,12,2),MID(C221,15,2),0)</f>
        <v/>
      </c>
      <c r="U221" s="33">
        <f>IF(ISNUMBER(VALUE(MID(A221,7,1))),"Distance-prefix pattern","Named-region pattern")</f>
        <v/>
      </c>
      <c r="V221" s="33">
        <f>LOWER(M221)</f>
        <v/>
      </c>
      <c r="W221" s="33">
        <f>IF(COUNTIFS($A$2:$A$1001,A221,$C$2:$C$1001,C221)&gt;1,"Duplicate","Unique")</f>
        <v/>
      </c>
      <c r="X221" s="33">
        <f>YEAR(T221)</f>
        <v/>
      </c>
      <c r="Y221" s="33">
        <f>IF(B221&lt;6.5,"&lt;6.5",IF(B221&lt;7,"6.5–6.9",IF(B221&lt;7.5,"7.0–7.4",IF(B221&lt;8,"7.5–7.9","8.0+"))))</f>
        <v/>
      </c>
      <c r="Z221" s="33">
        <f>IF(F221="","Blank",F221)</f>
        <v/>
      </c>
    </row>
    <row r="222" ht="15" customHeight="1" s="34">
      <c r="A222" s="33" t="inlineStr">
        <is>
          <t>M 6.5 - 12 km SSW of Kawalu, Indonesia</t>
        </is>
      </c>
      <c r="B222" s="33" t="n">
        <v>6.5</v>
      </c>
      <c r="C222" s="33" t="inlineStr">
        <is>
          <t>15/12/2017 16:47</t>
        </is>
      </c>
      <c r="D222" s="33" t="n">
        <v>8</v>
      </c>
      <c r="E222" s="33" t="n">
        <v>7</v>
      </c>
      <c r="F222" s="33" t="inlineStr">
        <is>
          <t>green</t>
        </is>
      </c>
      <c r="G222" s="33" t="n">
        <v>0</v>
      </c>
      <c r="H222" s="33" t="n">
        <v>998</v>
      </c>
      <c r="I222" s="33" t="inlineStr">
        <is>
          <t>us</t>
        </is>
      </c>
      <c r="J222" s="33" t="n">
        <v>0</v>
      </c>
      <c r="K222" s="33" t="n">
        <v>2.365</v>
      </c>
      <c r="L222" s="33" t="n">
        <v>28</v>
      </c>
      <c r="M222" s="33" t="inlineStr">
        <is>
          <t>mww</t>
        </is>
      </c>
      <c r="N222" s="33" t="n">
        <v>90</v>
      </c>
      <c r="O222" s="33" t="n">
        <v>-7.4921</v>
      </c>
      <c r="P222" s="33" t="n">
        <v>108.174</v>
      </c>
      <c r="Q222" s="33" t="inlineStr">
        <is>
          <t>Kawalu, Indonesia</t>
        </is>
      </c>
      <c r="S222" s="33" t="inlineStr">
        <is>
          <t>Indonesia</t>
        </is>
      </c>
      <c r="T222" s="36">
        <f>DATE(MID(C222,7,4),MID(C222,4,2),MID(C222,1,2))+TIME(MID(C222,12,2),MID(C222,15,2),0)</f>
        <v/>
      </c>
      <c r="U222" s="33">
        <f>IF(ISNUMBER(VALUE(MID(A222,7,1))),"Distance-prefix pattern","Named-region pattern")</f>
        <v/>
      </c>
      <c r="V222" s="33">
        <f>LOWER(M222)</f>
        <v/>
      </c>
      <c r="W222" s="33">
        <f>IF(COUNTIFS($A$2:$A$1001,A222,$C$2:$C$1001,C222)&gt;1,"Duplicate","Unique")</f>
        <v/>
      </c>
      <c r="X222" s="33">
        <f>YEAR(T222)</f>
        <v/>
      </c>
      <c r="Y222" s="33">
        <f>IF(B222&lt;6.5,"&lt;6.5",IF(B222&lt;7,"6.5–6.9",IF(B222&lt;7.5,"7.0–7.4",IF(B222&lt;8,"7.5–7.9","8.0+"))))</f>
        <v/>
      </c>
      <c r="Z222" s="33">
        <f>IF(F222="","Blank",F222)</f>
        <v/>
      </c>
    </row>
    <row r="223" ht="15" customHeight="1" s="34">
      <c r="A223" s="33" t="inlineStr">
        <is>
          <t>M 6.5 - Bouvet Island region</t>
        </is>
      </c>
      <c r="B223" s="33" t="n">
        <v>6.5</v>
      </c>
      <c r="C223" s="33" t="inlineStr">
        <is>
          <t>13/12/2017 18:03</t>
        </is>
      </c>
      <c r="D223" s="33" t="n">
        <v>1</v>
      </c>
      <c r="E223" s="33" t="n">
        <v>5</v>
      </c>
      <c r="F223" s="33" t="inlineStr">
        <is>
          <t>green</t>
        </is>
      </c>
      <c r="G223" s="33" t="n">
        <v>1</v>
      </c>
      <c r="H223" s="33" t="n">
        <v>651</v>
      </c>
      <c r="I223" s="33" t="inlineStr">
        <is>
          <t>us</t>
        </is>
      </c>
      <c r="J223" s="33" t="n">
        <v>0</v>
      </c>
      <c r="K223" s="33" t="n">
        <v>17.654</v>
      </c>
      <c r="L223" s="33" t="n">
        <v>23</v>
      </c>
      <c r="M223" s="33" t="inlineStr">
        <is>
          <t>mww</t>
        </is>
      </c>
      <c r="N223" s="33" t="n">
        <v>17</v>
      </c>
      <c r="O223" s="33" t="n">
        <v>-54.2189</v>
      </c>
      <c r="P223" s="33" t="n">
        <v>2.1628</v>
      </c>
      <c r="Q223" s="33" t="inlineStr">
        <is>
          <t>Bouvet Island region</t>
        </is>
      </c>
      <c r="T223" s="36">
        <f>DATE(MID(C223,7,4),MID(C223,4,2),MID(C223,1,2))+TIME(MID(C223,12,2),MID(C223,15,2),0)</f>
        <v/>
      </c>
      <c r="U223" s="33">
        <f>IF(ISNUMBER(VALUE(MID(A223,7,1))),"Distance-prefix pattern","Named-region pattern")</f>
        <v/>
      </c>
      <c r="V223" s="33">
        <f>LOWER(M223)</f>
        <v/>
      </c>
      <c r="W223" s="33">
        <f>IF(COUNTIFS($A$2:$A$1001,A223,$C$2:$C$1001,C223)&gt;1,"Duplicate","Unique")</f>
        <v/>
      </c>
      <c r="X223" s="33">
        <f>YEAR(T223)</f>
        <v/>
      </c>
      <c r="Y223" s="33">
        <f>IF(B223&lt;6.5,"&lt;6.5",IF(B223&lt;7,"6.5–6.9",IF(B223&lt;7.5,"7.0–7.4",IF(B223&lt;8,"7.5–7.9","8.0+"))))</f>
        <v/>
      </c>
      <c r="Z223" s="33">
        <f>IF(F223="","Blank",F223)</f>
        <v/>
      </c>
    </row>
    <row r="224" ht="15" customHeight="1" s="34">
      <c r="A224" s="33" t="inlineStr">
        <is>
          <t>M 7.0 - 85 km ENE of Tadine, New Caledonia</t>
        </is>
      </c>
      <c r="B224" s="33" t="n">
        <v>7</v>
      </c>
      <c r="C224" s="33" t="inlineStr">
        <is>
          <t>19/11/2017 22:43</t>
        </is>
      </c>
      <c r="D224" s="33" t="n">
        <v>4</v>
      </c>
      <c r="E224" s="33" t="n">
        <v>6</v>
      </c>
      <c r="F224" s="33" t="inlineStr">
        <is>
          <t>green</t>
        </is>
      </c>
      <c r="G224" s="33" t="n">
        <v>1</v>
      </c>
      <c r="H224" s="33" t="n">
        <v>771</v>
      </c>
      <c r="I224" s="33" t="inlineStr">
        <is>
          <t>us</t>
        </is>
      </c>
      <c r="J224" s="33" t="n">
        <v>0</v>
      </c>
      <c r="K224" s="33" t="n">
        <v>0.617</v>
      </c>
      <c r="L224" s="33" t="n">
        <v>14</v>
      </c>
      <c r="M224" s="33" t="inlineStr">
        <is>
          <t>mww</t>
        </is>
      </c>
      <c r="N224" s="33" t="n">
        <v>10</v>
      </c>
      <c r="O224" s="33" t="n">
        <v>-21.3246</v>
      </c>
      <c r="P224" s="33" t="n">
        <v>168.671</v>
      </c>
      <c r="Q224" s="33" t="inlineStr">
        <is>
          <t>Tadine, New Caledonia</t>
        </is>
      </c>
      <c r="T224" s="36">
        <f>DATE(MID(C224,7,4),MID(C224,4,2),MID(C224,1,2))+TIME(MID(C224,12,2),MID(C224,15,2),0)</f>
        <v/>
      </c>
      <c r="U224" s="33">
        <f>IF(ISNUMBER(VALUE(MID(A224,7,1))),"Distance-prefix pattern","Named-region pattern")</f>
        <v/>
      </c>
      <c r="V224" s="33">
        <f>LOWER(M224)</f>
        <v/>
      </c>
      <c r="W224" s="33">
        <f>IF(COUNTIFS($A$2:$A$1001,A224,$C$2:$C$1001,C224)&gt;1,"Duplicate","Unique")</f>
        <v/>
      </c>
      <c r="X224" s="33">
        <f>YEAR(T224)</f>
        <v/>
      </c>
      <c r="Y224" s="33">
        <f>IF(B224&lt;6.5,"&lt;6.5",IF(B224&lt;7,"6.5–6.9",IF(B224&lt;7.5,"7.0–7.4",IF(B224&lt;8,"7.5–7.9","8.0+"))))</f>
        <v/>
      </c>
      <c r="Z224" s="33">
        <f>IF(F224="","Blank",F224)</f>
        <v/>
      </c>
    </row>
    <row r="225" ht="15" customHeight="1" s="34">
      <c r="A225" s="33" t="inlineStr">
        <is>
          <t>M 6.6 - 74 km E of Tadine, New Caledonia</t>
        </is>
      </c>
      <c r="B225" s="33" t="n">
        <v>6.6</v>
      </c>
      <c r="C225" s="33" t="inlineStr">
        <is>
          <t>19/11/2017 15:09</t>
        </is>
      </c>
      <c r="D225" s="33" t="n">
        <v>4</v>
      </c>
      <c r="E225" s="33" t="n">
        <v>5</v>
      </c>
      <c r="F225" s="33" t="inlineStr">
        <is>
          <t>green</t>
        </is>
      </c>
      <c r="G225" s="33" t="n">
        <v>1</v>
      </c>
      <c r="H225" s="33" t="n">
        <v>676</v>
      </c>
      <c r="I225" s="33" t="inlineStr">
        <is>
          <t>us</t>
        </is>
      </c>
      <c r="J225" s="33" t="n">
        <v>0</v>
      </c>
      <c r="K225" s="33" t="n">
        <v>0.529</v>
      </c>
      <c r="L225" s="33" t="n">
        <v>21</v>
      </c>
      <c r="M225" s="33" t="inlineStr">
        <is>
          <t>mww</t>
        </is>
      </c>
      <c r="N225" s="33" t="n">
        <v>13</v>
      </c>
      <c r="O225" s="33" t="n">
        <v>-21.5027</v>
      </c>
      <c r="P225" s="33" t="n">
        <v>168.598</v>
      </c>
      <c r="Q225" s="33" t="inlineStr">
        <is>
          <t>Tadine, New Caledonia</t>
        </is>
      </c>
      <c r="T225" s="36">
        <f>DATE(MID(C225,7,4),MID(C225,4,2),MID(C225,1,2))+TIME(MID(C225,12,2),MID(C225,15,2),0)</f>
        <v/>
      </c>
      <c r="U225" s="33">
        <f>IF(ISNUMBER(VALUE(MID(A225,7,1))),"Distance-prefix pattern","Named-region pattern")</f>
        <v/>
      </c>
      <c r="V225" s="33">
        <f>LOWER(M225)</f>
        <v/>
      </c>
      <c r="W225" s="33">
        <f>IF(COUNTIFS($A$2:$A$1001,A225,$C$2:$C$1001,C225)&gt;1,"Duplicate","Unique")</f>
        <v/>
      </c>
      <c r="X225" s="33">
        <f>YEAR(T225)</f>
        <v/>
      </c>
      <c r="Y225" s="33">
        <f>IF(B225&lt;6.5,"&lt;6.5",IF(B225&lt;7,"6.5–6.9",IF(B225&lt;7.5,"7.0–7.4",IF(B225&lt;8,"7.5–7.9","8.0+"))))</f>
        <v/>
      </c>
      <c r="Z225" s="33">
        <f>IF(F225="","Blank",F225)</f>
        <v/>
      </c>
    </row>
    <row r="226" ht="15" customHeight="1" s="34">
      <c r="A226" s="33" t="inlineStr">
        <is>
          <t>M 6.5 - 18 km W of Parrita, Costa Rica</t>
        </is>
      </c>
      <c r="B226" s="33" t="n">
        <v>6.5</v>
      </c>
      <c r="C226" s="33" t="inlineStr">
        <is>
          <t>13/11/2017 02:28</t>
        </is>
      </c>
      <c r="D226" s="33" t="n">
        <v>8</v>
      </c>
      <c r="E226" s="33" t="n">
        <v>8</v>
      </c>
      <c r="F226" s="33" t="inlineStr">
        <is>
          <t>yellow</t>
        </is>
      </c>
      <c r="G226" s="33" t="n">
        <v>1</v>
      </c>
      <c r="H226" s="33" t="n">
        <v>1153</v>
      </c>
      <c r="I226" s="33" t="inlineStr">
        <is>
          <t>us</t>
        </is>
      </c>
      <c r="J226" s="33" t="n">
        <v>0</v>
      </c>
      <c r="K226" s="33" t="n">
        <v>0.225</v>
      </c>
      <c r="L226" s="33" t="n">
        <v>37</v>
      </c>
      <c r="M226" s="33" t="inlineStr">
        <is>
          <t>mww</t>
        </is>
      </c>
      <c r="N226" s="33" t="n">
        <v>19.36</v>
      </c>
      <c r="O226" s="33" t="n">
        <v>9.514699999999999</v>
      </c>
      <c r="P226" s="33" t="n">
        <v>-84.48650000000001</v>
      </c>
      <c r="Q226" s="33" t="inlineStr">
        <is>
          <t>Parrita, Costa Rica</t>
        </is>
      </c>
      <c r="S226" s="33" t="inlineStr">
        <is>
          <t>Costa Rica</t>
        </is>
      </c>
      <c r="T226" s="36">
        <f>DATE(MID(C226,7,4),MID(C226,4,2),MID(C226,1,2))+TIME(MID(C226,12,2),MID(C226,15,2),0)</f>
        <v/>
      </c>
      <c r="U226" s="33">
        <f>IF(ISNUMBER(VALUE(MID(A226,7,1))),"Distance-prefix pattern","Named-region pattern")</f>
        <v/>
      </c>
      <c r="V226" s="33">
        <f>LOWER(M226)</f>
        <v/>
      </c>
      <c r="W226" s="33">
        <f>IF(COUNTIFS($A$2:$A$1001,A226,$C$2:$C$1001,C226)&gt;1,"Duplicate","Unique")</f>
        <v/>
      </c>
      <c r="X226" s="33">
        <f>YEAR(T226)</f>
        <v/>
      </c>
      <c r="Y226" s="33">
        <f>IF(B226&lt;6.5,"&lt;6.5",IF(B226&lt;7,"6.5–6.9",IF(B226&lt;7.5,"7.0–7.4",IF(B226&lt;8,"7.5–7.9","8.0+"))))</f>
        <v/>
      </c>
      <c r="Z226" s="33">
        <f>IF(F226="","Blank",F226)</f>
        <v/>
      </c>
    </row>
    <row r="227" ht="15" customHeight="1" s="34">
      <c r="A227" s="33" t="inlineStr">
        <is>
          <t>M 7.3 - 29 km S of ?alabja, Iraq</t>
        </is>
      </c>
      <c r="B227" s="33" t="n">
        <v>7.3</v>
      </c>
      <c r="C227" s="33" t="inlineStr">
        <is>
          <t>12/11/2017 18:18</t>
        </is>
      </c>
      <c r="D227" s="33" t="n">
        <v>8</v>
      </c>
      <c r="E227" s="33" t="n">
        <v>9</v>
      </c>
      <c r="F227" s="33" t="inlineStr">
        <is>
          <t>red</t>
        </is>
      </c>
      <c r="G227" s="33" t="n">
        <v>0</v>
      </c>
      <c r="H227" s="33" t="n">
        <v>2790</v>
      </c>
      <c r="I227" s="33" t="inlineStr">
        <is>
          <t>us</t>
        </is>
      </c>
      <c r="J227" s="33" t="n">
        <v>0</v>
      </c>
      <c r="K227" s="33" t="n">
        <v>0.284</v>
      </c>
      <c r="L227" s="33" t="n">
        <v>33</v>
      </c>
      <c r="M227" s="33" t="inlineStr">
        <is>
          <t>mww</t>
        </is>
      </c>
      <c r="N227" s="33" t="n">
        <v>19</v>
      </c>
      <c r="O227" s="33" t="n">
        <v>34.9109</v>
      </c>
      <c r="P227" s="33" t="n">
        <v>45.9592</v>
      </c>
      <c r="Q227" s="33" t="inlineStr">
        <is>
          <t>?alabja, Iraq</t>
        </is>
      </c>
      <c r="R227" s="33" t="inlineStr">
        <is>
          <t>Asia</t>
        </is>
      </c>
      <c r="S227" s="33" t="inlineStr">
        <is>
          <t>Iran</t>
        </is>
      </c>
      <c r="T227" s="36">
        <f>DATE(MID(C227,7,4),MID(C227,4,2),MID(C227,1,2))+TIME(MID(C227,12,2),MID(C227,15,2),0)</f>
        <v/>
      </c>
      <c r="U227" s="33">
        <f>IF(ISNUMBER(VALUE(MID(A227,7,1))),"Distance-prefix pattern","Named-region pattern")</f>
        <v/>
      </c>
      <c r="V227" s="33">
        <f>LOWER(M227)</f>
        <v/>
      </c>
      <c r="W227" s="33">
        <f>IF(COUNTIFS($A$2:$A$1001,A227,$C$2:$C$1001,C227)&gt;1,"Duplicate","Unique")</f>
        <v/>
      </c>
      <c r="X227" s="33">
        <f>YEAR(T227)</f>
        <v/>
      </c>
      <c r="Y227" s="33">
        <f>IF(B227&lt;6.5,"&lt;6.5",IF(B227&lt;7,"6.5–6.9",IF(B227&lt;7.5,"7.0–7.4",IF(B227&lt;8,"7.5–7.9","8.0+"))))</f>
        <v/>
      </c>
      <c r="Z227" s="33">
        <f>IF(F227="","Blank",F227)</f>
        <v/>
      </c>
    </row>
    <row r="228" ht="15" customHeight="1" s="34">
      <c r="A228" s="33" t="inlineStr">
        <is>
          <t>M 6.5 - 67 km WSW of Angoram, Papua New Guinea</t>
        </is>
      </c>
      <c r="B228" s="33" t="n">
        <v>6.5</v>
      </c>
      <c r="C228" s="33" t="inlineStr">
        <is>
          <t>07/11/2017 21:26</t>
        </is>
      </c>
      <c r="D228" s="33" t="n">
        <v>6</v>
      </c>
      <c r="E228" s="33" t="n">
        <v>5</v>
      </c>
      <c r="F228" s="33" t="inlineStr">
        <is>
          <t>green</t>
        </is>
      </c>
      <c r="G228" s="33" t="n">
        <v>1</v>
      </c>
      <c r="H228" s="33" t="n">
        <v>661</v>
      </c>
      <c r="I228" s="33" t="inlineStr">
        <is>
          <t>us</t>
        </is>
      </c>
      <c r="J228" s="33" t="n">
        <v>0</v>
      </c>
      <c r="K228" s="33" t="n">
        <v>4.449</v>
      </c>
      <c r="L228" s="33" t="n">
        <v>10</v>
      </c>
      <c r="M228" s="33" t="inlineStr">
        <is>
          <t>mww</t>
        </is>
      </c>
      <c r="N228" s="33" t="n">
        <v>110.57</v>
      </c>
      <c r="O228" s="33" t="n">
        <v>-4.2433</v>
      </c>
      <c r="P228" s="33" t="n">
        <v>143.485</v>
      </c>
      <c r="Q228" s="33" t="inlineStr">
        <is>
          <t>Angoram, Papua New Guinea</t>
        </is>
      </c>
      <c r="S228" s="33" t="inlineStr">
        <is>
          <t>Papua New Guinea</t>
        </is>
      </c>
      <c r="T228" s="36">
        <f>DATE(MID(C228,7,4),MID(C228,4,2),MID(C228,1,2))+TIME(MID(C228,12,2),MID(C228,15,2),0)</f>
        <v/>
      </c>
      <c r="U228" s="33">
        <f>IF(ISNUMBER(VALUE(MID(A228,7,1))),"Distance-prefix pattern","Named-region pattern")</f>
        <v/>
      </c>
      <c r="V228" s="33">
        <f>LOWER(M228)</f>
        <v/>
      </c>
      <c r="W228" s="33">
        <f>IF(COUNTIFS($A$2:$A$1001,A228,$C$2:$C$1001,C228)&gt;1,"Duplicate","Unique")</f>
        <v/>
      </c>
      <c r="X228" s="33">
        <f>YEAR(T228)</f>
        <v/>
      </c>
      <c r="Y228" s="33">
        <f>IF(B228&lt;6.5,"&lt;6.5",IF(B228&lt;7,"6.5–6.9",IF(B228&lt;7.5,"7.0–7.4",IF(B228&lt;8,"7.5–7.9","8.0+"))))</f>
        <v/>
      </c>
      <c r="Z228" s="33">
        <f>IF(F228="","Blank",F228)</f>
        <v/>
      </c>
    </row>
    <row r="229" ht="15" customHeight="1" s="34">
      <c r="A229" s="33" t="inlineStr">
        <is>
          <t>M 6.8 - 97 km NE of Hihifo, Tonga</t>
        </is>
      </c>
      <c r="B229" s="33" t="n">
        <v>6.8</v>
      </c>
      <c r="C229" s="33" t="inlineStr">
        <is>
          <t>04/11/2017 09:00</t>
        </is>
      </c>
      <c r="D229" s="33" t="n">
        <v>5</v>
      </c>
      <c r="E229" s="33" t="n">
        <v>5</v>
      </c>
      <c r="F229" s="33" t="inlineStr">
        <is>
          <t>green</t>
        </is>
      </c>
      <c r="G229" s="33" t="n">
        <v>1</v>
      </c>
      <c r="H229" s="33" t="n">
        <v>727</v>
      </c>
      <c r="I229" s="33" t="inlineStr">
        <is>
          <t>us</t>
        </is>
      </c>
      <c r="J229" s="33" t="n">
        <v>0</v>
      </c>
      <c r="K229" s="33" t="n">
        <v>4.852</v>
      </c>
      <c r="L229" s="33" t="n">
        <v>21</v>
      </c>
      <c r="M229" s="33" t="inlineStr">
        <is>
          <t>mww</t>
        </is>
      </c>
      <c r="N229" s="33" t="n">
        <v>10</v>
      </c>
      <c r="O229" s="33" t="n">
        <v>-15.3197</v>
      </c>
      <c r="P229" s="33" t="n">
        <v>-173.168</v>
      </c>
      <c r="Q229" s="33" t="inlineStr">
        <is>
          <t>Hihifo, Tonga</t>
        </is>
      </c>
      <c r="T229" s="36">
        <f>DATE(MID(C229,7,4),MID(C229,4,2),MID(C229,1,2))+TIME(MID(C229,12,2),MID(C229,15,2),0)</f>
        <v/>
      </c>
      <c r="U229" s="33">
        <f>IF(ISNUMBER(VALUE(MID(A229,7,1))),"Distance-prefix pattern","Named-region pattern")</f>
        <v/>
      </c>
      <c r="V229" s="33">
        <f>LOWER(M229)</f>
        <v/>
      </c>
      <c r="W229" s="33">
        <f>IF(COUNTIFS($A$2:$A$1001,A229,$C$2:$C$1001,C229)&gt;1,"Duplicate","Unique")</f>
        <v/>
      </c>
      <c r="X229" s="33">
        <f>YEAR(T229)</f>
        <v/>
      </c>
      <c r="Y229" s="33">
        <f>IF(B229&lt;6.5,"&lt;6.5",IF(B229&lt;7,"6.5–6.9",IF(B229&lt;7.5,"7.0–7.4",IF(B229&lt;8,"7.5–7.9","8.0+"))))</f>
        <v/>
      </c>
      <c r="Z229" s="33">
        <f>IF(F229="","Blank",F229)</f>
        <v/>
      </c>
    </row>
    <row r="230" ht="15" customHeight="1" s="34">
      <c r="A230" s="33" t="inlineStr">
        <is>
          <t>M 6.6 - 101 km E of Tadine, New Caledonia</t>
        </is>
      </c>
      <c r="B230" s="33" t="n">
        <v>6.6</v>
      </c>
      <c r="C230" s="33" t="inlineStr">
        <is>
          <t>01/11/2017 02:23</t>
        </is>
      </c>
      <c r="D230" s="33" t="n">
        <v>3</v>
      </c>
      <c r="E230" s="33" t="n">
        <v>5</v>
      </c>
      <c r="F230" s="33" t="inlineStr">
        <is>
          <t>green</t>
        </is>
      </c>
      <c r="G230" s="33" t="n">
        <v>1</v>
      </c>
      <c r="H230" s="33" t="n">
        <v>674</v>
      </c>
      <c r="I230" s="33" t="inlineStr">
        <is>
          <t>us</t>
        </is>
      </c>
      <c r="J230" s="33" t="n">
        <v>0</v>
      </c>
      <c r="K230" s="33" t="n">
        <v>0.788</v>
      </c>
      <c r="L230" s="33" t="n">
        <v>29</v>
      </c>
      <c r="M230" s="33" t="inlineStr">
        <is>
          <t>mww</t>
        </is>
      </c>
      <c r="N230" s="33" t="n">
        <v>22</v>
      </c>
      <c r="O230" s="33" t="n">
        <v>-21.6484</v>
      </c>
      <c r="P230" s="33" t="n">
        <v>168.859</v>
      </c>
      <c r="Q230" s="33" t="inlineStr">
        <is>
          <t>Tadine, New Caledonia</t>
        </is>
      </c>
      <c r="T230" s="36">
        <f>DATE(MID(C230,7,4),MID(C230,4,2),MID(C230,1,2))+TIME(MID(C230,12,2),MID(C230,15,2),0)</f>
        <v/>
      </c>
      <c r="U230" s="33">
        <f>IF(ISNUMBER(VALUE(MID(A230,7,1))),"Distance-prefix pattern","Named-region pattern")</f>
        <v/>
      </c>
      <c r="V230" s="33">
        <f>LOWER(M230)</f>
        <v/>
      </c>
      <c r="W230" s="33">
        <f>IF(COUNTIFS($A$2:$A$1001,A230,$C$2:$C$1001,C230)&gt;1,"Duplicate","Unique")</f>
        <v/>
      </c>
      <c r="X230" s="33">
        <f>YEAR(T230)</f>
        <v/>
      </c>
      <c r="Y230" s="33">
        <f>IF(B230&lt;6.5,"&lt;6.5",IF(B230&lt;7,"6.5–6.9",IF(B230&lt;7.5,"7.0–7.4",IF(B230&lt;8,"7.5–7.9","8.0+"))))</f>
        <v/>
      </c>
      <c r="Z230" s="33">
        <f>IF(F230="","Blank",F230)</f>
        <v/>
      </c>
    </row>
    <row r="231" ht="15" customHeight="1" s="34">
      <c r="A231" s="33" t="inlineStr">
        <is>
          <t>M 6.7 - 132 km E of Tadine, New Caledonia</t>
        </is>
      </c>
      <c r="B231" s="33" t="n">
        <v>6.7</v>
      </c>
      <c r="C231" s="33" t="inlineStr">
        <is>
          <t>31/10/2017 00:42</t>
        </is>
      </c>
      <c r="D231" s="33" t="n">
        <v>3</v>
      </c>
      <c r="E231" s="33" t="n">
        <v>4</v>
      </c>
      <c r="F231" s="33" t="inlineStr">
        <is>
          <t>green</t>
        </is>
      </c>
      <c r="G231" s="33" t="n">
        <v>1</v>
      </c>
      <c r="H231" s="33" t="n">
        <v>691</v>
      </c>
      <c r="I231" s="33" t="inlineStr">
        <is>
          <t>us</t>
        </is>
      </c>
      <c r="J231" s="33" t="n">
        <v>0</v>
      </c>
      <c r="K231" s="33" t="n">
        <v>1.062</v>
      </c>
      <c r="L231" s="33" t="n">
        <v>55</v>
      </c>
      <c r="M231" s="33" t="inlineStr">
        <is>
          <t>mww</t>
        </is>
      </c>
      <c r="N231" s="33" t="n">
        <v>24</v>
      </c>
      <c r="O231" s="33" t="n">
        <v>-21.6971</v>
      </c>
      <c r="P231" s="33" t="n">
        <v>169.148</v>
      </c>
      <c r="Q231" s="33" t="inlineStr">
        <is>
          <t>Tadine, New Caledonia</t>
        </is>
      </c>
      <c r="T231" s="36">
        <f>DATE(MID(C231,7,4),MID(C231,4,2),MID(C231,1,2))+TIME(MID(C231,12,2),MID(C231,15,2),0)</f>
        <v/>
      </c>
      <c r="U231" s="33">
        <f>IF(ISNUMBER(VALUE(MID(A231,7,1))),"Distance-prefix pattern","Named-region pattern")</f>
        <v/>
      </c>
      <c r="V231" s="33">
        <f>LOWER(M231)</f>
        <v/>
      </c>
      <c r="W231" s="33">
        <f>IF(COUNTIFS($A$2:$A$1001,A231,$C$2:$C$1001,C231)&gt;1,"Duplicate","Unique")</f>
        <v/>
      </c>
      <c r="X231" s="33">
        <f>YEAR(T231)</f>
        <v/>
      </c>
      <c r="Y231" s="33">
        <f>IF(B231&lt;6.5,"&lt;6.5",IF(B231&lt;7,"6.5–6.9",IF(B231&lt;7.5,"7.0–7.4",IF(B231&lt;8,"7.5–7.9","8.0+"))))</f>
        <v/>
      </c>
      <c r="Z231" s="33">
        <f>IF(F231="","Blank",F231)</f>
        <v/>
      </c>
    </row>
    <row r="232" ht="15" customHeight="1" s="34">
      <c r="A232" s="33" t="inlineStr">
        <is>
          <t>M 6.7 - 181 km NNE of Maumere, Indonesia</t>
        </is>
      </c>
      <c r="B232" s="33" t="n">
        <v>6.7</v>
      </c>
      <c r="C232" s="33" t="inlineStr">
        <is>
          <t>24/10/2017 10:47</t>
        </is>
      </c>
      <c r="D232" s="33" t="n">
        <v>3</v>
      </c>
      <c r="E232" s="33" t="n">
        <v>3</v>
      </c>
      <c r="F232" s="33" t="inlineStr">
        <is>
          <t>green</t>
        </is>
      </c>
      <c r="G232" s="33" t="n">
        <v>0</v>
      </c>
      <c r="H232" s="33" t="n">
        <v>694</v>
      </c>
      <c r="I232" s="33" t="inlineStr">
        <is>
          <t>us</t>
        </is>
      </c>
      <c r="J232" s="33" t="n">
        <v>0</v>
      </c>
      <c r="K232" s="33" t="n">
        <v>1.634</v>
      </c>
      <c r="L232" s="33" t="n">
        <v>16</v>
      </c>
      <c r="M232" s="33" t="inlineStr">
        <is>
          <t>mww</t>
        </is>
      </c>
      <c r="N232" s="33" t="n">
        <v>553.8099999999999</v>
      </c>
      <c r="O232" s="33" t="n">
        <v>-7.2168</v>
      </c>
      <c r="P232" s="33" t="n">
        <v>123.074</v>
      </c>
      <c r="Q232" s="33" t="inlineStr">
        <is>
          <t>Maumere, Indonesia</t>
        </is>
      </c>
      <c r="S232" s="33" t="inlineStr">
        <is>
          <t>Indonesia</t>
        </is>
      </c>
      <c r="T232" s="36">
        <f>DATE(MID(C232,7,4),MID(C232,4,2),MID(C232,1,2))+TIME(MID(C232,12,2),MID(C232,15,2),0)</f>
        <v/>
      </c>
      <c r="U232" s="33">
        <f>IF(ISNUMBER(VALUE(MID(A232,7,1))),"Distance-prefix pattern","Named-region pattern")</f>
        <v/>
      </c>
      <c r="V232" s="33">
        <f>LOWER(M232)</f>
        <v/>
      </c>
      <c r="W232" s="33">
        <f>IF(COUNTIFS($A$2:$A$1001,A232,$C$2:$C$1001,C232)&gt;1,"Duplicate","Unique")</f>
        <v/>
      </c>
      <c r="X232" s="33">
        <f>YEAR(T232)</f>
        <v/>
      </c>
      <c r="Y232" s="33">
        <f>IF(B232&lt;6.5,"&lt;6.5",IF(B232&lt;7,"6.5–6.9",IF(B232&lt;7.5,"7.0–7.4",IF(B232&lt;8,"7.5–7.9","8.0+"))))</f>
        <v/>
      </c>
      <c r="Z232" s="33">
        <f>IF(F232="","Blank",F232)</f>
        <v/>
      </c>
    </row>
    <row r="233" ht="15" customHeight="1" s="34">
      <c r="A233" s="33" t="inlineStr">
        <is>
          <t>M 6.5 - 247 km ESE of Attu Station, Alaska</t>
        </is>
      </c>
      <c r="B233" s="33" t="n">
        <v>6.5</v>
      </c>
      <c r="C233" s="33" t="inlineStr">
        <is>
          <t>08/10/2017 22:34</t>
        </is>
      </c>
      <c r="D233" s="33" t="n">
        <v>3</v>
      </c>
      <c r="E233" s="33" t="n">
        <v>5</v>
      </c>
      <c r="F233" s="33" t="inlineStr">
        <is>
          <t>green</t>
        </is>
      </c>
      <c r="G233" s="33" t="n">
        <v>1</v>
      </c>
      <c r="H233" s="33" t="n">
        <v>651</v>
      </c>
      <c r="I233" s="33" t="inlineStr">
        <is>
          <t>us</t>
        </is>
      </c>
      <c r="J233" s="33" t="n">
        <v>0</v>
      </c>
      <c r="K233" s="33" t="n">
        <v>1.154</v>
      </c>
      <c r="L233" s="33" t="n">
        <v>11</v>
      </c>
      <c r="M233" s="33" t="inlineStr">
        <is>
          <t>mww</t>
        </is>
      </c>
      <c r="N233" s="33" t="n">
        <v>119</v>
      </c>
      <c r="O233" s="33" t="n">
        <v>52.3909</v>
      </c>
      <c r="P233" s="33" t="n">
        <v>176.769</v>
      </c>
      <c r="Q233" s="33" t="inlineStr">
        <is>
          <t>Attu Station, Alaska</t>
        </is>
      </c>
      <c r="R233" s="33" t="inlineStr">
        <is>
          <t>North America</t>
        </is>
      </c>
      <c r="T233" s="36">
        <f>DATE(MID(C233,7,4),MID(C233,4,2),MID(C233,1,2))+TIME(MID(C233,12,2),MID(C233,15,2),0)</f>
        <v/>
      </c>
      <c r="U233" s="33">
        <f>IF(ISNUMBER(VALUE(MID(A233,7,1))),"Distance-prefix pattern","Named-region pattern")</f>
        <v/>
      </c>
      <c r="V233" s="33">
        <f>LOWER(M233)</f>
        <v/>
      </c>
      <c r="W233" s="33">
        <f>IF(COUNTIFS($A$2:$A$1001,A233,$C$2:$C$1001,C233)&gt;1,"Duplicate","Unique")</f>
        <v/>
      </c>
      <c r="X233" s="33">
        <f>YEAR(T233)</f>
        <v/>
      </c>
      <c r="Y233" s="33">
        <f>IF(B233&lt;6.5,"&lt;6.5",IF(B233&lt;7,"6.5–6.9",IF(B233&lt;7.5,"7.0–7.4",IF(B233&lt;8,"7.5–7.9","8.0+"))))</f>
        <v/>
      </c>
      <c r="Z233" s="33">
        <f>IF(F233="","Blank",F233)</f>
        <v/>
      </c>
    </row>
    <row r="234" ht="15" customHeight="1" s="34">
      <c r="A234" s="33" t="inlineStr">
        <is>
          <t>M 7.1 - 1 km S of Matzaco, Mexico</t>
        </is>
      </c>
      <c r="B234" s="33" t="n">
        <v>7.1</v>
      </c>
      <c r="C234" s="33" t="inlineStr">
        <is>
          <t>19/09/2017 18:14</t>
        </is>
      </c>
      <c r="D234" s="33" t="n">
        <v>9</v>
      </c>
      <c r="E234" s="33" t="n">
        <v>8</v>
      </c>
      <c r="G234" s="33" t="n">
        <v>0</v>
      </c>
      <c r="H234" s="33" t="n">
        <v>1686</v>
      </c>
      <c r="I234" s="33" t="inlineStr">
        <is>
          <t>us</t>
        </is>
      </c>
      <c r="J234" s="33" t="n">
        <v>0</v>
      </c>
      <c r="K234" s="33" t="n">
        <v>0.984</v>
      </c>
      <c r="L234" s="33" t="n">
        <v>23</v>
      </c>
      <c r="M234" s="33" t="inlineStr">
        <is>
          <t>mww</t>
        </is>
      </c>
      <c r="N234" s="33" t="n">
        <v>48</v>
      </c>
      <c r="O234" s="33" t="n">
        <v>18.5499</v>
      </c>
      <c r="P234" s="33" t="n">
        <v>-98.48869999999999</v>
      </c>
      <c r="Q234" s="33" t="inlineStr">
        <is>
          <t>Matzaco, Mexico</t>
        </is>
      </c>
      <c r="R234" s="33" t="inlineStr">
        <is>
          <t>North America</t>
        </is>
      </c>
      <c r="S234" s="33" t="inlineStr">
        <is>
          <t>Mexico</t>
        </is>
      </c>
      <c r="T234" s="36">
        <f>DATE(MID(C234,7,4),MID(C234,4,2),MID(C234,1,2))+TIME(MID(C234,12,2),MID(C234,15,2),0)</f>
        <v/>
      </c>
      <c r="U234" s="33">
        <f>IF(ISNUMBER(VALUE(MID(A234,7,1))),"Distance-prefix pattern","Named-region pattern")</f>
        <v/>
      </c>
      <c r="V234" s="33">
        <f>LOWER(M234)</f>
        <v/>
      </c>
      <c r="W234" s="33">
        <f>IF(COUNTIFS($A$2:$A$1001,A234,$C$2:$C$1001,C234)&gt;1,"Duplicate","Unique")</f>
        <v/>
      </c>
      <c r="X234" s="33">
        <f>YEAR(T234)</f>
        <v/>
      </c>
      <c r="Y234" s="33">
        <f>IF(B234&lt;6.5,"&lt;6.5",IF(B234&lt;7,"6.5–6.9",IF(B234&lt;7.5,"7.0–7.4",IF(B234&lt;8,"7.5–7.9","8.0+"))))</f>
        <v/>
      </c>
      <c r="Z234" s="33">
        <f>IF(F234="","Blank",F234)</f>
        <v/>
      </c>
    </row>
    <row r="235" ht="15" customHeight="1" s="34">
      <c r="A235" s="33" t="inlineStr">
        <is>
          <t>M 8.2 - near the coast of Chiapas, Mexico</t>
        </is>
      </c>
      <c r="B235" s="33" t="n">
        <v>8.199999999999999</v>
      </c>
      <c r="C235" s="33" t="inlineStr">
        <is>
          <t>08/09/2017 04:49</t>
        </is>
      </c>
      <c r="D235" s="33" t="n">
        <v>9</v>
      </c>
      <c r="E235" s="33" t="n">
        <v>7</v>
      </c>
      <c r="F235" s="33" t="inlineStr">
        <is>
          <t>red</t>
        </is>
      </c>
      <c r="G235" s="33" t="n">
        <v>1</v>
      </c>
      <c r="H235" s="33" t="n">
        <v>2910</v>
      </c>
      <c r="I235" s="33" t="inlineStr">
        <is>
          <t>us</t>
        </is>
      </c>
      <c r="J235" s="33" t="n">
        <v>0</v>
      </c>
      <c r="K235" s="33" t="n">
        <v>0.944</v>
      </c>
      <c r="L235" s="33" t="n">
        <v>22</v>
      </c>
      <c r="M235" s="33" t="inlineStr">
        <is>
          <t>mww</t>
        </is>
      </c>
      <c r="N235" s="33" t="n">
        <v>47.39</v>
      </c>
      <c r="O235" s="33" t="n">
        <v>15.0222</v>
      </c>
      <c r="P235" s="33" t="n">
        <v>-93.8993</v>
      </c>
      <c r="Q235" s="33" t="inlineStr">
        <is>
          <t>Chiapas, Mexico</t>
        </is>
      </c>
      <c r="T235" s="36">
        <f>DATE(MID(C235,7,4),MID(C235,4,2),MID(C235,1,2))+TIME(MID(C235,12,2),MID(C235,15,2),0)</f>
        <v/>
      </c>
      <c r="U235" s="33">
        <f>IF(ISNUMBER(VALUE(MID(A235,7,1))),"Distance-prefix pattern","Named-region pattern")</f>
        <v/>
      </c>
      <c r="V235" s="33">
        <f>LOWER(M235)</f>
        <v/>
      </c>
      <c r="W235" s="33">
        <f>IF(COUNTIFS($A$2:$A$1001,A235,$C$2:$C$1001,C235)&gt;1,"Duplicate","Unique")</f>
        <v/>
      </c>
      <c r="X235" s="33">
        <f>YEAR(T235)</f>
        <v/>
      </c>
      <c r="Y235" s="33">
        <f>IF(B235&lt;6.5,"&lt;6.5",IF(B235&lt;7,"6.5–6.9",IF(B235&lt;7.5,"7.0–7.4",IF(B235&lt;8,"7.5–7.9","8.0+"))))</f>
        <v/>
      </c>
      <c r="Z235" s="33">
        <f>IF(F235="","Blank",F235)</f>
        <v/>
      </c>
    </row>
    <row r="236" ht="15" customHeight="1" s="34">
      <c r="A236" s="33" t="inlineStr">
        <is>
          <t>M 6.5 - 168 km SW of Mawu, China</t>
        </is>
      </c>
      <c r="B236" s="33" t="n">
        <v>6.5</v>
      </c>
      <c r="C236" s="33" t="inlineStr">
        <is>
          <t>08/08/2017 13:19</t>
        </is>
      </c>
      <c r="D236" s="33" t="n">
        <v>5</v>
      </c>
      <c r="E236" s="33" t="n">
        <v>7</v>
      </c>
      <c r="F236" s="33" t="inlineStr">
        <is>
          <t>yellow</t>
        </is>
      </c>
      <c r="G236" s="33" t="n">
        <v>0</v>
      </c>
      <c r="H236" s="33" t="n">
        <v>707</v>
      </c>
      <c r="I236" s="33" t="inlineStr">
        <is>
          <t>us</t>
        </is>
      </c>
      <c r="J236" s="33" t="n">
        <v>0</v>
      </c>
      <c r="K236" s="33" t="n">
        <v>11.411</v>
      </c>
      <c r="L236" s="33" t="n">
        <v>22</v>
      </c>
      <c r="M236" s="33" t="inlineStr">
        <is>
          <t>mww</t>
        </is>
      </c>
      <c r="N236" s="33" t="n">
        <v>9</v>
      </c>
      <c r="O236" s="33" t="n">
        <v>33.1926</v>
      </c>
      <c r="P236" s="33" t="n">
        <v>103.855</v>
      </c>
      <c r="Q236" s="33" t="inlineStr">
        <is>
          <t>Mawu, China</t>
        </is>
      </c>
      <c r="R236" s="33" t="inlineStr">
        <is>
          <t>Asia</t>
        </is>
      </c>
      <c r="S236" s="33" t="inlineStr">
        <is>
          <t>People's Republic of China</t>
        </is>
      </c>
      <c r="T236" s="36">
        <f>DATE(MID(C236,7,4),MID(C236,4,2),MID(C236,1,2))+TIME(MID(C236,12,2),MID(C236,15,2),0)</f>
        <v/>
      </c>
      <c r="U236" s="33">
        <f>IF(ISNUMBER(VALUE(MID(A236,7,1))),"Distance-prefix pattern","Named-region pattern")</f>
        <v/>
      </c>
      <c r="V236" s="33">
        <f>LOWER(M236)</f>
        <v/>
      </c>
      <c r="W236" s="33">
        <f>IF(COUNTIFS($A$2:$A$1001,A236,$C$2:$C$1001,C236)&gt;1,"Duplicate","Unique")</f>
        <v/>
      </c>
      <c r="X236" s="33">
        <f>YEAR(T236)</f>
        <v/>
      </c>
      <c r="Y236" s="33">
        <f>IF(B236&lt;6.5,"&lt;6.5",IF(B236&lt;7,"6.5–6.9",IF(B236&lt;7.5,"7.0–7.4",IF(B236&lt;8,"7.5–7.9","8.0+"))))</f>
        <v/>
      </c>
      <c r="Z236" s="33">
        <f>IF(F236="","Blank",F236)</f>
        <v/>
      </c>
    </row>
    <row r="237" ht="15" customHeight="1" s="34">
      <c r="A237" s="33" t="inlineStr">
        <is>
          <t>M 6.6 - 11 km ENE of Kos, Greece</t>
        </is>
      </c>
      <c r="B237" s="33" t="n">
        <v>6.6</v>
      </c>
      <c r="C237" s="33" t="inlineStr">
        <is>
          <t>20/07/2017 22:31</t>
        </is>
      </c>
      <c r="D237" s="33" t="n">
        <v>7</v>
      </c>
      <c r="E237" s="33" t="n">
        <v>7</v>
      </c>
      <c r="F237" s="33" t="inlineStr">
        <is>
          <t>yellow</t>
        </is>
      </c>
      <c r="G237" s="33" t="n">
        <v>0</v>
      </c>
      <c r="H237" s="33" t="n">
        <v>1064</v>
      </c>
      <c r="I237" s="33" t="inlineStr">
        <is>
          <t>us</t>
        </is>
      </c>
      <c r="J237" s="33" t="n">
        <v>0</v>
      </c>
      <c r="K237" s="33" t="n">
        <v>0.913</v>
      </c>
      <c r="L237" s="33" t="n">
        <v>16</v>
      </c>
      <c r="M237" s="33" t="inlineStr">
        <is>
          <t>mww</t>
        </is>
      </c>
      <c r="N237" s="33" t="n">
        <v>7</v>
      </c>
      <c r="O237" s="33" t="n">
        <v>36.9293</v>
      </c>
      <c r="P237" s="33" t="n">
        <v>27.4139</v>
      </c>
      <c r="Q237" s="33" t="inlineStr">
        <is>
          <t>Kos, Greece</t>
        </is>
      </c>
      <c r="R237" s="33" t="inlineStr">
        <is>
          <t>Asia</t>
        </is>
      </c>
      <c r="S237" s="33" t="inlineStr">
        <is>
          <t>Turkey</t>
        </is>
      </c>
      <c r="T237" s="36">
        <f>DATE(MID(C237,7,4),MID(C237,4,2),MID(C237,1,2))+TIME(MID(C237,12,2),MID(C237,15,2),0)</f>
        <v/>
      </c>
      <c r="U237" s="33">
        <f>IF(ISNUMBER(VALUE(MID(A237,7,1))),"Distance-prefix pattern","Named-region pattern")</f>
        <v/>
      </c>
      <c r="V237" s="33">
        <f>LOWER(M237)</f>
        <v/>
      </c>
      <c r="W237" s="33">
        <f>IF(COUNTIFS($A$2:$A$1001,A237,$C$2:$C$1001,C237)&gt;1,"Duplicate","Unique")</f>
        <v/>
      </c>
      <c r="X237" s="33">
        <f>YEAR(T237)</f>
        <v/>
      </c>
      <c r="Y237" s="33">
        <f>IF(B237&lt;6.5,"&lt;6.5",IF(B237&lt;7,"6.5–6.9",IF(B237&lt;7.5,"7.0–7.4",IF(B237&lt;8,"7.5–7.9","8.0+"))))</f>
        <v/>
      </c>
      <c r="Z237" s="33">
        <f>IF(F237="","Blank",F237)</f>
        <v/>
      </c>
    </row>
    <row r="238" ht="15" customHeight="1" s="34">
      <c r="A238" s="33" t="inlineStr">
        <is>
          <t>M 7.7 - Komandorskiye Ostrova, Russia region</t>
        </is>
      </c>
      <c r="B238" s="33" t="n">
        <v>7.7</v>
      </c>
      <c r="C238" s="33" t="inlineStr">
        <is>
          <t>17/07/2017 23:34</t>
        </is>
      </c>
      <c r="D238" s="33" t="n">
        <v>8</v>
      </c>
      <c r="E238" s="33" t="n">
        <v>7</v>
      </c>
      <c r="F238" s="33" t="inlineStr">
        <is>
          <t>green</t>
        </is>
      </c>
      <c r="G238" s="33" t="n">
        <v>1</v>
      </c>
      <c r="H238" s="33" t="n">
        <v>918</v>
      </c>
      <c r="I238" s="33" t="inlineStr">
        <is>
          <t>us</t>
        </is>
      </c>
      <c r="J238" s="33" t="n">
        <v>0</v>
      </c>
      <c r="K238" s="33" t="n">
        <v>3.564</v>
      </c>
      <c r="L238" s="33" t="n">
        <v>13</v>
      </c>
      <c r="M238" s="33" t="inlineStr">
        <is>
          <t>mww</t>
        </is>
      </c>
      <c r="N238" s="33" t="n">
        <v>10</v>
      </c>
      <c r="O238" s="33" t="n">
        <v>54.4434</v>
      </c>
      <c r="P238" s="33" t="n">
        <v>168.857</v>
      </c>
      <c r="Q238" s="33" t="inlineStr">
        <is>
          <t>Komandorskiye Ostrova, Russia region</t>
        </is>
      </c>
      <c r="T238" s="36">
        <f>DATE(MID(C238,7,4),MID(C238,4,2),MID(C238,1,2))+TIME(MID(C238,12,2),MID(C238,15,2),0)</f>
        <v/>
      </c>
      <c r="U238" s="33">
        <f>IF(ISNUMBER(VALUE(MID(A238,7,1))),"Distance-prefix pattern","Named-region pattern")</f>
        <v/>
      </c>
      <c r="V238" s="33">
        <f>LOWER(M238)</f>
        <v/>
      </c>
      <c r="W238" s="33">
        <f>IF(COUNTIFS($A$2:$A$1001,A238,$C$2:$C$1001,C238)&gt;1,"Duplicate","Unique")</f>
        <v/>
      </c>
      <c r="X238" s="33">
        <f>YEAR(T238)</f>
        <v/>
      </c>
      <c r="Y238" s="33">
        <f>IF(B238&lt;6.5,"&lt;6.5",IF(B238&lt;7,"6.5–6.9",IF(B238&lt;7.5,"7.0–7.4",IF(B238&lt;8,"7.5–7.9","8.0+"))))</f>
        <v/>
      </c>
      <c r="Z238" s="33">
        <f>IF(F238="","Blank",F238)</f>
        <v/>
      </c>
    </row>
    <row r="239" ht="15" customHeight="1" s="34">
      <c r="A239" s="33" t="inlineStr">
        <is>
          <t>M 6.6 - Auckland Islands, New Zealand region</t>
        </is>
      </c>
      <c r="B239" s="33" t="n">
        <v>6.6</v>
      </c>
      <c r="C239" s="33" t="inlineStr">
        <is>
          <t>11/07/2017 07:00</t>
        </is>
      </c>
      <c r="D239" s="33" t="n">
        <v>5</v>
      </c>
      <c r="E239" s="33" t="n">
        <v>4</v>
      </c>
      <c r="F239" s="33" t="inlineStr">
        <is>
          <t>green</t>
        </is>
      </c>
      <c r="G239" s="33" t="n">
        <v>1</v>
      </c>
      <c r="H239" s="33" t="n">
        <v>704</v>
      </c>
      <c r="I239" s="33" t="inlineStr">
        <is>
          <t>us</t>
        </is>
      </c>
      <c r="J239" s="33" t="n">
        <v>0</v>
      </c>
      <c r="K239" s="33" t="n">
        <v>3.773</v>
      </c>
      <c r="L239" s="33" t="n">
        <v>37</v>
      </c>
      <c r="M239" s="33" t="inlineStr">
        <is>
          <t>mww</t>
        </is>
      </c>
      <c r="N239" s="33" t="n">
        <v>10</v>
      </c>
      <c r="O239" s="33" t="n">
        <v>-49.4837</v>
      </c>
      <c r="P239" s="33" t="n">
        <v>164.016</v>
      </c>
      <c r="Q239" s="33" t="inlineStr">
        <is>
          <t>Auckland Islands, New Zealand region</t>
        </is>
      </c>
      <c r="T239" s="36">
        <f>DATE(MID(C239,7,4),MID(C239,4,2),MID(C239,1,2))+TIME(MID(C239,12,2),MID(C239,15,2),0)</f>
        <v/>
      </c>
      <c r="U239" s="33">
        <f>IF(ISNUMBER(VALUE(MID(A239,7,1))),"Distance-prefix pattern","Named-region pattern")</f>
        <v/>
      </c>
      <c r="V239" s="33">
        <f>LOWER(M239)</f>
        <v/>
      </c>
      <c r="W239" s="33">
        <f>IF(COUNTIFS($A$2:$A$1001,A239,$C$2:$C$1001,C239)&gt;1,"Duplicate","Unique")</f>
        <v/>
      </c>
      <c r="X239" s="33">
        <f>YEAR(T239)</f>
        <v/>
      </c>
      <c r="Y239" s="33">
        <f>IF(B239&lt;6.5,"&lt;6.5",IF(B239&lt;7,"6.5–6.9",IF(B239&lt;7.5,"7.0–7.4",IF(B239&lt;8,"7.5–7.9","8.0+"))))</f>
        <v/>
      </c>
      <c r="Z239" s="33">
        <f>IF(F239="","Blank",F239)</f>
        <v/>
      </c>
    </row>
    <row r="240" ht="15" customHeight="1" s="34">
      <c r="A240" s="33" t="inlineStr">
        <is>
          <t>M 6.5 - 2 km S of Lim-oo, Philippines</t>
        </is>
      </c>
      <c r="B240" s="33" t="n">
        <v>6.5</v>
      </c>
      <c r="C240" s="33" t="inlineStr">
        <is>
          <t>06/07/2017 08:03</t>
        </is>
      </c>
      <c r="D240" s="33" t="n">
        <v>9</v>
      </c>
      <c r="E240" s="33" t="n">
        <v>8</v>
      </c>
      <c r="F240" s="33" t="inlineStr">
        <is>
          <t>yellow</t>
        </is>
      </c>
      <c r="G240" s="33" t="n">
        <v>1</v>
      </c>
      <c r="H240" s="33" t="n">
        <v>740</v>
      </c>
      <c r="I240" s="33" t="inlineStr">
        <is>
          <t>us</t>
        </is>
      </c>
      <c r="J240" s="33" t="n">
        <v>0</v>
      </c>
      <c r="K240" s="33" t="n">
        <v>4.139</v>
      </c>
      <c r="L240" s="33" t="n">
        <v>30</v>
      </c>
      <c r="M240" s="33" t="inlineStr">
        <is>
          <t>mww</t>
        </is>
      </c>
      <c r="N240" s="33" t="n">
        <v>9</v>
      </c>
      <c r="O240" s="33" t="n">
        <v>11.1269</v>
      </c>
      <c r="P240" s="33" t="n">
        <v>124.629</v>
      </c>
      <c r="Q240" s="33" t="inlineStr">
        <is>
          <t>Lim-oo, Philippines</t>
        </is>
      </c>
      <c r="S240" s="33" t="inlineStr">
        <is>
          <t>Philippines</t>
        </is>
      </c>
      <c r="T240" s="36">
        <f>DATE(MID(C240,7,4),MID(C240,4,2),MID(C240,1,2))+TIME(MID(C240,12,2),MID(C240,15,2),0)</f>
        <v/>
      </c>
      <c r="U240" s="33">
        <f>IF(ISNUMBER(VALUE(MID(A240,7,1))),"Distance-prefix pattern","Named-region pattern")</f>
        <v/>
      </c>
      <c r="V240" s="33">
        <f>LOWER(M240)</f>
        <v/>
      </c>
      <c r="W240" s="33">
        <f>IF(COUNTIFS($A$2:$A$1001,A240,$C$2:$C$1001,C240)&gt;1,"Duplicate","Unique")</f>
        <v/>
      </c>
      <c r="X240" s="33">
        <f>YEAR(T240)</f>
        <v/>
      </c>
      <c r="Y240" s="33">
        <f>IF(B240&lt;6.5,"&lt;6.5",IF(B240&lt;7,"6.5–6.9",IF(B240&lt;7.5,"7.0–7.4",IF(B240&lt;8,"7.5–7.9","8.0+"))))</f>
        <v/>
      </c>
      <c r="Z240" s="33">
        <f>IF(F240="","Blank",F240)</f>
        <v/>
      </c>
    </row>
    <row r="241" ht="15" customHeight="1" s="34">
      <c r="A241" s="33" t="inlineStr">
        <is>
          <t>M 6.8 - 28 km SW of Puerto San José, Guatemala</t>
        </is>
      </c>
      <c r="B241" s="33" t="n">
        <v>6.8</v>
      </c>
      <c r="C241" s="33" t="inlineStr">
        <is>
          <t>22/06/2017 12:31</t>
        </is>
      </c>
      <c r="D241" s="33" t="n">
        <v>6</v>
      </c>
      <c r="E241" s="33" t="n">
        <v>6</v>
      </c>
      <c r="F241" s="33" t="inlineStr">
        <is>
          <t>yellow</t>
        </is>
      </c>
      <c r="G241" s="33" t="n">
        <v>1</v>
      </c>
      <c r="H241" s="33" t="n">
        <v>1034</v>
      </c>
      <c r="I241" s="33" t="inlineStr">
        <is>
          <t>us</t>
        </is>
      </c>
      <c r="J241" s="33" t="n">
        <v>0</v>
      </c>
      <c r="K241" s="33" t="n">
        <v>1.065</v>
      </c>
      <c r="L241" s="33" t="n">
        <v>38</v>
      </c>
      <c r="M241" s="33" t="inlineStr">
        <is>
          <t>mww</t>
        </is>
      </c>
      <c r="N241" s="33" t="n">
        <v>38.12</v>
      </c>
      <c r="O241" s="33" t="n">
        <v>13.7174</v>
      </c>
      <c r="P241" s="33" t="n">
        <v>-90.9718</v>
      </c>
      <c r="Q241" s="33" t="inlineStr">
        <is>
          <t>Puerto San José, Guatemala</t>
        </is>
      </c>
      <c r="T241" s="36">
        <f>DATE(MID(C241,7,4),MID(C241,4,2),MID(C241,1,2))+TIME(MID(C241,12,2),MID(C241,15,2),0)</f>
        <v/>
      </c>
      <c r="U241" s="33">
        <f>IF(ISNUMBER(VALUE(MID(A241,7,1))),"Distance-prefix pattern","Named-region pattern")</f>
        <v/>
      </c>
      <c r="V241" s="33">
        <f>LOWER(M241)</f>
        <v/>
      </c>
      <c r="W241" s="33">
        <f>IF(COUNTIFS($A$2:$A$1001,A241,$C$2:$C$1001,C241)&gt;1,"Duplicate","Unique")</f>
        <v/>
      </c>
      <c r="X241" s="33">
        <f>YEAR(T241)</f>
        <v/>
      </c>
      <c r="Y241" s="33">
        <f>IF(B241&lt;6.5,"&lt;6.5",IF(B241&lt;7,"6.5–6.9",IF(B241&lt;7.5,"7.0–7.4",IF(B241&lt;8,"7.5–7.9","8.0+"))))</f>
        <v/>
      </c>
      <c r="Z241" s="33">
        <f>IF(F241="","Blank",F241)</f>
        <v/>
      </c>
    </row>
    <row r="242" ht="15" customHeight="1" s="34">
      <c r="A242" s="33" t="inlineStr">
        <is>
          <t>M 6.9 - 2 km SSW of San Pablo, Guatemala</t>
        </is>
      </c>
      <c r="B242" s="33" t="n">
        <v>6.9</v>
      </c>
      <c r="C242" s="33" t="inlineStr">
        <is>
          <t>14/06/2017 07:29</t>
        </is>
      </c>
      <c r="D242" s="33" t="n">
        <v>8</v>
      </c>
      <c r="E242" s="33" t="n">
        <v>6</v>
      </c>
      <c r="F242" s="33" t="inlineStr">
        <is>
          <t>yellow</t>
        </is>
      </c>
      <c r="G242" s="33" t="n">
        <v>1</v>
      </c>
      <c r="H242" s="33" t="n">
        <v>1188</v>
      </c>
      <c r="I242" s="33" t="inlineStr">
        <is>
          <t>us</t>
        </is>
      </c>
      <c r="J242" s="33" t="n">
        <v>0</v>
      </c>
      <c r="K242" s="33" t="n">
        <v>0.247</v>
      </c>
      <c r="L242" s="33" t="n">
        <v>35</v>
      </c>
      <c r="M242" s="33" t="inlineStr">
        <is>
          <t>mww</t>
        </is>
      </c>
      <c r="N242" s="33" t="n">
        <v>93</v>
      </c>
      <c r="O242" s="33" t="n">
        <v>14.9091</v>
      </c>
      <c r="P242" s="33" t="n">
        <v>-92.00920000000001</v>
      </c>
      <c r="Q242" s="33" t="inlineStr">
        <is>
          <t>San Pablo, Guatemala</t>
        </is>
      </c>
      <c r="S242" s="33" t="inlineStr">
        <is>
          <t>Guatemala</t>
        </is>
      </c>
      <c r="T242" s="36">
        <f>DATE(MID(C242,7,4),MID(C242,4,2),MID(C242,1,2))+TIME(MID(C242,12,2),MID(C242,15,2),0)</f>
        <v/>
      </c>
      <c r="U242" s="33">
        <f>IF(ISNUMBER(VALUE(MID(A242,7,1))),"Distance-prefix pattern","Named-region pattern")</f>
        <v/>
      </c>
      <c r="V242" s="33">
        <f>LOWER(M242)</f>
        <v/>
      </c>
      <c r="W242" s="33">
        <f>IF(COUNTIFS($A$2:$A$1001,A242,$C$2:$C$1001,C242)&gt;1,"Duplicate","Unique")</f>
        <v/>
      </c>
      <c r="X242" s="33">
        <f>YEAR(T242)</f>
        <v/>
      </c>
      <c r="Y242" s="33">
        <f>IF(B242&lt;6.5,"&lt;6.5",IF(B242&lt;7,"6.5–6.9",IF(B242&lt;7.5,"7.0–7.4",IF(B242&lt;8,"7.5–7.9","8.0+"))))</f>
        <v/>
      </c>
      <c r="Z242" s="33">
        <f>IF(F242="","Blank",F242)</f>
        <v/>
      </c>
    </row>
    <row r="243" ht="15" customHeight="1" s="34">
      <c r="A243" s="33" t="inlineStr">
        <is>
          <t>M 6.8 - 200 km NW of Attu Station, Alaska</t>
        </is>
      </c>
      <c r="B243" s="33" t="n">
        <v>6.8</v>
      </c>
      <c r="C243" s="33" t="inlineStr">
        <is>
          <t>02/06/2017 22:24</t>
        </is>
      </c>
      <c r="D243" s="33" t="n">
        <v>0</v>
      </c>
      <c r="E243" s="33" t="n">
        <v>4</v>
      </c>
      <c r="F243" s="33" t="inlineStr">
        <is>
          <t>green</t>
        </is>
      </c>
      <c r="G243" s="33" t="n">
        <v>1</v>
      </c>
      <c r="H243" s="33" t="n">
        <v>711</v>
      </c>
      <c r="I243" s="33" t="inlineStr">
        <is>
          <t>us</t>
        </is>
      </c>
      <c r="J243" s="33" t="n">
        <v>0</v>
      </c>
      <c r="K243" s="33" t="n">
        <v>2.308</v>
      </c>
      <c r="L243" s="33" t="n">
        <v>12</v>
      </c>
      <c r="M243" s="33" t="inlineStr">
        <is>
          <t>mww</t>
        </is>
      </c>
      <c r="N243" s="33" t="n">
        <v>5</v>
      </c>
      <c r="O243" s="33" t="n">
        <v>54.0312</v>
      </c>
      <c r="P243" s="33" t="n">
        <v>170.92</v>
      </c>
      <c r="Q243" s="33" t="inlineStr">
        <is>
          <t>Attu Station, Alaska</t>
        </is>
      </c>
      <c r="T243" s="36">
        <f>DATE(MID(C243,7,4),MID(C243,4,2),MID(C243,1,2))+TIME(MID(C243,12,2),MID(C243,15,2),0)</f>
        <v/>
      </c>
      <c r="U243" s="33">
        <f>IF(ISNUMBER(VALUE(MID(A243,7,1))),"Distance-prefix pattern","Named-region pattern")</f>
        <v/>
      </c>
      <c r="V243" s="33">
        <f>LOWER(M243)</f>
        <v/>
      </c>
      <c r="W243" s="33">
        <f>IF(COUNTIFS($A$2:$A$1001,A243,$C$2:$C$1001,C243)&gt;1,"Duplicate","Unique")</f>
        <v/>
      </c>
      <c r="X243" s="33">
        <f>YEAR(T243)</f>
        <v/>
      </c>
      <c r="Y243" s="33">
        <f>IF(B243&lt;6.5,"&lt;6.5",IF(B243&lt;7,"6.5–6.9",IF(B243&lt;7.5,"7.0–7.4",IF(B243&lt;8,"7.5–7.9","8.0+"))))</f>
        <v/>
      </c>
      <c r="Z243" s="33">
        <f>IF(F243="","Blank",F243)</f>
        <v/>
      </c>
    </row>
    <row r="244" ht="15" customHeight="1" s="34">
      <c r="A244" s="33" t="inlineStr">
        <is>
          <t>M 6.6 - 37 km WNW of Poso, Indonesia</t>
        </is>
      </c>
      <c r="B244" s="33" t="n">
        <v>6.6</v>
      </c>
      <c r="C244" s="33" t="inlineStr">
        <is>
          <t>29/05/2017 14:35</t>
        </is>
      </c>
      <c r="D244" s="33" t="n">
        <v>7</v>
      </c>
      <c r="E244" s="33" t="n">
        <v>7</v>
      </c>
      <c r="F244" s="33" t="inlineStr">
        <is>
          <t>green</t>
        </is>
      </c>
      <c r="G244" s="33" t="n">
        <v>0</v>
      </c>
      <c r="H244" s="33" t="n">
        <v>678</v>
      </c>
      <c r="I244" s="33" t="inlineStr">
        <is>
          <t>us</t>
        </is>
      </c>
      <c r="J244" s="33" t="n">
        <v>0</v>
      </c>
      <c r="K244" s="33" t="n">
        <v>2.353</v>
      </c>
      <c r="L244" s="33" t="n">
        <v>18</v>
      </c>
      <c r="M244" s="33" t="inlineStr">
        <is>
          <t>mww</t>
        </is>
      </c>
      <c r="N244" s="33" t="n">
        <v>12</v>
      </c>
      <c r="O244" s="33" t="n">
        <v>-1.2923</v>
      </c>
      <c r="P244" s="33" t="n">
        <v>120.431</v>
      </c>
      <c r="Q244" s="33" t="inlineStr">
        <is>
          <t>Poso, Indonesia</t>
        </is>
      </c>
      <c r="S244" s="33" t="inlineStr">
        <is>
          <t>Indonesia</t>
        </is>
      </c>
      <c r="T244" s="36">
        <f>DATE(MID(C244,7,4),MID(C244,4,2),MID(C244,1,2))+TIME(MID(C244,12,2),MID(C244,15,2),0)</f>
        <v/>
      </c>
      <c r="U244" s="33">
        <f>IF(ISNUMBER(VALUE(MID(A244,7,1))),"Distance-prefix pattern","Named-region pattern")</f>
        <v/>
      </c>
      <c r="V244" s="33">
        <f>LOWER(M244)</f>
        <v/>
      </c>
      <c r="W244" s="33">
        <f>IF(COUNTIFS($A$2:$A$1001,A244,$C$2:$C$1001,C244)&gt;1,"Duplicate","Unique")</f>
        <v/>
      </c>
      <c r="X244" s="33">
        <f>YEAR(T244)</f>
        <v/>
      </c>
      <c r="Y244" s="33">
        <f>IF(B244&lt;6.5,"&lt;6.5",IF(B244&lt;7,"6.5–6.9",IF(B244&lt;7.5,"7.0–7.4",IF(B244&lt;8,"7.5–7.9","8.0+"))))</f>
        <v/>
      </c>
      <c r="Z244" s="33">
        <f>IF(F244="","Blank",F244)</f>
        <v/>
      </c>
    </row>
    <row r="245" ht="15" customHeight="1" s="34">
      <c r="A245" s="33" t="inlineStr">
        <is>
          <t>M 6.5 - South Sandwich Islands region</t>
        </is>
      </c>
      <c r="B245" s="33" t="n">
        <v>6.5</v>
      </c>
      <c r="C245" s="33" t="inlineStr">
        <is>
          <t>10/05/2017 23:23</t>
        </is>
      </c>
      <c r="D245" s="33" t="n">
        <v>0</v>
      </c>
      <c r="E245" s="33" t="n">
        <v>4</v>
      </c>
      <c r="F245" s="33" t="inlineStr">
        <is>
          <t>green</t>
        </is>
      </c>
      <c r="G245" s="33" t="n">
        <v>1</v>
      </c>
      <c r="H245" s="33" t="n">
        <v>650</v>
      </c>
      <c r="I245" s="33" t="inlineStr">
        <is>
          <t>us</t>
        </is>
      </c>
      <c r="J245" s="33" t="n">
        <v>0</v>
      </c>
      <c r="K245" s="33" t="n">
        <v>6.489</v>
      </c>
      <c r="L245" s="33" t="n">
        <v>17</v>
      </c>
      <c r="M245" s="33" t="inlineStr">
        <is>
          <t>mww</t>
        </is>
      </c>
      <c r="N245" s="33" t="n">
        <v>15</v>
      </c>
      <c r="O245" s="33" t="n">
        <v>-56.414</v>
      </c>
      <c r="P245" s="33" t="n">
        <v>-25.7432</v>
      </c>
      <c r="Q245" s="33" t="inlineStr">
        <is>
          <t>South Sandwich Islands region</t>
        </is>
      </c>
      <c r="T245" s="36">
        <f>DATE(MID(C245,7,4),MID(C245,4,2),MID(C245,1,2))+TIME(MID(C245,12,2),MID(C245,15,2),0)</f>
        <v/>
      </c>
      <c r="U245" s="33">
        <f>IF(ISNUMBER(VALUE(MID(A245,7,1))),"Distance-prefix pattern","Named-region pattern")</f>
        <v/>
      </c>
      <c r="V245" s="33">
        <f>LOWER(M245)</f>
        <v/>
      </c>
      <c r="W245" s="33">
        <f>IF(COUNTIFS($A$2:$A$1001,A245,$C$2:$C$1001,C245)&gt;1,"Duplicate","Unique")</f>
        <v/>
      </c>
      <c r="X245" s="33">
        <f>YEAR(T245)</f>
        <v/>
      </c>
      <c r="Y245" s="33">
        <f>IF(B245&lt;6.5,"&lt;6.5",IF(B245&lt;7,"6.5–6.9",IF(B245&lt;7.5,"7.0–7.4",IF(B245&lt;8,"7.5–7.9","8.0+"))))</f>
        <v/>
      </c>
      <c r="Z245" s="33">
        <f>IF(F245="","Blank",F245)</f>
        <v/>
      </c>
    </row>
    <row r="246" ht="15" customHeight="1" s="34">
      <c r="A246" s="33" t="inlineStr">
        <is>
          <t>M 6.8 - 59 km NNE of Port-Olry, Vanuatu</t>
        </is>
      </c>
      <c r="B246" s="33" t="n">
        <v>6.8</v>
      </c>
      <c r="C246" s="33" t="inlineStr">
        <is>
          <t>09/05/2017 13:52</t>
        </is>
      </c>
      <c r="D246" s="33" t="n">
        <v>6</v>
      </c>
      <c r="E246" s="33" t="n">
        <v>5</v>
      </c>
      <c r="F246" s="33" t="inlineStr">
        <is>
          <t>green</t>
        </is>
      </c>
      <c r="G246" s="33" t="n">
        <v>1</v>
      </c>
      <c r="H246" s="33" t="n">
        <v>713</v>
      </c>
      <c r="I246" s="33" t="inlineStr">
        <is>
          <t>us</t>
        </is>
      </c>
      <c r="J246" s="33" t="n">
        <v>0</v>
      </c>
      <c r="K246" s="33" t="n">
        <v>7.495</v>
      </c>
      <c r="L246" s="33" t="n">
        <v>19</v>
      </c>
      <c r="M246" s="33" t="inlineStr">
        <is>
          <t>mww</t>
        </is>
      </c>
      <c r="N246" s="33" t="n">
        <v>169</v>
      </c>
      <c r="O246" s="33" t="n">
        <v>-14.5884</v>
      </c>
      <c r="P246" s="33" t="n">
        <v>167.377</v>
      </c>
      <c r="Q246" s="33" t="inlineStr">
        <is>
          <t>Port-Olry, Vanuatu</t>
        </is>
      </c>
      <c r="S246" s="33" t="inlineStr">
        <is>
          <t>Vanuatu</t>
        </is>
      </c>
      <c r="T246" s="36">
        <f>DATE(MID(C246,7,4),MID(C246,4,2),MID(C246,1,2))+TIME(MID(C246,12,2),MID(C246,15,2),0)</f>
        <v/>
      </c>
      <c r="U246" s="33">
        <f>IF(ISNUMBER(VALUE(MID(A246,7,1))),"Distance-prefix pattern","Named-region pattern")</f>
        <v/>
      </c>
      <c r="V246" s="33">
        <f>LOWER(M246)</f>
        <v/>
      </c>
      <c r="W246" s="33">
        <f>IF(COUNTIFS($A$2:$A$1001,A246,$C$2:$C$1001,C246)&gt;1,"Duplicate","Unique")</f>
        <v/>
      </c>
      <c r="X246" s="33">
        <f>YEAR(T246)</f>
        <v/>
      </c>
      <c r="Y246" s="33">
        <f>IF(B246&lt;6.5,"&lt;6.5",IF(B246&lt;7,"6.5–6.9",IF(B246&lt;7.5,"7.0–7.4",IF(B246&lt;8,"7.5–7.9","8.0+"))))</f>
        <v/>
      </c>
      <c r="Z246" s="33">
        <f>IF(F246="","Blank",F246)</f>
        <v/>
      </c>
    </row>
    <row r="247" ht="15" customHeight="1" s="34">
      <c r="A247" s="33" t="inlineStr">
        <is>
          <t>M 6.9 - 31 km SW of Burias, Philippines</t>
        </is>
      </c>
      <c r="B247" s="33" t="n">
        <v>6.9</v>
      </c>
      <c r="C247" s="33" t="inlineStr">
        <is>
          <t>28/04/2017 20:23</t>
        </is>
      </c>
      <c r="D247" s="33" t="n">
        <v>9</v>
      </c>
      <c r="E247" s="33" t="n">
        <v>6</v>
      </c>
      <c r="F247" s="33" t="inlineStr">
        <is>
          <t>green</t>
        </is>
      </c>
      <c r="G247" s="33" t="n">
        <v>1</v>
      </c>
      <c r="H247" s="33" t="n">
        <v>814</v>
      </c>
      <c r="I247" s="33" t="inlineStr">
        <is>
          <t>us</t>
        </is>
      </c>
      <c r="J247" s="33" t="n">
        <v>0</v>
      </c>
      <c r="K247" s="33" t="n">
        <v>1.636</v>
      </c>
      <c r="L247" s="33" t="n">
        <v>14</v>
      </c>
      <c r="M247" s="33" t="inlineStr">
        <is>
          <t>mww</t>
        </is>
      </c>
      <c r="N247" s="33" t="n">
        <v>26</v>
      </c>
      <c r="O247" s="33" t="n">
        <v>5.5043</v>
      </c>
      <c r="P247" s="33" t="n">
        <v>125.066</v>
      </c>
      <c r="Q247" s="33" t="inlineStr">
        <is>
          <t>Burias, Philippines</t>
        </is>
      </c>
      <c r="S247" s="33" t="inlineStr">
        <is>
          <t>Philippines</t>
        </is>
      </c>
      <c r="T247" s="36">
        <f>DATE(MID(C247,7,4),MID(C247,4,2),MID(C247,1,2))+TIME(MID(C247,12,2),MID(C247,15,2),0)</f>
        <v/>
      </c>
      <c r="U247" s="33">
        <f>IF(ISNUMBER(VALUE(MID(A247,7,1))),"Distance-prefix pattern","Named-region pattern")</f>
        <v/>
      </c>
      <c r="V247" s="33">
        <f>LOWER(M247)</f>
        <v/>
      </c>
      <c r="W247" s="33">
        <f>IF(COUNTIFS($A$2:$A$1001,A247,$C$2:$C$1001,C247)&gt;1,"Duplicate","Unique")</f>
        <v/>
      </c>
      <c r="X247" s="33">
        <f>YEAR(T247)</f>
        <v/>
      </c>
      <c r="Y247" s="33">
        <f>IF(B247&lt;6.5,"&lt;6.5",IF(B247&lt;7,"6.5–6.9",IF(B247&lt;7.5,"7.0–7.4",IF(B247&lt;8,"7.5–7.9","8.0+"))))</f>
        <v/>
      </c>
      <c r="Z247" s="33">
        <f>IF(F247="","Blank",F247)</f>
        <v/>
      </c>
    </row>
    <row r="248" ht="15" customHeight="1" s="34">
      <c r="A248" s="33" t="inlineStr">
        <is>
          <t>M 6.9 - 40 km W of Valparaíso, Chile</t>
        </is>
      </c>
      <c r="B248" s="33" t="n">
        <v>6.9</v>
      </c>
      <c r="C248" s="33" t="inlineStr">
        <is>
          <t>24/04/2017 21:38</t>
        </is>
      </c>
      <c r="D248" s="33" t="n">
        <v>9</v>
      </c>
      <c r="E248" s="33" t="n">
        <v>7</v>
      </c>
      <c r="F248" s="33" t="inlineStr">
        <is>
          <t>yellow</t>
        </is>
      </c>
      <c r="G248" s="33" t="n">
        <v>1</v>
      </c>
      <c r="H248" s="33" t="n">
        <v>1642</v>
      </c>
      <c r="I248" s="33" t="inlineStr">
        <is>
          <t>us</t>
        </is>
      </c>
      <c r="J248" s="33" t="n">
        <v>0</v>
      </c>
      <c r="K248" s="33" t="n">
        <v>0.356</v>
      </c>
      <c r="L248" s="33" t="n">
        <v>39</v>
      </c>
      <c r="M248" s="33" t="inlineStr">
        <is>
          <t>mww</t>
        </is>
      </c>
      <c r="N248" s="33" t="n">
        <v>28</v>
      </c>
      <c r="O248" s="33" t="n">
        <v>-33.0375</v>
      </c>
      <c r="P248" s="33" t="n">
        <v>-72.0617</v>
      </c>
      <c r="Q248" s="33" t="inlineStr">
        <is>
          <t>Valparaíso, Chile</t>
        </is>
      </c>
      <c r="T248" s="36">
        <f>DATE(MID(C248,7,4),MID(C248,4,2),MID(C248,1,2))+TIME(MID(C248,12,2),MID(C248,15,2),0)</f>
        <v/>
      </c>
      <c r="U248" s="33">
        <f>IF(ISNUMBER(VALUE(MID(A248,7,1))),"Distance-prefix pattern","Named-region pattern")</f>
        <v/>
      </c>
      <c r="V248" s="33">
        <f>LOWER(M248)</f>
        <v/>
      </c>
      <c r="W248" s="33">
        <f>IF(COUNTIFS($A$2:$A$1001,A248,$C$2:$C$1001,C248)&gt;1,"Duplicate","Unique")</f>
        <v/>
      </c>
      <c r="X248" s="33">
        <f>YEAR(T248)</f>
        <v/>
      </c>
      <c r="Y248" s="33">
        <f>IF(B248&lt;6.5,"&lt;6.5",IF(B248&lt;7,"6.5–6.9",IF(B248&lt;7.5,"7.0–7.4",IF(B248&lt;8,"7.5–7.9","8.0+"))))</f>
        <v/>
      </c>
      <c r="Z248" s="33">
        <f>IF(F248="","Blank",F248)</f>
        <v/>
      </c>
    </row>
    <row r="249" ht="15" customHeight="1" s="34">
      <c r="A249" s="33" t="inlineStr">
        <is>
          <t>M 6.5 - 132 km WSW of Moijabana, Botswana</t>
        </is>
      </c>
      <c r="B249" s="33" t="n">
        <v>6.5</v>
      </c>
      <c r="C249" s="33" t="inlineStr">
        <is>
          <t>03/04/2017 17:40</t>
        </is>
      </c>
      <c r="D249" s="33" t="n">
        <v>7</v>
      </c>
      <c r="E249" s="33" t="n">
        <v>8</v>
      </c>
      <c r="F249" s="33" t="inlineStr">
        <is>
          <t>green</t>
        </is>
      </c>
      <c r="G249" s="33" t="n">
        <v>0</v>
      </c>
      <c r="H249" s="33" t="n">
        <v>1297</v>
      </c>
      <c r="I249" s="33" t="inlineStr">
        <is>
          <t>us</t>
        </is>
      </c>
      <c r="J249" s="33" t="n">
        <v>0</v>
      </c>
      <c r="K249" s="33" t="n">
        <v>2.36</v>
      </c>
      <c r="L249" s="33" t="n">
        <v>15</v>
      </c>
      <c r="M249" s="33" t="inlineStr">
        <is>
          <t>mww</t>
        </is>
      </c>
      <c r="N249" s="33" t="n">
        <v>29</v>
      </c>
      <c r="O249" s="33" t="n">
        <v>-22.6784</v>
      </c>
      <c r="P249" s="33" t="n">
        <v>25.1558</v>
      </c>
      <c r="Q249" s="33" t="inlineStr">
        <is>
          <t>Moijabana, Botswana</t>
        </is>
      </c>
      <c r="R249" s="33" t="inlineStr">
        <is>
          <t>Africa</t>
        </is>
      </c>
      <c r="S249" s="33" t="inlineStr">
        <is>
          <t>Botswana</t>
        </is>
      </c>
      <c r="T249" s="36">
        <f>DATE(MID(C249,7,4),MID(C249,4,2),MID(C249,1,2))+TIME(MID(C249,12,2),MID(C249,15,2),0)</f>
        <v/>
      </c>
      <c r="U249" s="33">
        <f>IF(ISNUMBER(VALUE(MID(A249,7,1))),"Distance-prefix pattern","Named-region pattern")</f>
        <v/>
      </c>
      <c r="V249" s="33">
        <f>LOWER(M249)</f>
        <v/>
      </c>
      <c r="W249" s="33">
        <f>IF(COUNTIFS($A$2:$A$1001,A249,$C$2:$C$1001,C249)&gt;1,"Duplicate","Unique")</f>
        <v/>
      </c>
      <c r="X249" s="33">
        <f>YEAR(T249)</f>
        <v/>
      </c>
      <c r="Y249" s="33">
        <f>IF(B249&lt;6.5,"&lt;6.5",IF(B249&lt;7,"6.5–6.9",IF(B249&lt;7.5,"7.0–7.4",IF(B249&lt;8,"7.5–7.9","8.0+"))))</f>
        <v/>
      </c>
      <c r="Z249" s="33">
        <f>IF(F249="","Blank",F249)</f>
        <v/>
      </c>
    </row>
    <row r="250" ht="15" customHeight="1" s="34">
      <c r="A250" s="33" t="inlineStr">
        <is>
          <t>M 6.6 - 81 km NNE of Ust’-Kamchatsk Staryy, Russia</t>
        </is>
      </c>
      <c r="B250" s="33" t="n">
        <v>6.6</v>
      </c>
      <c r="C250" s="33" t="inlineStr">
        <is>
          <t>29/03/2017 04:09</t>
        </is>
      </c>
      <c r="D250" s="33" t="n">
        <v>6</v>
      </c>
      <c r="E250" s="33" t="n">
        <v>7</v>
      </c>
      <c r="F250" s="33" t="inlineStr">
        <is>
          <t>yellow</t>
        </is>
      </c>
      <c r="G250" s="33" t="n">
        <v>1</v>
      </c>
      <c r="H250" s="33" t="n">
        <v>671</v>
      </c>
      <c r="I250" s="33" t="inlineStr">
        <is>
          <t>us</t>
        </is>
      </c>
      <c r="J250" s="33" t="n">
        <v>0</v>
      </c>
      <c r="K250" s="33" t="n">
        <v>4.591</v>
      </c>
      <c r="L250" s="33" t="n">
        <v>14</v>
      </c>
      <c r="M250" s="33" t="inlineStr">
        <is>
          <t>mww</t>
        </is>
      </c>
      <c r="N250" s="33" t="n">
        <v>17</v>
      </c>
      <c r="O250" s="33" t="n">
        <v>56.9401</v>
      </c>
      <c r="P250" s="33" t="n">
        <v>162.786</v>
      </c>
      <c r="Q250" s="33" t="inlineStr">
        <is>
          <t>Ust’-Kamchatsk Staryy, Russia</t>
        </is>
      </c>
      <c r="R250" s="33" t="inlineStr">
        <is>
          <t>Asia</t>
        </is>
      </c>
      <c r="S250" s="33" t="inlineStr">
        <is>
          <t>Russia</t>
        </is>
      </c>
      <c r="T250" s="36">
        <f>DATE(MID(C250,7,4),MID(C250,4,2),MID(C250,1,2))+TIME(MID(C250,12,2),MID(C250,15,2),0)</f>
        <v/>
      </c>
      <c r="U250" s="33">
        <f>IF(ISNUMBER(VALUE(MID(A250,7,1))),"Distance-prefix pattern","Named-region pattern")</f>
        <v/>
      </c>
      <c r="V250" s="33">
        <f>LOWER(M250)</f>
        <v/>
      </c>
      <c r="W250" s="33">
        <f>IF(COUNTIFS($A$2:$A$1001,A250,$C$2:$C$1001,C250)&gt;1,"Duplicate","Unique")</f>
        <v/>
      </c>
      <c r="X250" s="33">
        <f>YEAR(T250)</f>
        <v/>
      </c>
      <c r="Y250" s="33">
        <f>IF(B250&lt;6.5,"&lt;6.5",IF(B250&lt;7,"6.5–6.9",IF(B250&lt;7.5,"7.0–7.4",IF(B250&lt;8,"7.5–7.9","8.0+"))))</f>
        <v/>
      </c>
      <c r="Z250" s="33">
        <f>IF(F250="","Blank",F250)</f>
        <v/>
      </c>
    </row>
    <row r="251" ht="15" customHeight="1" s="34">
      <c r="A251" s="33" t="inlineStr">
        <is>
          <t>M 6.9 - south of the Fiji Islands</t>
        </is>
      </c>
      <c r="B251" s="33" t="n">
        <v>6.9</v>
      </c>
      <c r="C251" s="33" t="inlineStr">
        <is>
          <t>24/02/2017 17:28</t>
        </is>
      </c>
      <c r="D251" s="33" t="n">
        <v>2</v>
      </c>
      <c r="E251" s="33" t="n">
        <v>3</v>
      </c>
      <c r="F251" s="33" t="inlineStr">
        <is>
          <t>green</t>
        </is>
      </c>
      <c r="G251" s="33" t="n">
        <v>1</v>
      </c>
      <c r="H251" s="33" t="n">
        <v>733</v>
      </c>
      <c r="I251" s="33" t="inlineStr">
        <is>
          <t>us</t>
        </is>
      </c>
      <c r="J251" s="33" t="n">
        <v>0</v>
      </c>
      <c r="K251" s="33" t="n">
        <v>6.012</v>
      </c>
      <c r="L251" s="33" t="n">
        <v>19</v>
      </c>
      <c r="M251" s="33" t="inlineStr">
        <is>
          <t>mww</t>
        </is>
      </c>
      <c r="N251" s="33" t="n">
        <v>414.5</v>
      </c>
      <c r="O251" s="33" t="n">
        <v>-23.2593</v>
      </c>
      <c r="P251" s="33" t="n">
        <v>-178.804</v>
      </c>
      <c r="Q251" s="33" t="inlineStr">
        <is>
          <t>the Fiji Islands</t>
        </is>
      </c>
      <c r="T251" s="36">
        <f>DATE(MID(C251,7,4),MID(C251,4,2),MID(C251,1,2))+TIME(MID(C251,12,2),MID(C251,15,2),0)</f>
        <v/>
      </c>
      <c r="U251" s="33">
        <f>IF(ISNUMBER(VALUE(MID(A251,7,1))),"Distance-prefix pattern","Named-region pattern")</f>
        <v/>
      </c>
      <c r="V251" s="33">
        <f>LOWER(M251)</f>
        <v/>
      </c>
      <c r="W251" s="33">
        <f>IF(COUNTIFS($A$2:$A$1001,A251,$C$2:$C$1001,C251)&gt;1,"Duplicate","Unique")</f>
        <v/>
      </c>
      <c r="X251" s="33">
        <f>YEAR(T251)</f>
        <v/>
      </c>
      <c r="Y251" s="33">
        <f>IF(B251&lt;6.5,"&lt;6.5",IF(B251&lt;7,"6.5–6.9",IF(B251&lt;7.5,"7.0–7.4",IF(B251&lt;8,"7.5–7.9","8.0+"))))</f>
        <v/>
      </c>
      <c r="Z251" s="33">
        <f>IF(F251="","Blank",F251)</f>
        <v/>
      </c>
    </row>
    <row r="252" ht="15" customHeight="1" s="34">
      <c r="A252" s="33" t="inlineStr">
        <is>
          <t>M 6.5 - 41 km E of Padilla, Bolivia</t>
        </is>
      </c>
      <c r="B252" s="33" t="n">
        <v>6.5</v>
      </c>
      <c r="C252" s="33" t="inlineStr">
        <is>
          <t>21/02/2017 14:09</t>
        </is>
      </c>
      <c r="D252" s="33" t="n">
        <v>3</v>
      </c>
      <c r="E252" s="33" t="n">
        <v>3</v>
      </c>
      <c r="F252" s="33" t="inlineStr">
        <is>
          <t>green</t>
        </is>
      </c>
      <c r="G252" s="33" t="n">
        <v>0</v>
      </c>
      <c r="H252" s="33" t="n">
        <v>653</v>
      </c>
      <c r="I252" s="33" t="inlineStr">
        <is>
          <t>us</t>
        </is>
      </c>
      <c r="J252" s="33" t="n">
        <v>0</v>
      </c>
      <c r="K252" s="33" t="n">
        <v>4.242</v>
      </c>
      <c r="L252" s="33" t="n">
        <v>14</v>
      </c>
      <c r="M252" s="33" t="inlineStr">
        <is>
          <t>mww</t>
        </is>
      </c>
      <c r="N252" s="33" t="n">
        <v>595.98</v>
      </c>
      <c r="O252" s="33" t="n">
        <v>-19.2814</v>
      </c>
      <c r="P252" s="33" t="n">
        <v>-63.9047</v>
      </c>
      <c r="Q252" s="33" t="inlineStr">
        <is>
          <t>Padilla, Bolivia</t>
        </is>
      </c>
      <c r="R252" s="33" t="inlineStr">
        <is>
          <t>South America</t>
        </is>
      </c>
      <c r="S252" s="33" t="inlineStr">
        <is>
          <t>Bolivia</t>
        </is>
      </c>
      <c r="T252" s="36">
        <f>DATE(MID(C252,7,4),MID(C252,4,2),MID(C252,1,2))+TIME(MID(C252,12,2),MID(C252,15,2),0)</f>
        <v/>
      </c>
      <c r="U252" s="33">
        <f>IF(ISNUMBER(VALUE(MID(A252,7,1))),"Distance-prefix pattern","Named-region pattern")</f>
        <v/>
      </c>
      <c r="V252" s="33">
        <f>LOWER(M252)</f>
        <v/>
      </c>
      <c r="W252" s="33">
        <f>IF(COUNTIFS($A$2:$A$1001,A252,$C$2:$C$1001,C252)&gt;1,"Duplicate","Unique")</f>
        <v/>
      </c>
      <c r="X252" s="33">
        <f>YEAR(T252)</f>
        <v/>
      </c>
      <c r="Y252" s="33">
        <f>IF(B252&lt;6.5,"&lt;6.5",IF(B252&lt;7,"6.5–6.9",IF(B252&lt;7.5,"7.0–7.4",IF(B252&lt;8,"7.5–7.9","8.0+"))))</f>
        <v/>
      </c>
      <c r="Z252" s="33">
        <f>IF(F252="","Blank",F252)</f>
        <v/>
      </c>
    </row>
    <row r="253" ht="15" customHeight="1" s="34">
      <c r="A253" s="33" t="inlineStr">
        <is>
          <t>M 6.5 - 11 km N of Mabua, Philippines</t>
        </is>
      </c>
      <c r="B253" s="33" t="n">
        <v>6.5</v>
      </c>
      <c r="C253" s="33" t="inlineStr">
        <is>
          <t>10/02/2017 14:03</t>
        </is>
      </c>
      <c r="D253" s="33" t="n">
        <v>8</v>
      </c>
      <c r="E253" s="33" t="n">
        <v>7</v>
      </c>
      <c r="F253" s="33" t="inlineStr">
        <is>
          <t>yellow</t>
        </is>
      </c>
      <c r="G253" s="33" t="n">
        <v>1</v>
      </c>
      <c r="H253" s="33" t="n">
        <v>718</v>
      </c>
      <c r="I253" s="33" t="inlineStr">
        <is>
          <t>us</t>
        </is>
      </c>
      <c r="J253" s="33" t="n">
        <v>0</v>
      </c>
      <c r="K253" s="33" t="n">
        <v>2.822</v>
      </c>
      <c r="L253" s="33" t="n">
        <v>36</v>
      </c>
      <c r="M253" s="33" t="inlineStr">
        <is>
          <t>mww</t>
        </is>
      </c>
      <c r="N253" s="33" t="n">
        <v>15</v>
      </c>
      <c r="O253" s="33" t="n">
        <v>9.9071</v>
      </c>
      <c r="P253" s="33" t="n">
        <v>125.452</v>
      </c>
      <c r="Q253" s="33" t="inlineStr">
        <is>
          <t>Mabua, Philippines</t>
        </is>
      </c>
      <c r="S253" s="33" t="inlineStr">
        <is>
          <t>Philippines</t>
        </is>
      </c>
      <c r="T253" s="36">
        <f>DATE(MID(C253,7,4),MID(C253,4,2),MID(C253,1,2))+TIME(MID(C253,12,2),MID(C253,15,2),0)</f>
        <v/>
      </c>
      <c r="U253" s="33">
        <f>IF(ISNUMBER(VALUE(MID(A253,7,1))),"Distance-prefix pattern","Named-region pattern")</f>
        <v/>
      </c>
      <c r="V253" s="33">
        <f>LOWER(M253)</f>
        <v/>
      </c>
      <c r="W253" s="33">
        <f>IF(COUNTIFS($A$2:$A$1001,A253,$C$2:$C$1001,C253)&gt;1,"Duplicate","Unique")</f>
        <v/>
      </c>
      <c r="X253" s="33">
        <f>YEAR(T253)</f>
        <v/>
      </c>
      <c r="Y253" s="33">
        <f>IF(B253&lt;6.5,"&lt;6.5",IF(B253&lt;7,"6.5–6.9",IF(B253&lt;7.5,"7.0–7.4",IF(B253&lt;8,"7.5–7.9","8.0+"))))</f>
        <v/>
      </c>
      <c r="Z253" s="33">
        <f>IF(F253="","Blank",F253)</f>
        <v/>
      </c>
    </row>
    <row r="254" ht="15" customHeight="1" s="34">
      <c r="A254" s="33" t="inlineStr">
        <is>
          <t>M 7.9 - 35 km WNW of Panguna, Papua New Guinea</t>
        </is>
      </c>
      <c r="B254" s="33" t="n">
        <v>7.9</v>
      </c>
      <c r="C254" s="33" t="inlineStr">
        <is>
          <t>22/01/2017 04:30</t>
        </is>
      </c>
      <c r="D254" s="33" t="n">
        <v>9</v>
      </c>
      <c r="E254" s="33" t="n">
        <v>7</v>
      </c>
      <c r="F254" s="33" t="inlineStr">
        <is>
          <t>yellow</t>
        </is>
      </c>
      <c r="G254" s="33" t="n">
        <v>1</v>
      </c>
      <c r="H254" s="33" t="n">
        <v>987</v>
      </c>
      <c r="I254" s="33" t="inlineStr">
        <is>
          <t>us</t>
        </is>
      </c>
      <c r="J254" s="33" t="n">
        <v>0</v>
      </c>
      <c r="K254" s="33" t="n">
        <v>3.625</v>
      </c>
      <c r="L254" s="33" t="n">
        <v>9</v>
      </c>
      <c r="M254" s="33" t="inlineStr">
        <is>
          <t>mww</t>
        </is>
      </c>
      <c r="N254" s="33" t="n">
        <v>135</v>
      </c>
      <c r="O254" s="33" t="n">
        <v>-6.2464</v>
      </c>
      <c r="P254" s="33" t="n">
        <v>155.172</v>
      </c>
      <c r="Q254" s="33" t="inlineStr">
        <is>
          <t>Panguna, Papua New Guinea</t>
        </is>
      </c>
      <c r="S254" s="33" t="inlineStr">
        <is>
          <t>Papua New Guinea</t>
        </is>
      </c>
      <c r="T254" s="36">
        <f>DATE(MID(C254,7,4),MID(C254,4,2),MID(C254,1,2))+TIME(MID(C254,12,2),MID(C254,15,2),0)</f>
        <v/>
      </c>
      <c r="U254" s="33">
        <f>IF(ISNUMBER(VALUE(MID(A254,7,1))),"Distance-prefix pattern","Named-region pattern")</f>
        <v/>
      </c>
      <c r="V254" s="33">
        <f>LOWER(M254)</f>
        <v/>
      </c>
      <c r="W254" s="33">
        <f>IF(COUNTIFS($A$2:$A$1001,A254,$C$2:$C$1001,C254)&gt;1,"Duplicate","Unique")</f>
        <v/>
      </c>
      <c r="X254" s="33">
        <f>YEAR(T254)</f>
        <v/>
      </c>
      <c r="Y254" s="33">
        <f>IF(B254&lt;6.5,"&lt;6.5",IF(B254&lt;7,"6.5–6.9",IF(B254&lt;7.5,"7.0–7.4",IF(B254&lt;8,"7.5–7.9","8.0+"))))</f>
        <v/>
      </c>
      <c r="Z254" s="33">
        <f>IF(F254="","Blank",F254)</f>
        <v/>
      </c>
    </row>
    <row r="255" ht="15" customHeight="1" s="34">
      <c r="A255" s="33" t="inlineStr">
        <is>
          <t>M 6.5 - 65 km W of Kirakira, Solomon Islands</t>
        </is>
      </c>
      <c r="B255" s="33" t="n">
        <v>6.5</v>
      </c>
      <c r="C255" s="33" t="inlineStr">
        <is>
          <t>19/01/2017 23:04</t>
        </is>
      </c>
      <c r="D255" s="33" t="n">
        <v>6</v>
      </c>
      <c r="E255" s="33" t="n">
        <v>6</v>
      </c>
      <c r="F255" s="33" t="inlineStr">
        <is>
          <t>green</t>
        </is>
      </c>
      <c r="G255" s="33" t="n">
        <v>1</v>
      </c>
      <c r="H255" s="33" t="n">
        <v>654</v>
      </c>
      <c r="I255" s="33" t="inlineStr">
        <is>
          <t>us</t>
        </is>
      </c>
      <c r="J255" s="33" t="n">
        <v>0</v>
      </c>
      <c r="K255" s="33" t="n">
        <v>1.64</v>
      </c>
      <c r="L255" s="33" t="n">
        <v>21</v>
      </c>
      <c r="M255" s="33" t="inlineStr">
        <is>
          <t>mww</t>
        </is>
      </c>
      <c r="N255" s="33" t="n">
        <v>36</v>
      </c>
      <c r="O255" s="33" t="n">
        <v>-10.3506</v>
      </c>
      <c r="P255" s="33" t="n">
        <v>161.335</v>
      </c>
      <c r="Q255" s="33" t="inlineStr">
        <is>
          <t>Kirakira, Solomon Islands</t>
        </is>
      </c>
      <c r="S255" s="33" t="inlineStr">
        <is>
          <t>Solomon Islands</t>
        </is>
      </c>
      <c r="T255" s="36">
        <f>DATE(MID(C255,7,4),MID(C255,4,2),MID(C255,1,2))+TIME(MID(C255,12,2),MID(C255,15,2),0)</f>
        <v/>
      </c>
      <c r="U255" s="33">
        <f>IF(ISNUMBER(VALUE(MID(A255,7,1))),"Distance-prefix pattern","Named-region pattern")</f>
        <v/>
      </c>
      <c r="V255" s="33">
        <f>LOWER(M255)</f>
        <v/>
      </c>
      <c r="W255" s="33">
        <f>IF(COUNTIFS($A$2:$A$1001,A255,$C$2:$C$1001,C255)&gt;1,"Duplicate","Unique")</f>
        <v/>
      </c>
      <c r="X255" s="33">
        <f>YEAR(T255)</f>
        <v/>
      </c>
      <c r="Y255" s="33">
        <f>IF(B255&lt;6.5,"&lt;6.5",IF(B255&lt;7,"6.5–6.9",IF(B255&lt;7.5,"7.0–7.4",IF(B255&lt;8,"7.5–7.9","8.0+"))))</f>
        <v/>
      </c>
      <c r="Z255" s="33">
        <f>IF(F255="","Blank",F255)</f>
        <v/>
      </c>
    </row>
    <row r="256" ht="15" customHeight="1" s="34">
      <c r="A256" s="33" t="inlineStr">
        <is>
          <t>M 7.3 - 189 km SSE of Tabiauan, Philippines</t>
        </is>
      </c>
      <c r="B256" s="33" t="n">
        <v>7.3</v>
      </c>
      <c r="C256" s="33" t="inlineStr">
        <is>
          <t>10/01/2017 06:13</t>
        </is>
      </c>
      <c r="D256" s="33" t="n">
        <v>6</v>
      </c>
      <c r="E256" s="33" t="n">
        <v>3</v>
      </c>
      <c r="F256" s="33" t="inlineStr">
        <is>
          <t>green</t>
        </is>
      </c>
      <c r="G256" s="33" t="n">
        <v>1</v>
      </c>
      <c r="H256" s="33" t="n">
        <v>849</v>
      </c>
      <c r="I256" s="33" t="inlineStr">
        <is>
          <t>us</t>
        </is>
      </c>
      <c r="J256" s="33" t="n">
        <v>0</v>
      </c>
      <c r="K256" s="33" t="n">
        <v>3.813</v>
      </c>
      <c r="L256" s="33" t="n">
        <v>18</v>
      </c>
      <c r="M256" s="33" t="inlineStr">
        <is>
          <t>mww</t>
        </is>
      </c>
      <c r="N256" s="33" t="n">
        <v>627.17</v>
      </c>
      <c r="O256" s="33" t="n">
        <v>4.4782</v>
      </c>
      <c r="P256" s="33" t="n">
        <v>122.617</v>
      </c>
      <c r="Q256" s="33" t="inlineStr">
        <is>
          <t>Tabiauan, Philippines</t>
        </is>
      </c>
      <c r="T256" s="36">
        <f>DATE(MID(C256,7,4),MID(C256,4,2),MID(C256,1,2))+TIME(MID(C256,12,2),MID(C256,15,2),0)</f>
        <v/>
      </c>
      <c r="U256" s="33">
        <f>IF(ISNUMBER(VALUE(MID(A256,7,1))),"Distance-prefix pattern","Named-region pattern")</f>
        <v/>
      </c>
      <c r="V256" s="33">
        <f>LOWER(M256)</f>
        <v/>
      </c>
      <c r="W256" s="33">
        <f>IF(COUNTIFS($A$2:$A$1001,A256,$C$2:$C$1001,C256)&gt;1,"Duplicate","Unique")</f>
        <v/>
      </c>
      <c r="X256" s="33">
        <f>YEAR(T256)</f>
        <v/>
      </c>
      <c r="Y256" s="33">
        <f>IF(B256&lt;6.5,"&lt;6.5",IF(B256&lt;7,"6.5–6.9",IF(B256&lt;7.5,"7.0–7.4",IF(B256&lt;8,"7.5–7.9","8.0+"))))</f>
        <v/>
      </c>
      <c r="Z256" s="33">
        <f>IF(F256="","Blank",F256)</f>
        <v/>
      </c>
    </row>
    <row r="257" ht="15" customHeight="1" s="34">
      <c r="A257" s="33" t="inlineStr">
        <is>
          <t>M 6.9 - 225 km SW of Nadi, Fiji</t>
        </is>
      </c>
      <c r="B257" s="33" t="n">
        <v>6.9</v>
      </c>
      <c r="C257" s="33" t="inlineStr">
        <is>
          <t>03/01/2017 21:52</t>
        </is>
      </c>
      <c r="D257" s="33" t="n">
        <v>6</v>
      </c>
      <c r="E257" s="33" t="n">
        <v>4</v>
      </c>
      <c r="F257" s="33" t="inlineStr">
        <is>
          <t>green</t>
        </is>
      </c>
      <c r="G257" s="33" t="n">
        <v>1</v>
      </c>
      <c r="H257" s="33" t="n">
        <v>742</v>
      </c>
      <c r="I257" s="33" t="inlineStr">
        <is>
          <t>us</t>
        </is>
      </c>
      <c r="J257" s="33" t="n">
        <v>0</v>
      </c>
      <c r="K257" s="33" t="n">
        <v>2.495</v>
      </c>
      <c r="L257" s="33" t="n">
        <v>13</v>
      </c>
      <c r="M257" s="33" t="inlineStr">
        <is>
          <t>mww</t>
        </is>
      </c>
      <c r="N257" s="33" t="n">
        <v>12</v>
      </c>
      <c r="O257" s="33" t="n">
        <v>-19.3733</v>
      </c>
      <c r="P257" s="33" t="n">
        <v>176.052</v>
      </c>
      <c r="Q257" s="33" t="inlineStr">
        <is>
          <t>Nadi, Fiji</t>
        </is>
      </c>
      <c r="T257" s="36">
        <f>DATE(MID(C257,7,4),MID(C257,4,2),MID(C257,1,2))+TIME(MID(C257,12,2),MID(C257,15,2),0)</f>
        <v/>
      </c>
      <c r="U257" s="33">
        <f>IF(ISNUMBER(VALUE(MID(A257,7,1))),"Distance-prefix pattern","Named-region pattern")</f>
        <v/>
      </c>
      <c r="V257" s="33">
        <f>LOWER(M257)</f>
        <v/>
      </c>
      <c r="W257" s="33">
        <f>IF(COUNTIFS($A$2:$A$1001,A257,$C$2:$C$1001,C257)&gt;1,"Duplicate","Unique")</f>
        <v/>
      </c>
      <c r="X257" s="33">
        <f>YEAR(T257)</f>
        <v/>
      </c>
      <c r="Y257" s="33">
        <f>IF(B257&lt;6.5,"&lt;6.5",IF(B257&lt;7,"6.5–6.9",IF(B257&lt;7.5,"7.0–7.4",IF(B257&lt;8,"7.5–7.9","8.0+"))))</f>
        <v/>
      </c>
      <c r="Z257" s="33">
        <f>IF(F257="","Blank",F257)</f>
        <v/>
      </c>
    </row>
    <row r="258" ht="15" customHeight="1" s="34">
      <c r="A258" s="33" t="inlineStr">
        <is>
          <t>M 7.6 - 41 km SW of Quellón, Chile</t>
        </is>
      </c>
      <c r="B258" s="33" t="n">
        <v>7.6</v>
      </c>
      <c r="C258" s="33" t="inlineStr">
        <is>
          <t>25/12/2016 14:22</t>
        </is>
      </c>
      <c r="D258" s="33" t="n">
        <v>9</v>
      </c>
      <c r="E258" s="33" t="n">
        <v>8</v>
      </c>
      <c r="F258" s="33" t="inlineStr">
        <is>
          <t>yellow</t>
        </is>
      </c>
      <c r="G258" s="33" t="n">
        <v>1</v>
      </c>
      <c r="H258" s="33" t="n">
        <v>1152</v>
      </c>
      <c r="I258" s="33" t="inlineStr">
        <is>
          <t>us</t>
        </is>
      </c>
      <c r="J258" s="33" t="n">
        <v>0</v>
      </c>
      <c r="K258" s="33" t="n">
        <v>0.355</v>
      </c>
      <c r="L258" s="33" t="n">
        <v>29</v>
      </c>
      <c r="M258" s="33" t="inlineStr">
        <is>
          <t>mww</t>
        </is>
      </c>
      <c r="N258" s="33" t="n">
        <v>38</v>
      </c>
      <c r="O258" s="33" t="n">
        <v>-43.4064</v>
      </c>
      <c r="P258" s="33" t="n">
        <v>-73.9413</v>
      </c>
      <c r="Q258" s="33" t="inlineStr">
        <is>
          <t>Quellón, Chile</t>
        </is>
      </c>
      <c r="R258" s="33" t="inlineStr">
        <is>
          <t>South America</t>
        </is>
      </c>
      <c r="S258" s="33" t="inlineStr">
        <is>
          <t>Chile</t>
        </is>
      </c>
      <c r="T258" s="36">
        <f>DATE(MID(C258,7,4),MID(C258,4,2),MID(C258,1,2))+TIME(MID(C258,12,2),MID(C258,15,2),0)</f>
        <v/>
      </c>
      <c r="U258" s="33">
        <f>IF(ISNUMBER(VALUE(MID(A258,7,1))),"Distance-prefix pattern","Named-region pattern")</f>
        <v/>
      </c>
      <c r="V258" s="33">
        <f>LOWER(M258)</f>
        <v/>
      </c>
      <c r="W258" s="33">
        <f>IF(COUNTIFS($A$2:$A$1001,A258,$C$2:$C$1001,C258)&gt;1,"Duplicate","Unique")</f>
        <v/>
      </c>
      <c r="X258" s="33">
        <f>YEAR(T258)</f>
        <v/>
      </c>
      <c r="Y258" s="33">
        <f>IF(B258&lt;6.5,"&lt;6.5",IF(B258&lt;7,"6.5–6.9",IF(B258&lt;7.5,"7.0–7.4",IF(B258&lt;8,"7.5–7.9","8.0+"))))</f>
        <v/>
      </c>
      <c r="Z258" s="33">
        <f>IF(F258="","Blank",F258)</f>
        <v/>
      </c>
    </row>
    <row r="259" ht="15" customHeight="1" s="34">
      <c r="A259" s="33" t="inlineStr">
        <is>
          <t>M 6.7 - 151 km NE of Lospalos, Timor Leste</t>
        </is>
      </c>
      <c r="B259" s="33" t="n">
        <v>6.7</v>
      </c>
      <c r="C259" s="33" t="inlineStr">
        <is>
          <t>21/12/2016 00:17</t>
        </is>
      </c>
      <c r="D259" s="33" t="n">
        <v>5</v>
      </c>
      <c r="E259" s="33" t="n">
        <v>5</v>
      </c>
      <c r="F259" s="33" t="inlineStr">
        <is>
          <t>green</t>
        </is>
      </c>
      <c r="G259" s="33" t="n">
        <v>0</v>
      </c>
      <c r="H259" s="33" t="n">
        <v>726</v>
      </c>
      <c r="I259" s="33" t="inlineStr">
        <is>
          <t>us</t>
        </is>
      </c>
      <c r="J259" s="33" t="n">
        <v>0</v>
      </c>
      <c r="K259" s="33" t="n">
        <v>3.38</v>
      </c>
      <c r="L259" s="33" t="n">
        <v>17</v>
      </c>
      <c r="M259" s="33" t="inlineStr">
        <is>
          <t>mww</t>
        </is>
      </c>
      <c r="N259" s="33" t="n">
        <v>152</v>
      </c>
      <c r="O259" s="33" t="n">
        <v>-7.5082</v>
      </c>
      <c r="P259" s="33" t="n">
        <v>127.921</v>
      </c>
      <c r="Q259" s="33" t="inlineStr">
        <is>
          <t>Lospalos, Timor Leste</t>
        </is>
      </c>
      <c r="S259" s="33" t="inlineStr">
        <is>
          <t>Indonesia</t>
        </is>
      </c>
      <c r="T259" s="36">
        <f>DATE(MID(C259,7,4),MID(C259,4,2),MID(C259,1,2))+TIME(MID(C259,12,2),MID(C259,15,2),0)</f>
        <v/>
      </c>
      <c r="U259" s="33">
        <f>IF(ISNUMBER(VALUE(MID(A259,7,1))),"Distance-prefix pattern","Named-region pattern")</f>
        <v/>
      </c>
      <c r="V259" s="33">
        <f>LOWER(M259)</f>
        <v/>
      </c>
      <c r="W259" s="33">
        <f>IF(COUNTIFS($A$2:$A$1001,A259,$C$2:$C$1001,C259)&gt;1,"Duplicate","Unique")</f>
        <v/>
      </c>
      <c r="X259" s="33">
        <f>YEAR(T259)</f>
        <v/>
      </c>
      <c r="Y259" s="33">
        <f>IF(B259&lt;6.5,"&lt;6.5",IF(B259&lt;7,"6.5–6.9",IF(B259&lt;7.5,"7.0–7.4",IF(B259&lt;8,"7.5–7.9","8.0+"))))</f>
        <v/>
      </c>
      <c r="Z259" s="33">
        <f>IF(F259="","Blank",F259)</f>
        <v/>
      </c>
    </row>
    <row r="260" ht="15" customHeight="1" s="34">
      <c r="A260" s="33" t="inlineStr">
        <is>
          <t>M 7.9 - 140 km E of Kokopo, Papua New Guinea</t>
        </is>
      </c>
      <c r="B260" s="33" t="n">
        <v>7.9</v>
      </c>
      <c r="C260" s="33" t="inlineStr">
        <is>
          <t>17/12/2016 10:51</t>
        </is>
      </c>
      <c r="D260" s="33" t="n">
        <v>9</v>
      </c>
      <c r="E260" s="33" t="n">
        <v>7</v>
      </c>
      <c r="F260" s="33" t="inlineStr">
        <is>
          <t>yellow</t>
        </is>
      </c>
      <c r="G260" s="33" t="n">
        <v>1</v>
      </c>
      <c r="H260" s="33" t="n">
        <v>972</v>
      </c>
      <c r="I260" s="33" t="inlineStr">
        <is>
          <t>us</t>
        </is>
      </c>
      <c r="J260" s="33" t="n">
        <v>0</v>
      </c>
      <c r="K260" s="33" t="n">
        <v>1.389</v>
      </c>
      <c r="L260" s="33" t="n">
        <v>13</v>
      </c>
      <c r="M260" s="33" t="inlineStr">
        <is>
          <t>mww</t>
        </is>
      </c>
      <c r="N260" s="33" t="n">
        <v>94.54000000000001</v>
      </c>
      <c r="O260" s="33" t="n">
        <v>-4.5049</v>
      </c>
      <c r="P260" s="33" t="n">
        <v>153.522</v>
      </c>
      <c r="Q260" s="33" t="inlineStr">
        <is>
          <t>Kokopo, Papua New Guinea</t>
        </is>
      </c>
      <c r="S260" s="33" t="inlineStr">
        <is>
          <t>Papua New Guinea</t>
        </is>
      </c>
      <c r="T260" s="36">
        <f>DATE(MID(C260,7,4),MID(C260,4,2),MID(C260,1,2))+TIME(MID(C260,12,2),MID(C260,15,2),0)</f>
        <v/>
      </c>
      <c r="U260" s="33">
        <f>IF(ISNUMBER(VALUE(MID(A260,7,1))),"Distance-prefix pattern","Named-region pattern")</f>
        <v/>
      </c>
      <c r="V260" s="33">
        <f>LOWER(M260)</f>
        <v/>
      </c>
      <c r="W260" s="33">
        <f>IF(COUNTIFS($A$2:$A$1001,A260,$C$2:$C$1001,C260)&gt;1,"Duplicate","Unique")</f>
        <v/>
      </c>
      <c r="X260" s="33">
        <f>YEAR(T260)</f>
        <v/>
      </c>
      <c r="Y260" s="33">
        <f>IF(B260&lt;6.5,"&lt;6.5",IF(B260&lt;7,"6.5–6.9",IF(B260&lt;7.5,"7.0–7.4",IF(B260&lt;8,"7.5–7.9","8.0+"))))</f>
        <v/>
      </c>
      <c r="Z260" s="33">
        <f>IF(F260="","Blank",F260)</f>
        <v/>
      </c>
    </row>
    <row r="261" ht="15" customHeight="1" s="34">
      <c r="A261" s="33" t="inlineStr">
        <is>
          <t>M 6.9 - 92 km WSW of Kirakira, Solomon Islands</t>
        </is>
      </c>
      <c r="B261" s="33" t="n">
        <v>6.9</v>
      </c>
      <c r="C261" s="33" t="inlineStr">
        <is>
          <t>09/12/2016 19:10</t>
        </is>
      </c>
      <c r="D261" s="33" t="n">
        <v>8</v>
      </c>
      <c r="E261" s="33" t="n">
        <v>6</v>
      </c>
      <c r="F261" s="33" t="inlineStr">
        <is>
          <t>green</t>
        </is>
      </c>
      <c r="G261" s="33" t="n">
        <v>1</v>
      </c>
      <c r="H261" s="33" t="n">
        <v>737</v>
      </c>
      <c r="I261" s="33" t="inlineStr">
        <is>
          <t>us</t>
        </is>
      </c>
      <c r="J261" s="33" t="n">
        <v>0</v>
      </c>
      <c r="K261" s="33" t="n">
        <v>1.747</v>
      </c>
      <c r="L261" s="33" t="n">
        <v>26</v>
      </c>
      <c r="M261" s="33" t="inlineStr">
        <is>
          <t>mww</t>
        </is>
      </c>
      <c r="N261" s="33" t="n">
        <v>19.73</v>
      </c>
      <c r="O261" s="33" t="n">
        <v>-10.749</v>
      </c>
      <c r="P261" s="33" t="n">
        <v>161.132</v>
      </c>
      <c r="Q261" s="33" t="inlineStr">
        <is>
          <t>Kirakira, Solomon Islands</t>
        </is>
      </c>
      <c r="T261" s="36">
        <f>DATE(MID(C261,7,4),MID(C261,4,2),MID(C261,1,2))+TIME(MID(C261,12,2),MID(C261,15,2),0)</f>
        <v/>
      </c>
      <c r="U261" s="33">
        <f>IF(ISNUMBER(VALUE(MID(A261,7,1))),"Distance-prefix pattern","Named-region pattern")</f>
        <v/>
      </c>
      <c r="V261" s="33">
        <f>LOWER(M261)</f>
        <v/>
      </c>
      <c r="W261" s="33">
        <f>IF(COUNTIFS($A$2:$A$1001,A261,$C$2:$C$1001,C261)&gt;1,"Duplicate","Unique")</f>
        <v/>
      </c>
      <c r="X261" s="33">
        <f>YEAR(T261)</f>
        <v/>
      </c>
      <c r="Y261" s="33">
        <f>IF(B261&lt;6.5,"&lt;6.5",IF(B261&lt;7,"6.5–6.9",IF(B261&lt;7.5,"7.0–7.4",IF(B261&lt;8,"7.5–7.9","8.0+"))))</f>
        <v/>
      </c>
      <c r="Z261" s="33">
        <f>IF(F261="","Blank",F261)</f>
        <v/>
      </c>
    </row>
    <row r="262" ht="15" customHeight="1" s="34">
      <c r="A262" s="33" t="inlineStr">
        <is>
          <t>M 6.5 - 79 km WSW of Kirakira, Solomon Islands</t>
        </is>
      </c>
      <c r="B262" s="33" t="n">
        <v>6.5</v>
      </c>
      <c r="C262" s="33" t="inlineStr">
        <is>
          <t>08/12/2016 21:56</t>
        </is>
      </c>
      <c r="D262" s="33" t="n">
        <v>0</v>
      </c>
      <c r="E262" s="33" t="n">
        <v>5</v>
      </c>
      <c r="F262" s="33" t="inlineStr">
        <is>
          <t>green</t>
        </is>
      </c>
      <c r="G262" s="33" t="n">
        <v>0</v>
      </c>
      <c r="H262" s="33" t="n">
        <v>650</v>
      </c>
      <c r="I262" s="33" t="inlineStr">
        <is>
          <t>us</t>
        </is>
      </c>
      <c r="J262" s="33" t="n">
        <v>0</v>
      </c>
      <c r="K262" s="33" t="n">
        <v>1.937</v>
      </c>
      <c r="L262" s="33" t="n">
        <v>18</v>
      </c>
      <c r="M262" s="33" t="inlineStr">
        <is>
          <t>mww</t>
        </is>
      </c>
      <c r="N262" s="33" t="n">
        <v>12.26</v>
      </c>
      <c r="O262" s="33" t="n">
        <v>-10.8416</v>
      </c>
      <c r="P262" s="33" t="n">
        <v>161.314</v>
      </c>
      <c r="Q262" s="33" t="inlineStr">
        <is>
          <t>Kirakira, Solomon Islands</t>
        </is>
      </c>
      <c r="T262" s="36">
        <f>DATE(MID(C262,7,4),MID(C262,4,2),MID(C262,1,2))+TIME(MID(C262,12,2),MID(C262,15,2),0)</f>
        <v/>
      </c>
      <c r="U262" s="33">
        <f>IF(ISNUMBER(VALUE(MID(A262,7,1))),"Distance-prefix pattern","Named-region pattern")</f>
        <v/>
      </c>
      <c r="V262" s="33">
        <f>LOWER(M262)</f>
        <v/>
      </c>
      <c r="W262" s="33">
        <f>IF(COUNTIFS($A$2:$A$1001,A262,$C$2:$C$1001,C262)&gt;1,"Duplicate","Unique")</f>
        <v/>
      </c>
      <c r="X262" s="33">
        <f>YEAR(T262)</f>
        <v/>
      </c>
      <c r="Y262" s="33">
        <f>IF(B262&lt;6.5,"&lt;6.5",IF(B262&lt;7,"6.5–6.9",IF(B262&lt;7.5,"7.0–7.4",IF(B262&lt;8,"7.5–7.9","8.0+"))))</f>
        <v/>
      </c>
      <c r="Z262" s="33">
        <f>IF(F262="","Blank",F262)</f>
        <v/>
      </c>
    </row>
    <row r="263" ht="15" customHeight="1" s="34">
      <c r="A263" s="33" t="inlineStr">
        <is>
          <t>M 7.8 - 69 km WSW of Kirakira, Solomon Islands</t>
        </is>
      </c>
      <c r="B263" s="33" t="n">
        <v>7.8</v>
      </c>
      <c r="C263" s="33" t="inlineStr">
        <is>
          <t>08/12/2016 17:38</t>
        </is>
      </c>
      <c r="D263" s="33" t="n">
        <v>9</v>
      </c>
      <c r="E263" s="33" t="n">
        <v>8</v>
      </c>
      <c r="F263" s="33" t="inlineStr">
        <is>
          <t>green</t>
        </is>
      </c>
      <c r="G263" s="33" t="n">
        <v>1</v>
      </c>
      <c r="H263" s="33" t="n">
        <v>961</v>
      </c>
      <c r="I263" s="33" t="inlineStr">
        <is>
          <t>us</t>
        </is>
      </c>
      <c r="J263" s="33" t="n">
        <v>0</v>
      </c>
      <c r="K263" s="33" t="n">
        <v>1.836</v>
      </c>
      <c r="L263" s="33" t="n">
        <v>13</v>
      </c>
      <c r="M263" s="33" t="inlineStr">
        <is>
          <t>mww</t>
        </is>
      </c>
      <c r="N263" s="33" t="n">
        <v>40</v>
      </c>
      <c r="O263" s="33" t="n">
        <v>-10.6812</v>
      </c>
      <c r="P263" s="33" t="n">
        <v>161.327</v>
      </c>
      <c r="Q263" s="33" t="inlineStr">
        <is>
          <t>Kirakira, Solomon Islands</t>
        </is>
      </c>
      <c r="S263" s="33" t="inlineStr">
        <is>
          <t>Solomon Islands</t>
        </is>
      </c>
      <c r="T263" s="36">
        <f>DATE(MID(C263,7,4),MID(C263,4,2),MID(C263,1,2))+TIME(MID(C263,12,2),MID(C263,15,2),0)</f>
        <v/>
      </c>
      <c r="U263" s="33">
        <f>IF(ISNUMBER(VALUE(MID(A263,7,1))),"Distance-prefix pattern","Named-region pattern")</f>
        <v/>
      </c>
      <c r="V263" s="33">
        <f>LOWER(M263)</f>
        <v/>
      </c>
      <c r="W263" s="33">
        <f>IF(COUNTIFS($A$2:$A$1001,A263,$C$2:$C$1001,C263)&gt;1,"Duplicate","Unique")</f>
        <v/>
      </c>
      <c r="X263" s="33">
        <f>YEAR(T263)</f>
        <v/>
      </c>
      <c r="Y263" s="33">
        <f>IF(B263&lt;6.5,"&lt;6.5",IF(B263&lt;7,"6.5–6.9",IF(B263&lt;7.5,"7.0–7.4",IF(B263&lt;8,"7.5–7.9","8.0+"))))</f>
        <v/>
      </c>
      <c r="Z263" s="33">
        <f>IF(F263="","Blank",F263)</f>
        <v/>
      </c>
    </row>
    <row r="264" ht="15" customHeight="1" s="34">
      <c r="A264" s="33" t="inlineStr">
        <is>
          <t>M 6.6 - 164 km W of Ferndale, California</t>
        </is>
      </c>
      <c r="B264" s="33" t="n">
        <v>6.6</v>
      </c>
      <c r="C264" s="33" t="inlineStr">
        <is>
          <t>08/12/2016 14:49</t>
        </is>
      </c>
      <c r="D264" s="33" t="n">
        <v>5</v>
      </c>
      <c r="E264" s="33" t="n">
        <v>4</v>
      </c>
      <c r="F264" s="33" t="inlineStr">
        <is>
          <t>green</t>
        </is>
      </c>
      <c r="G264" s="33" t="n">
        <v>1</v>
      </c>
      <c r="H264" s="33" t="n">
        <v>1120</v>
      </c>
      <c r="I264" s="33" t="inlineStr">
        <is>
          <t>us</t>
        </is>
      </c>
      <c r="J264" s="33" t="n">
        <v>0</v>
      </c>
      <c r="K264" s="33" t="n">
        <v>1.405</v>
      </c>
      <c r="L264" s="33" t="n">
        <v>55</v>
      </c>
      <c r="M264" s="33" t="inlineStr">
        <is>
          <t>mww</t>
        </is>
      </c>
      <c r="N264" s="33" t="n">
        <v>8.449999999999999</v>
      </c>
      <c r="O264" s="33" t="n">
        <v>40.4535</v>
      </c>
      <c r="P264" s="33" t="n">
        <v>-126.194</v>
      </c>
      <c r="Q264" s="33" t="inlineStr">
        <is>
          <t>Ferndale, California</t>
        </is>
      </c>
      <c r="T264" s="36">
        <f>DATE(MID(C264,7,4),MID(C264,4,2),MID(C264,1,2))+TIME(MID(C264,12,2),MID(C264,15,2),0)</f>
        <v/>
      </c>
      <c r="U264" s="33">
        <f>IF(ISNUMBER(VALUE(MID(A264,7,1))),"Distance-prefix pattern","Named-region pattern")</f>
        <v/>
      </c>
      <c r="V264" s="33">
        <f>LOWER(M264)</f>
        <v/>
      </c>
      <c r="W264" s="33">
        <f>IF(COUNTIFS($A$2:$A$1001,A264,$C$2:$C$1001,C264)&gt;1,"Duplicate","Unique")</f>
        <v/>
      </c>
      <c r="X264" s="33">
        <f>YEAR(T264)</f>
        <v/>
      </c>
      <c r="Y264" s="33">
        <f>IF(B264&lt;6.5,"&lt;6.5",IF(B264&lt;7,"6.5–6.9",IF(B264&lt;7.5,"7.0–7.4",IF(B264&lt;8,"7.5–7.9","8.0+"))))</f>
        <v/>
      </c>
      <c r="Z264" s="33">
        <f>IF(F264="","Blank",F264)</f>
        <v/>
      </c>
    </row>
    <row r="265" ht="15" customHeight="1" s="34">
      <c r="A265" s="33" t="inlineStr">
        <is>
          <t>M 6.5 - 14 km WNW of Reuleuet, Indonesia</t>
        </is>
      </c>
      <c r="B265" s="33" t="n">
        <v>6.5</v>
      </c>
      <c r="C265" s="33" t="inlineStr">
        <is>
          <t>06/12/2016 22:03</t>
        </is>
      </c>
      <c r="D265" s="33" t="n">
        <v>9</v>
      </c>
      <c r="E265" s="33" t="n">
        <v>8</v>
      </c>
      <c r="F265" s="33" t="inlineStr">
        <is>
          <t>yellow</t>
        </is>
      </c>
      <c r="G265" s="33" t="n">
        <v>0</v>
      </c>
      <c r="H265" s="33" t="n">
        <v>731</v>
      </c>
      <c r="I265" s="33" t="inlineStr">
        <is>
          <t>us</t>
        </is>
      </c>
      <c r="J265" s="33" t="n">
        <v>0</v>
      </c>
      <c r="K265" s="33" t="n">
        <v>0.778</v>
      </c>
      <c r="L265" s="33" t="n">
        <v>27</v>
      </c>
      <c r="M265" s="33" t="inlineStr">
        <is>
          <t>mww</t>
        </is>
      </c>
      <c r="N265" s="33" t="n">
        <v>13</v>
      </c>
      <c r="O265" s="33" t="n">
        <v>5.2834</v>
      </c>
      <c r="P265" s="33" t="n">
        <v>96.1678</v>
      </c>
      <c r="Q265" s="33" t="inlineStr">
        <is>
          <t>Reuleuet, Indonesia</t>
        </is>
      </c>
      <c r="S265" s="33" t="inlineStr">
        <is>
          <t>Indonesia</t>
        </is>
      </c>
      <c r="T265" s="36">
        <f>DATE(MID(C265,7,4),MID(C265,4,2),MID(C265,1,2))+TIME(MID(C265,12,2),MID(C265,15,2),0)</f>
        <v/>
      </c>
      <c r="U265" s="33">
        <f>IF(ISNUMBER(VALUE(MID(A265,7,1))),"Distance-prefix pattern","Named-region pattern")</f>
        <v/>
      </c>
      <c r="V265" s="33">
        <f>LOWER(M265)</f>
        <v/>
      </c>
      <c r="W265" s="33">
        <f>IF(COUNTIFS($A$2:$A$1001,A265,$C$2:$C$1001,C265)&gt;1,"Duplicate","Unique")</f>
        <v/>
      </c>
      <c r="X265" s="33">
        <f>YEAR(T265)</f>
        <v/>
      </c>
      <c r="Y265" s="33">
        <f>IF(B265&lt;6.5,"&lt;6.5",IF(B265&lt;7,"6.5–6.9",IF(B265&lt;7.5,"7.0–7.4",IF(B265&lt;8,"7.5–7.9","8.0+"))))</f>
        <v/>
      </c>
      <c r="Z265" s="33">
        <f>IF(F265="","Blank",F265)</f>
        <v/>
      </c>
    </row>
    <row r="266" ht="15" customHeight="1" s="34">
      <c r="A266" s="33" t="inlineStr">
        <is>
          <t>M 6.6 - 122 km N of Murghob, Tajikistan</t>
        </is>
      </c>
      <c r="B266" s="33" t="n">
        <v>6.6</v>
      </c>
      <c r="C266" s="33" t="inlineStr">
        <is>
          <t>25/11/2016 14:24</t>
        </is>
      </c>
      <c r="D266" s="33" t="n">
        <v>8</v>
      </c>
      <c r="E266" s="33" t="n">
        <v>7</v>
      </c>
      <c r="F266" s="33" t="inlineStr">
        <is>
          <t>green</t>
        </is>
      </c>
      <c r="G266" s="33" t="n">
        <v>0</v>
      </c>
      <c r="H266" s="33" t="n">
        <v>693</v>
      </c>
      <c r="I266" s="33" t="inlineStr">
        <is>
          <t>us</t>
        </is>
      </c>
      <c r="J266" s="33" t="n">
        <v>0</v>
      </c>
      <c r="K266" s="33" t="n">
        <v>1.697</v>
      </c>
      <c r="L266" s="33" t="n">
        <v>20</v>
      </c>
      <c r="M266" s="33" t="inlineStr">
        <is>
          <t>mww</t>
        </is>
      </c>
      <c r="N266" s="33" t="n">
        <v>17</v>
      </c>
      <c r="O266" s="33" t="n">
        <v>39.2732</v>
      </c>
      <c r="P266" s="33" t="n">
        <v>73.9776</v>
      </c>
      <c r="Q266" s="33" t="inlineStr">
        <is>
          <t>Murghob, Tajikistan</t>
        </is>
      </c>
      <c r="R266" s="33" t="inlineStr">
        <is>
          <t>Asia</t>
        </is>
      </c>
      <c r="S266" s="33" t="inlineStr">
        <is>
          <t>People's Republic of China</t>
        </is>
      </c>
      <c r="T266" s="36">
        <f>DATE(MID(C266,7,4),MID(C266,4,2),MID(C266,1,2))+TIME(MID(C266,12,2),MID(C266,15,2),0)</f>
        <v/>
      </c>
      <c r="U266" s="33">
        <f>IF(ISNUMBER(VALUE(MID(A266,7,1))),"Distance-prefix pattern","Named-region pattern")</f>
        <v/>
      </c>
      <c r="V266" s="33">
        <f>LOWER(M266)</f>
        <v/>
      </c>
      <c r="W266" s="33">
        <f>IF(COUNTIFS($A$2:$A$1001,A266,$C$2:$C$1001,C266)&gt;1,"Duplicate","Unique")</f>
        <v/>
      </c>
      <c r="X266" s="33">
        <f>YEAR(T266)</f>
        <v/>
      </c>
      <c r="Y266" s="33">
        <f>IF(B266&lt;6.5,"&lt;6.5",IF(B266&lt;7,"6.5–6.9",IF(B266&lt;7.5,"7.0–7.4",IF(B266&lt;8,"7.5–7.9","8.0+"))))</f>
        <v/>
      </c>
      <c r="Z266" s="33">
        <f>IF(F266="","Blank",F266)</f>
        <v/>
      </c>
    </row>
    <row r="267" ht="15" customHeight="1" s="34">
      <c r="A267" s="33" t="inlineStr">
        <is>
          <t>M 6.9 - 156 km SSW of Puerto El Triunfo, El Salvador</t>
        </is>
      </c>
      <c r="B267" s="33" t="n">
        <v>6.9</v>
      </c>
      <c r="C267" s="33" t="inlineStr">
        <is>
          <t>24/11/2016 18:43</t>
        </is>
      </c>
      <c r="D267" s="33" t="n">
        <v>5</v>
      </c>
      <c r="E267" s="33" t="n">
        <v>4</v>
      </c>
      <c r="F267" s="33" t="inlineStr">
        <is>
          <t>green</t>
        </is>
      </c>
      <c r="G267" s="33" t="n">
        <v>1</v>
      </c>
      <c r="H267" s="33" t="n">
        <v>855</v>
      </c>
      <c r="I267" s="33" t="inlineStr">
        <is>
          <t>us</t>
        </is>
      </c>
      <c r="J267" s="33" t="n">
        <v>0</v>
      </c>
      <c r="K267" s="33" t="n">
        <v>1.796</v>
      </c>
      <c r="L267" s="33" t="n">
        <v>20</v>
      </c>
      <c r="M267" s="33" t="inlineStr">
        <is>
          <t>mww</t>
        </is>
      </c>
      <c r="N267" s="33" t="n">
        <v>10</v>
      </c>
      <c r="O267" s="33" t="n">
        <v>11.9097</v>
      </c>
      <c r="P267" s="33" t="n">
        <v>-88.8968</v>
      </c>
      <c r="Q267" s="33" t="inlineStr">
        <is>
          <t>Puerto El Triunfo, El Salvador</t>
        </is>
      </c>
      <c r="T267" s="36">
        <f>DATE(MID(C267,7,4),MID(C267,4,2),MID(C267,1,2))+TIME(MID(C267,12,2),MID(C267,15,2),0)</f>
        <v/>
      </c>
      <c r="U267" s="33">
        <f>IF(ISNUMBER(VALUE(MID(A267,7,1))),"Distance-prefix pattern","Named-region pattern")</f>
        <v/>
      </c>
      <c r="V267" s="33">
        <f>LOWER(M267)</f>
        <v/>
      </c>
      <c r="W267" s="33">
        <f>IF(COUNTIFS($A$2:$A$1001,A267,$C$2:$C$1001,C267)&gt;1,"Duplicate","Unique")</f>
        <v/>
      </c>
      <c r="X267" s="33">
        <f>YEAR(T267)</f>
        <v/>
      </c>
      <c r="Y267" s="33">
        <f>IF(B267&lt;6.5,"&lt;6.5",IF(B267&lt;7,"6.5–6.9",IF(B267&lt;7.5,"7.0–7.4",IF(B267&lt;8,"7.5–7.9","8.0+"))))</f>
        <v/>
      </c>
      <c r="Z267" s="33">
        <f>IF(F267="","Blank",F267)</f>
        <v/>
      </c>
    </row>
    <row r="268" ht="15" customHeight="1" s="34">
      <c r="A268" s="33" t="inlineStr">
        <is>
          <t>M 6.9 - 35 km ESE of Namie, Japan</t>
        </is>
      </c>
      <c r="B268" s="33" t="n">
        <v>6.9</v>
      </c>
      <c r="C268" s="33" t="inlineStr">
        <is>
          <t>21/11/2016 20:59</t>
        </is>
      </c>
      <c r="D268" s="33" t="n">
        <v>9</v>
      </c>
      <c r="E268" s="33" t="n">
        <v>6</v>
      </c>
      <c r="F268" s="33" t="inlineStr">
        <is>
          <t>green</t>
        </is>
      </c>
      <c r="G268" s="33" t="n">
        <v>1</v>
      </c>
      <c r="H268" s="33" t="n">
        <v>1144</v>
      </c>
      <c r="I268" s="33" t="inlineStr">
        <is>
          <t>us</t>
        </is>
      </c>
      <c r="J268" s="33" t="n">
        <v>0</v>
      </c>
      <c r="K268" s="33" t="n">
        <v>0.671</v>
      </c>
      <c r="L268" s="33" t="n">
        <v>10</v>
      </c>
      <c r="M268" s="33" t="inlineStr">
        <is>
          <t>mww</t>
        </is>
      </c>
      <c r="N268" s="33" t="n">
        <v>9</v>
      </c>
      <c r="O268" s="33" t="n">
        <v>37.3931</v>
      </c>
      <c r="P268" s="33" t="n">
        <v>141.387</v>
      </c>
      <c r="Q268" s="33" t="inlineStr">
        <is>
          <t>Namie, Japan</t>
        </is>
      </c>
      <c r="R268" s="33" t="inlineStr">
        <is>
          <t>Asia</t>
        </is>
      </c>
      <c r="T268" s="36">
        <f>DATE(MID(C268,7,4),MID(C268,4,2),MID(C268,1,2))+TIME(MID(C268,12,2),MID(C268,15,2),0)</f>
        <v/>
      </c>
      <c r="U268" s="33">
        <f>IF(ISNUMBER(VALUE(MID(A268,7,1))),"Distance-prefix pattern","Named-region pattern")</f>
        <v/>
      </c>
      <c r="V268" s="33">
        <f>LOWER(M268)</f>
        <v/>
      </c>
      <c r="W268" s="33">
        <f>IF(COUNTIFS($A$2:$A$1001,A268,$C$2:$C$1001,C268)&gt;1,"Duplicate","Unique")</f>
        <v/>
      </c>
      <c r="X268" s="33">
        <f>YEAR(T268)</f>
        <v/>
      </c>
      <c r="Y268" s="33">
        <f>IF(B268&lt;6.5,"&lt;6.5",IF(B268&lt;7,"6.5–6.9",IF(B268&lt;7.5,"7.0–7.4",IF(B268&lt;8,"7.5–7.9","8.0+"))))</f>
        <v/>
      </c>
      <c r="Z268" s="33">
        <f>IF(F268="","Blank",F268)</f>
        <v/>
      </c>
    </row>
    <row r="269" ht="15" customHeight="1" s="34">
      <c r="A269" s="33" t="inlineStr">
        <is>
          <t>M 6.5 - 74 km NE of Amberley, New Zealand</t>
        </is>
      </c>
      <c r="B269" s="33" t="n">
        <v>6.5</v>
      </c>
      <c r="C269" s="33" t="inlineStr">
        <is>
          <t>14/11/2016 00:34</t>
        </is>
      </c>
      <c r="D269" s="33" t="n">
        <v>7</v>
      </c>
      <c r="E269" s="33" t="n">
        <v>7</v>
      </c>
      <c r="F269" s="33" t="inlineStr">
        <is>
          <t>yellow</t>
        </is>
      </c>
      <c r="G269" s="33" t="n">
        <v>1</v>
      </c>
      <c r="H269" s="33" t="n">
        <v>664</v>
      </c>
      <c r="I269" s="33" t="inlineStr">
        <is>
          <t>us</t>
        </is>
      </c>
      <c r="J269" s="33" t="n">
        <v>0</v>
      </c>
      <c r="K269" s="33" t="n">
        <v>0.283</v>
      </c>
      <c r="L269" s="33" t="n">
        <v>56</v>
      </c>
      <c r="M269" s="33" t="inlineStr">
        <is>
          <t>mww</t>
        </is>
      </c>
      <c r="N269" s="33" t="n">
        <v>9</v>
      </c>
      <c r="O269" s="33" t="n">
        <v>-42.6058</v>
      </c>
      <c r="P269" s="33" t="n">
        <v>173.254</v>
      </c>
      <c r="Q269" s="33" t="inlineStr">
        <is>
          <t>Amberley, New Zealand</t>
        </is>
      </c>
      <c r="S269" s="33" t="inlineStr">
        <is>
          <t>New Zealand</t>
        </is>
      </c>
      <c r="T269" s="36">
        <f>DATE(MID(C269,7,4),MID(C269,4,2),MID(C269,1,2))+TIME(MID(C269,12,2),MID(C269,15,2),0)</f>
        <v/>
      </c>
      <c r="U269" s="33">
        <f>IF(ISNUMBER(VALUE(MID(A269,7,1))),"Distance-prefix pattern","Named-region pattern")</f>
        <v/>
      </c>
      <c r="V269" s="33">
        <f>LOWER(M269)</f>
        <v/>
      </c>
      <c r="W269" s="33">
        <f>IF(COUNTIFS($A$2:$A$1001,A269,$C$2:$C$1001,C269)&gt;1,"Duplicate","Unique")</f>
        <v/>
      </c>
      <c r="X269" s="33">
        <f>YEAR(T269)</f>
        <v/>
      </c>
      <c r="Y269" s="33">
        <f>IF(B269&lt;6.5,"&lt;6.5",IF(B269&lt;7,"6.5–6.9",IF(B269&lt;7.5,"7.0–7.4",IF(B269&lt;8,"7.5–7.9","8.0+"))))</f>
        <v/>
      </c>
      <c r="Z269" s="33">
        <f>IF(F269="","Blank",F269)</f>
        <v/>
      </c>
    </row>
    <row r="270" ht="15" customHeight="1" s="34">
      <c r="A270" s="33" t="inlineStr">
        <is>
          <t>M 6.5 - 92 km SSW of Blenheim, New Zealand</t>
        </is>
      </c>
      <c r="B270" s="33" t="n">
        <v>6.5</v>
      </c>
      <c r="C270" s="33" t="inlineStr">
        <is>
          <t>13/11/2016 11:32</t>
        </is>
      </c>
      <c r="D270" s="33" t="n">
        <v>6</v>
      </c>
      <c r="E270" s="33" t="n">
        <v>7</v>
      </c>
      <c r="F270" s="33" t="inlineStr">
        <is>
          <t>yellow</t>
        </is>
      </c>
      <c r="G270" s="33" t="n">
        <v>1</v>
      </c>
      <c r="H270" s="33" t="n">
        <v>656</v>
      </c>
      <c r="I270" s="33" t="inlineStr">
        <is>
          <t>us</t>
        </is>
      </c>
      <c r="J270" s="33" t="n">
        <v>0</v>
      </c>
      <c r="K270" s="33" t="n">
        <v>0.135</v>
      </c>
      <c r="L270" s="33" t="n">
        <v>58</v>
      </c>
      <c r="M270" s="33" t="inlineStr">
        <is>
          <t>mww</t>
        </is>
      </c>
      <c r="N270" s="33" t="n">
        <v>10</v>
      </c>
      <c r="O270" s="33" t="n">
        <v>-42.3205</v>
      </c>
      <c r="P270" s="33" t="n">
        <v>173.669</v>
      </c>
      <c r="Q270" s="33" t="inlineStr">
        <is>
          <t>Blenheim, New Zealand</t>
        </is>
      </c>
      <c r="S270" s="33" t="inlineStr">
        <is>
          <t>New Zealand</t>
        </is>
      </c>
      <c r="T270" s="36">
        <f>DATE(MID(C270,7,4),MID(C270,4,2),MID(C270,1,2))+TIME(MID(C270,12,2),MID(C270,15,2),0)</f>
        <v/>
      </c>
      <c r="U270" s="33">
        <f>IF(ISNUMBER(VALUE(MID(A270,7,1))),"Distance-prefix pattern","Named-region pattern")</f>
        <v/>
      </c>
      <c r="V270" s="33">
        <f>LOWER(M270)</f>
        <v/>
      </c>
      <c r="W270" s="33">
        <f>IF(COUNTIFS($A$2:$A$1001,A270,$C$2:$C$1001,C270)&gt;1,"Duplicate","Unique")</f>
        <v/>
      </c>
      <c r="X270" s="33">
        <f>YEAR(T270)</f>
        <v/>
      </c>
      <c r="Y270" s="33">
        <f>IF(B270&lt;6.5,"&lt;6.5",IF(B270&lt;7,"6.5–6.9",IF(B270&lt;7.5,"7.0–7.4",IF(B270&lt;8,"7.5–7.9","8.0+"))))</f>
        <v/>
      </c>
      <c r="Z270" s="33">
        <f>IF(F270="","Blank",F270)</f>
        <v/>
      </c>
    </row>
    <row r="271" ht="15" customHeight="1" s="34">
      <c r="A271" s="33" t="inlineStr">
        <is>
          <t>M 7.8 - 53 km NNE of Amberley, New Zealand</t>
        </is>
      </c>
      <c r="B271" s="33" t="n">
        <v>7.8</v>
      </c>
      <c r="C271" s="33" t="inlineStr">
        <is>
          <t>13/11/2016 11:02</t>
        </is>
      </c>
      <c r="D271" s="33" t="n">
        <v>9</v>
      </c>
      <c r="E271" s="33" t="n">
        <v>9</v>
      </c>
      <c r="F271" s="33" t="inlineStr">
        <is>
          <t>orange</t>
        </is>
      </c>
      <c r="G271" s="33" t="n">
        <v>1</v>
      </c>
      <c r="H271" s="33" t="n">
        <v>1545</v>
      </c>
      <c r="I271" s="33" t="inlineStr">
        <is>
          <t>us</t>
        </is>
      </c>
      <c r="J271" s="33" t="n">
        <v>0</v>
      </c>
      <c r="K271" s="33" t="n">
        <v>0.481</v>
      </c>
      <c r="L271" s="33" t="n">
        <v>21</v>
      </c>
      <c r="M271" s="33" t="inlineStr">
        <is>
          <t>mww</t>
        </is>
      </c>
      <c r="N271" s="33" t="n">
        <v>15.11</v>
      </c>
      <c r="O271" s="33" t="n">
        <v>-42.7373</v>
      </c>
      <c r="P271" s="33" t="n">
        <v>173.054</v>
      </c>
      <c r="Q271" s="33" t="inlineStr">
        <is>
          <t>Amberley, New Zealand</t>
        </is>
      </c>
      <c r="S271" s="33" t="inlineStr">
        <is>
          <t>New Zealand</t>
        </is>
      </c>
      <c r="T271" s="36">
        <f>DATE(MID(C271,7,4),MID(C271,4,2),MID(C271,1,2))+TIME(MID(C271,12,2),MID(C271,15,2),0)</f>
        <v/>
      </c>
      <c r="U271" s="33">
        <f>IF(ISNUMBER(VALUE(MID(A271,7,1))),"Distance-prefix pattern","Named-region pattern")</f>
        <v/>
      </c>
      <c r="V271" s="33">
        <f>LOWER(M271)</f>
        <v/>
      </c>
      <c r="W271" s="33">
        <f>IF(COUNTIFS($A$2:$A$1001,A271,$C$2:$C$1001,C271)&gt;1,"Duplicate","Unique")</f>
        <v/>
      </c>
      <c r="X271" s="33">
        <f>YEAR(T271)</f>
        <v/>
      </c>
      <c r="Y271" s="33">
        <f>IF(B271&lt;6.5,"&lt;6.5",IF(B271&lt;7,"6.5–6.9",IF(B271&lt;7.5,"7.0–7.4",IF(B271&lt;8,"7.5–7.9","8.0+"))))</f>
        <v/>
      </c>
      <c r="Z271" s="33">
        <f>IF(F271="","Blank",F271)</f>
        <v/>
      </c>
    </row>
    <row r="272" ht="15" customHeight="1" s="34">
      <c r="A272" s="33" t="inlineStr">
        <is>
          <t>M 6.6 - 5 km ESE of Preci, Italy</t>
        </is>
      </c>
      <c r="B272" s="33" t="n">
        <v>6.6</v>
      </c>
      <c r="C272" s="33" t="inlineStr">
        <is>
          <t>30/10/2016 06:40</t>
        </is>
      </c>
      <c r="D272" s="33" t="n">
        <v>9</v>
      </c>
      <c r="E272" s="33" t="n">
        <v>8</v>
      </c>
      <c r="F272" s="33" t="inlineStr">
        <is>
          <t>red</t>
        </is>
      </c>
      <c r="G272" s="33" t="n">
        <v>0</v>
      </c>
      <c r="H272" s="33" t="n">
        <v>2840</v>
      </c>
      <c r="I272" s="33" t="inlineStr">
        <is>
          <t>us</t>
        </is>
      </c>
      <c r="J272" s="33" t="n">
        <v>0</v>
      </c>
      <c r="K272" s="33" t="n">
        <v>0.174</v>
      </c>
      <c r="L272" s="33" t="n">
        <v>25</v>
      </c>
      <c r="M272" s="33" t="inlineStr">
        <is>
          <t>mww</t>
        </is>
      </c>
      <c r="N272" s="33" t="n">
        <v>8</v>
      </c>
      <c r="O272" s="33" t="n">
        <v>42.8621</v>
      </c>
      <c r="P272" s="33" t="n">
        <v>13.0961</v>
      </c>
      <c r="Q272" s="33" t="inlineStr">
        <is>
          <t>Preci, Italy</t>
        </is>
      </c>
      <c r="R272" s="33" t="inlineStr">
        <is>
          <t>Europe</t>
        </is>
      </c>
      <c r="S272" s="33" t="inlineStr">
        <is>
          <t>Italy</t>
        </is>
      </c>
      <c r="T272" s="36">
        <f>DATE(MID(C272,7,4),MID(C272,4,2),MID(C272,1,2))+TIME(MID(C272,12,2),MID(C272,15,2),0)</f>
        <v/>
      </c>
      <c r="U272" s="33">
        <f>IF(ISNUMBER(VALUE(MID(A272,7,1))),"Distance-prefix pattern","Named-region pattern")</f>
        <v/>
      </c>
      <c r="V272" s="33">
        <f>LOWER(M272)</f>
        <v/>
      </c>
      <c r="W272" s="33">
        <f>IF(COUNTIFS($A$2:$A$1001,A272,$C$2:$C$1001,C272)&gt;1,"Duplicate","Unique")</f>
        <v/>
      </c>
      <c r="X272" s="33">
        <f>YEAR(T272)</f>
        <v/>
      </c>
      <c r="Y272" s="33">
        <f>IF(B272&lt;6.5,"&lt;6.5",IF(B272&lt;7,"6.5–6.9",IF(B272&lt;7.5,"7.0–7.4",IF(B272&lt;8,"7.5–7.9","8.0+"))))</f>
        <v/>
      </c>
      <c r="Z272" s="33">
        <f>IF(F272="","Blank",F272)</f>
        <v/>
      </c>
    </row>
    <row r="273" ht="15" customHeight="1" s="34">
      <c r="A273" s="33" t="inlineStr">
        <is>
          <t>M 6.6 - 161 km NNE of Pamanukan, Indonesia</t>
        </is>
      </c>
      <c r="B273" s="33" t="n">
        <v>6.6</v>
      </c>
      <c r="C273" s="33" t="inlineStr">
        <is>
          <t>19/10/2016 00:26</t>
        </is>
      </c>
      <c r="D273" s="33" t="n">
        <v>3</v>
      </c>
      <c r="E273" s="33" t="n">
        <v>3</v>
      </c>
      <c r="F273" s="33" t="inlineStr">
        <is>
          <t>green</t>
        </is>
      </c>
      <c r="G273" s="33" t="n">
        <v>0</v>
      </c>
      <c r="H273" s="33" t="n">
        <v>677</v>
      </c>
      <c r="I273" s="33" t="inlineStr">
        <is>
          <t>us</t>
        </is>
      </c>
      <c r="J273" s="33" t="n">
        <v>0</v>
      </c>
      <c r="K273" s="33" t="n">
        <v>2.022</v>
      </c>
      <c r="L273" s="33" t="n">
        <v>16</v>
      </c>
      <c r="M273" s="33" t="inlineStr">
        <is>
          <t>mww</t>
        </is>
      </c>
      <c r="N273" s="33" t="n">
        <v>614</v>
      </c>
      <c r="O273" s="33" t="n">
        <v>-4.8626</v>
      </c>
      <c r="P273" s="33" t="n">
        <v>108.163</v>
      </c>
      <c r="Q273" s="33" t="inlineStr">
        <is>
          <t>Pamanukan, Indonesia</t>
        </is>
      </c>
      <c r="S273" s="33" t="inlineStr">
        <is>
          <t>Indonesia</t>
        </is>
      </c>
      <c r="T273" s="36">
        <f>DATE(MID(C273,7,4),MID(C273,4,2),MID(C273,1,2))+TIME(MID(C273,12,2),MID(C273,15,2),0)</f>
        <v/>
      </c>
      <c r="U273" s="33">
        <f>IF(ISNUMBER(VALUE(MID(A273,7,1))),"Distance-prefix pattern","Named-region pattern")</f>
        <v/>
      </c>
      <c r="V273" s="33">
        <f>LOWER(M273)</f>
        <v/>
      </c>
      <c r="W273" s="33">
        <f>IF(COUNTIFS($A$2:$A$1001,A273,$C$2:$C$1001,C273)&gt;1,"Duplicate","Unique")</f>
        <v/>
      </c>
      <c r="X273" s="33">
        <f>YEAR(T273)</f>
        <v/>
      </c>
      <c r="Y273" s="33">
        <f>IF(B273&lt;6.5,"&lt;6.5",IF(B273&lt;7,"6.5–6.9",IF(B273&lt;7.5,"7.0–7.4",IF(B273&lt;8,"7.5–7.9","8.0+"))))</f>
        <v/>
      </c>
      <c r="Z273" s="33">
        <f>IF(F273="","Blank",F273)</f>
        <v/>
      </c>
    </row>
    <row r="274" ht="15" customHeight="1" s="34">
      <c r="A274" s="33" t="inlineStr">
        <is>
          <t>M 6.8 - 76 km WNW of Kandrian, Papua New Guinea</t>
        </is>
      </c>
      <c r="B274" s="33" t="n">
        <v>6.8</v>
      </c>
      <c r="C274" s="33" t="inlineStr">
        <is>
          <t>17/10/2016 06:14</t>
        </is>
      </c>
      <c r="D274" s="33" t="n">
        <v>3</v>
      </c>
      <c r="E274" s="33" t="n">
        <v>6</v>
      </c>
      <c r="F274" s="33" t="inlineStr">
        <is>
          <t>green</t>
        </is>
      </c>
      <c r="G274" s="33" t="n">
        <v>1</v>
      </c>
      <c r="H274" s="33" t="n">
        <v>716</v>
      </c>
      <c r="I274" s="33" t="inlineStr">
        <is>
          <t>us</t>
        </is>
      </c>
      <c r="J274" s="33" t="n">
        <v>0</v>
      </c>
      <c r="K274" s="33" t="n">
        <v>3.727</v>
      </c>
      <c r="L274" s="33" t="n">
        <v>11</v>
      </c>
      <c r="M274" s="33" t="inlineStr">
        <is>
          <t>mww</t>
        </is>
      </c>
      <c r="N274" s="33" t="n">
        <v>42</v>
      </c>
      <c r="O274" s="33" t="n">
        <v>-6.0033</v>
      </c>
      <c r="P274" s="33" t="n">
        <v>148.887</v>
      </c>
      <c r="Q274" s="33" t="inlineStr">
        <is>
          <t>Kandrian, Papua New Guinea</t>
        </is>
      </c>
      <c r="S274" s="33" t="inlineStr">
        <is>
          <t>Papua New Guinea</t>
        </is>
      </c>
      <c r="T274" s="36">
        <f>DATE(MID(C274,7,4),MID(C274,4,2),MID(C274,1,2))+TIME(MID(C274,12,2),MID(C274,15,2),0)</f>
        <v/>
      </c>
      <c r="U274" s="33">
        <f>IF(ISNUMBER(VALUE(MID(A274,7,1))),"Distance-prefix pattern","Named-region pattern")</f>
        <v/>
      </c>
      <c r="V274" s="33">
        <f>LOWER(M274)</f>
        <v/>
      </c>
      <c r="W274" s="33">
        <f>IF(COUNTIFS($A$2:$A$1001,A274,$C$2:$C$1001,C274)&gt;1,"Duplicate","Unique")</f>
        <v/>
      </c>
      <c r="X274" s="33">
        <f>YEAR(T274)</f>
        <v/>
      </c>
      <c r="Y274" s="33">
        <f>IF(B274&lt;6.5,"&lt;6.5",IF(B274&lt;7,"6.5–6.9",IF(B274&lt;7.5,"7.0–7.4",IF(B274&lt;8,"7.5–7.9","8.0+"))))</f>
        <v/>
      </c>
      <c r="Z274" s="33">
        <f>IF(F274="","Blank",F274)</f>
        <v/>
      </c>
    </row>
    <row r="275" ht="15" customHeight="1" s="34">
      <c r="A275" s="33" t="inlineStr">
        <is>
          <t>M 6.9 - Fiji region</t>
        </is>
      </c>
      <c r="B275" s="33" t="n">
        <v>6.9</v>
      </c>
      <c r="C275" s="33" t="inlineStr">
        <is>
          <t>24/09/2016 21:28</t>
        </is>
      </c>
      <c r="D275" s="33" t="n">
        <v>2</v>
      </c>
      <c r="E275" s="33" t="n">
        <v>3</v>
      </c>
      <c r="F275" s="33" t="inlineStr">
        <is>
          <t>green</t>
        </is>
      </c>
      <c r="G275" s="33" t="n">
        <v>1</v>
      </c>
      <c r="H275" s="33" t="n">
        <v>733</v>
      </c>
      <c r="I275" s="33" t="inlineStr">
        <is>
          <t>us</t>
        </is>
      </c>
      <c r="J275" s="33" t="n">
        <v>0</v>
      </c>
      <c r="K275" s="33" t="n">
        <v>4.051</v>
      </c>
      <c r="L275" s="33" t="n">
        <v>9</v>
      </c>
      <c r="M275" s="33" t="inlineStr">
        <is>
          <t>mww</t>
        </is>
      </c>
      <c r="N275" s="33" t="n">
        <v>596.4</v>
      </c>
      <c r="O275" s="33" t="n">
        <v>-19.7819</v>
      </c>
      <c r="P275" s="33" t="n">
        <v>-178.244</v>
      </c>
      <c r="Q275" s="33" t="inlineStr">
        <is>
          <t>Fiji region</t>
        </is>
      </c>
      <c r="S275" s="33" t="inlineStr">
        <is>
          <t>Fiji</t>
        </is>
      </c>
      <c r="T275" s="36">
        <f>DATE(MID(C275,7,4),MID(C275,4,2),MID(C275,1,2))+TIME(MID(C275,12,2),MID(C275,15,2),0)</f>
        <v/>
      </c>
      <c r="U275" s="33">
        <f>IF(ISNUMBER(VALUE(MID(A275,7,1))),"Distance-prefix pattern","Named-region pattern")</f>
        <v/>
      </c>
      <c r="V275" s="33">
        <f>LOWER(M275)</f>
        <v/>
      </c>
      <c r="W275" s="33">
        <f>IF(COUNTIFS($A$2:$A$1001,A275,$C$2:$C$1001,C275)&gt;1,"Duplicate","Unique")</f>
        <v/>
      </c>
      <c r="X275" s="33">
        <f>YEAR(T275)</f>
        <v/>
      </c>
      <c r="Y275" s="33">
        <f>IF(B275&lt;6.5,"&lt;6.5",IF(B275&lt;7,"6.5–6.9",IF(B275&lt;7.5,"7.0–7.4",IF(B275&lt;8,"7.5–7.9","8.0+"))))</f>
        <v/>
      </c>
      <c r="Z275" s="33">
        <f>IF(F275="","Blank",F275)</f>
        <v/>
      </c>
    </row>
    <row r="276" ht="15" customHeight="1" s="34">
      <c r="A276" s="33" t="inlineStr">
        <is>
          <t>M 7.0 - 175 km NE of Gisborne, New Zealand</t>
        </is>
      </c>
      <c r="B276" s="33" t="n">
        <v>7</v>
      </c>
      <c r="C276" s="33" t="inlineStr">
        <is>
          <t>01/09/2016 16:37</t>
        </is>
      </c>
      <c r="D276" s="33" t="n">
        <v>5</v>
      </c>
      <c r="E276" s="33" t="n">
        <v>6</v>
      </c>
      <c r="F276" s="33" t="inlineStr">
        <is>
          <t>green</t>
        </is>
      </c>
      <c r="G276" s="33" t="n">
        <v>1</v>
      </c>
      <c r="H276" s="33" t="n">
        <v>897</v>
      </c>
      <c r="I276" s="33" t="inlineStr">
        <is>
          <t>us</t>
        </is>
      </c>
      <c r="J276" s="33" t="n">
        <v>0</v>
      </c>
      <c r="K276" s="33" t="n">
        <v>0.698</v>
      </c>
      <c r="L276" s="33" t="n">
        <v>21</v>
      </c>
      <c r="M276" s="33" t="inlineStr">
        <is>
          <t>mww</t>
        </is>
      </c>
      <c r="N276" s="33" t="n">
        <v>19</v>
      </c>
      <c r="O276" s="33" t="n">
        <v>-37.3586</v>
      </c>
      <c r="P276" s="33" t="n">
        <v>179.146</v>
      </c>
      <c r="Q276" s="33" t="inlineStr">
        <is>
          <t>Gisborne, New Zealand</t>
        </is>
      </c>
      <c r="T276" s="36">
        <f>DATE(MID(C276,7,4),MID(C276,4,2),MID(C276,1,2))+TIME(MID(C276,12,2),MID(C276,15,2),0)</f>
        <v/>
      </c>
      <c r="U276" s="33">
        <f>IF(ISNUMBER(VALUE(MID(A276,7,1))),"Distance-prefix pattern","Named-region pattern")</f>
        <v/>
      </c>
      <c r="V276" s="33">
        <f>LOWER(M276)</f>
        <v/>
      </c>
      <c r="W276" s="33">
        <f>IF(COUNTIFS($A$2:$A$1001,A276,$C$2:$C$1001,C276)&gt;1,"Duplicate","Unique")</f>
        <v/>
      </c>
      <c r="X276" s="33">
        <f>YEAR(T276)</f>
        <v/>
      </c>
      <c r="Y276" s="33">
        <f>IF(B276&lt;6.5,"&lt;6.5",IF(B276&lt;7,"6.5–6.9",IF(B276&lt;7.5,"7.0–7.4",IF(B276&lt;8,"7.5–7.9","8.0+"))))</f>
        <v/>
      </c>
      <c r="Z276" s="33">
        <f>IF(F276="","Blank",F276)</f>
        <v/>
      </c>
    </row>
    <row r="277" ht="15" customHeight="1" s="34">
      <c r="A277" s="33" t="inlineStr">
        <is>
          <t>M 6.8 - 90 km NE of Rabaul, Papua New Guinea</t>
        </is>
      </c>
      <c r="B277" s="33" t="n">
        <v>6.8</v>
      </c>
      <c r="C277" s="33" t="inlineStr">
        <is>
          <t>31/08/2016 03:11</t>
        </is>
      </c>
      <c r="D277" s="33" t="n">
        <v>4</v>
      </c>
      <c r="E277" s="33" t="n">
        <v>3</v>
      </c>
      <c r="F277" s="33" t="inlineStr">
        <is>
          <t>green</t>
        </is>
      </c>
      <c r="G277" s="33" t="n">
        <v>1</v>
      </c>
      <c r="H277" s="33" t="n">
        <v>713</v>
      </c>
      <c r="I277" s="33" t="inlineStr">
        <is>
          <t>us</t>
        </is>
      </c>
      <c r="J277" s="33" t="n">
        <v>0</v>
      </c>
      <c r="K277" s="33" t="n">
        <v>0.803</v>
      </c>
      <c r="L277" s="33" t="n">
        <v>12</v>
      </c>
      <c r="M277" s="33" t="inlineStr">
        <is>
          <t>mww</t>
        </is>
      </c>
      <c r="N277" s="33" t="n">
        <v>476</v>
      </c>
      <c r="O277" s="33" t="n">
        <v>-3.6849</v>
      </c>
      <c r="P277" s="33" t="n">
        <v>152.792</v>
      </c>
      <c r="Q277" s="33" t="inlineStr">
        <is>
          <t>Rabaul, Papua New Guinea</t>
        </is>
      </c>
      <c r="S277" s="33" t="inlineStr">
        <is>
          <t>Papua New Guinea</t>
        </is>
      </c>
      <c r="T277" s="36">
        <f>DATE(MID(C277,7,4),MID(C277,4,2),MID(C277,1,2))+TIME(MID(C277,12,2),MID(C277,15,2),0)</f>
        <v/>
      </c>
      <c r="U277" s="33">
        <f>IF(ISNUMBER(VALUE(MID(A277,7,1))),"Distance-prefix pattern","Named-region pattern")</f>
        <v/>
      </c>
      <c r="V277" s="33">
        <f>LOWER(M277)</f>
        <v/>
      </c>
      <c r="W277" s="33">
        <f>IF(COUNTIFS($A$2:$A$1001,A277,$C$2:$C$1001,C277)&gt;1,"Duplicate","Unique")</f>
        <v/>
      </c>
      <c r="X277" s="33">
        <f>YEAR(T277)</f>
        <v/>
      </c>
      <c r="Y277" s="33">
        <f>IF(B277&lt;6.5,"&lt;6.5",IF(B277&lt;7,"6.5–6.9",IF(B277&lt;7.5,"7.0–7.4",IF(B277&lt;8,"7.5–7.9","8.0+"))))</f>
        <v/>
      </c>
      <c r="Z277" s="33">
        <f>IF(F277="","Blank",F277)</f>
        <v/>
      </c>
    </row>
    <row r="278" ht="15" customHeight="1" s="34">
      <c r="A278" s="33" t="inlineStr">
        <is>
          <t>M 6.8 - 26 km W of Chauk, Myanmar</t>
        </is>
      </c>
      <c r="B278" s="33" t="n">
        <v>6.8</v>
      </c>
      <c r="C278" s="33" t="inlineStr">
        <is>
          <t>24/08/2016 10:34</t>
        </is>
      </c>
      <c r="D278" s="33" t="n">
        <v>6</v>
      </c>
      <c r="E278" s="33" t="n">
        <v>6</v>
      </c>
      <c r="F278" s="33" t="inlineStr">
        <is>
          <t>yellow</t>
        </is>
      </c>
      <c r="G278" s="33" t="n">
        <v>0</v>
      </c>
      <c r="H278" s="33" t="n">
        <v>981</v>
      </c>
      <c r="I278" s="33" t="inlineStr">
        <is>
          <t>us</t>
        </is>
      </c>
      <c r="J278" s="33" t="n">
        <v>0</v>
      </c>
      <c r="K278" s="33" t="n">
        <v>1.802</v>
      </c>
      <c r="L278" s="33" t="n">
        <v>17</v>
      </c>
      <c r="M278" s="33" t="inlineStr">
        <is>
          <t>mww</t>
        </is>
      </c>
      <c r="N278" s="33" t="n">
        <v>82</v>
      </c>
      <c r="O278" s="33" t="n">
        <v>20.9228</v>
      </c>
      <c r="P278" s="33" t="n">
        <v>94.569</v>
      </c>
      <c r="Q278" s="33" t="inlineStr">
        <is>
          <t>Chauk, Myanmar</t>
        </is>
      </c>
      <c r="R278" s="33" t="inlineStr">
        <is>
          <t>Asia</t>
        </is>
      </c>
      <c r="S278" s="33" t="inlineStr">
        <is>
          <t>Myanmar</t>
        </is>
      </c>
      <c r="T278" s="36">
        <f>DATE(MID(C278,7,4),MID(C278,4,2),MID(C278,1,2))+TIME(MID(C278,12,2),MID(C278,15,2),0)</f>
        <v/>
      </c>
      <c r="U278" s="33">
        <f>IF(ISNUMBER(VALUE(MID(A278,7,1))),"Distance-prefix pattern","Named-region pattern")</f>
        <v/>
      </c>
      <c r="V278" s="33">
        <f>LOWER(M278)</f>
        <v/>
      </c>
      <c r="W278" s="33">
        <f>IF(COUNTIFS($A$2:$A$1001,A278,$C$2:$C$1001,C278)&gt;1,"Duplicate","Unique")</f>
        <v/>
      </c>
      <c r="X278" s="33">
        <f>YEAR(T278)</f>
        <v/>
      </c>
      <c r="Y278" s="33">
        <f>IF(B278&lt;6.5,"&lt;6.5",IF(B278&lt;7,"6.5–6.9",IF(B278&lt;7.5,"7.0–7.4",IF(B278&lt;8,"7.5–7.9","8.0+"))))</f>
        <v/>
      </c>
      <c r="Z278" s="33">
        <f>IF(F278="","Blank",F278)</f>
        <v/>
      </c>
    </row>
    <row r="279" ht="15" customHeight="1" s="34">
      <c r="A279" s="33" t="inlineStr">
        <is>
          <t>M 7.2 - southeast of the Loyalty Islands</t>
        </is>
      </c>
      <c r="B279" s="33" t="n">
        <v>7.2</v>
      </c>
      <c r="C279" s="33" t="inlineStr">
        <is>
          <t>12/08/2016 01:26</t>
        </is>
      </c>
      <c r="D279" s="33" t="n">
        <v>6</v>
      </c>
      <c r="E279" s="33" t="n">
        <v>5</v>
      </c>
      <c r="F279" s="33" t="inlineStr">
        <is>
          <t>green</t>
        </is>
      </c>
      <c r="G279" s="33" t="n">
        <v>1</v>
      </c>
      <c r="H279" s="33" t="n">
        <v>799</v>
      </c>
      <c r="I279" s="33" t="inlineStr">
        <is>
          <t>us</t>
        </is>
      </c>
      <c r="J279" s="33" t="n">
        <v>0</v>
      </c>
      <c r="K279" s="33" t="n">
        <v>4.823</v>
      </c>
      <c r="L279" s="33" t="n">
        <v>14</v>
      </c>
      <c r="M279" s="33" t="inlineStr">
        <is>
          <t>mww</t>
        </is>
      </c>
      <c r="N279" s="33" t="n">
        <v>16.37</v>
      </c>
      <c r="O279" s="33" t="n">
        <v>-22.4765</v>
      </c>
      <c r="P279" s="33" t="n">
        <v>173.117</v>
      </c>
      <c r="Q279" s="33" t="inlineStr">
        <is>
          <t>the Loyalty Islands</t>
        </is>
      </c>
      <c r="T279" s="36">
        <f>DATE(MID(C279,7,4),MID(C279,4,2),MID(C279,1,2))+TIME(MID(C279,12,2),MID(C279,15,2),0)</f>
        <v/>
      </c>
      <c r="U279" s="33">
        <f>IF(ISNUMBER(VALUE(MID(A279,7,1))),"Distance-prefix pattern","Named-region pattern")</f>
        <v/>
      </c>
      <c r="V279" s="33">
        <f>LOWER(M279)</f>
        <v/>
      </c>
      <c r="W279" s="33">
        <f>IF(COUNTIFS($A$2:$A$1001,A279,$C$2:$C$1001,C279)&gt;1,"Duplicate","Unique")</f>
        <v/>
      </c>
      <c r="X279" s="33">
        <f>YEAR(T279)</f>
        <v/>
      </c>
      <c r="Y279" s="33">
        <f>IF(B279&lt;6.5,"&lt;6.5",IF(B279&lt;7,"6.5–6.9",IF(B279&lt;7.5,"7.0–7.4",IF(B279&lt;8,"7.5–7.9","8.0+"))))</f>
        <v/>
      </c>
      <c r="Z279" s="33">
        <f>IF(F279="","Blank",F279)</f>
        <v/>
      </c>
    </row>
    <row r="280" ht="15" customHeight="1" s="34">
      <c r="A280" s="33" t="inlineStr">
        <is>
          <t>M 7.7 - Pagan region, Northern Mariana Islands</t>
        </is>
      </c>
      <c r="B280" s="33" t="n">
        <v>7.7</v>
      </c>
      <c r="C280" s="33" t="inlineStr">
        <is>
          <t>29/07/2016 21:18</t>
        </is>
      </c>
      <c r="D280" s="33" t="n">
        <v>5</v>
      </c>
      <c r="E280" s="33" t="n">
        <v>6</v>
      </c>
      <c r="F280" s="33" t="inlineStr">
        <is>
          <t>green</t>
        </is>
      </c>
      <c r="G280" s="33" t="n">
        <v>1</v>
      </c>
      <c r="H280" s="33" t="n">
        <v>971</v>
      </c>
      <c r="I280" s="33" t="inlineStr">
        <is>
          <t>us</t>
        </is>
      </c>
      <c r="J280" s="33" t="n">
        <v>0</v>
      </c>
      <c r="K280" s="33" t="n">
        <v>3.294</v>
      </c>
      <c r="L280" s="33" t="n">
        <v>14</v>
      </c>
      <c r="M280" s="33" t="inlineStr">
        <is>
          <t>mww</t>
        </is>
      </c>
      <c r="N280" s="33" t="n">
        <v>196</v>
      </c>
      <c r="O280" s="33" t="n">
        <v>18.5429</v>
      </c>
      <c r="P280" s="33" t="n">
        <v>145.507</v>
      </c>
      <c r="Q280" s="33" t="inlineStr">
        <is>
          <t>Pagan region, Northern Mariana Islands</t>
        </is>
      </c>
      <c r="T280" s="36">
        <f>DATE(MID(C280,7,4),MID(C280,4,2),MID(C280,1,2))+TIME(MID(C280,12,2),MID(C280,15,2),0)</f>
        <v/>
      </c>
      <c r="U280" s="33">
        <f>IF(ISNUMBER(VALUE(MID(A280,7,1))),"Distance-prefix pattern","Named-region pattern")</f>
        <v/>
      </c>
      <c r="V280" s="33">
        <f>LOWER(M280)</f>
        <v/>
      </c>
      <c r="W280" s="33">
        <f>IF(COUNTIFS($A$2:$A$1001,A280,$C$2:$C$1001,C280)&gt;1,"Duplicate","Unique")</f>
        <v/>
      </c>
      <c r="X280" s="33">
        <f>YEAR(T280)</f>
        <v/>
      </c>
      <c r="Y280" s="33">
        <f>IF(B280&lt;6.5,"&lt;6.5",IF(B280&lt;7,"6.5–6.9",IF(B280&lt;7.5,"7.0–7.4",IF(B280&lt;8,"7.5–7.9","8.0+"))))</f>
        <v/>
      </c>
      <c r="Z280" s="33">
        <f>IF(F280="","Blank",F280)</f>
        <v/>
      </c>
    </row>
    <row r="281" ht="15" customHeight="1" s="34">
      <c r="A281" s="33" t="inlineStr">
        <is>
          <t>M 6.6 - 80 km W of Sungai Penuh, Indonesia</t>
        </is>
      </c>
      <c r="B281" s="33" t="n">
        <v>6.6</v>
      </c>
      <c r="C281" s="33" t="inlineStr">
        <is>
          <t>01/06/2016 22:56</t>
        </is>
      </c>
      <c r="D281" s="33" t="n">
        <v>4</v>
      </c>
      <c r="E281" s="33" t="n">
        <v>6</v>
      </c>
      <c r="F281" s="33" t="inlineStr">
        <is>
          <t>green</t>
        </is>
      </c>
      <c r="G281" s="33" t="n">
        <v>0</v>
      </c>
      <c r="H281" s="33" t="n">
        <v>671</v>
      </c>
      <c r="I281" s="33" t="inlineStr">
        <is>
          <t>us</t>
        </is>
      </c>
      <c r="J281" s="33" t="n">
        <v>0</v>
      </c>
      <c r="K281" s="33" t="n">
        <v>2.435</v>
      </c>
      <c r="L281" s="33" t="n">
        <v>16</v>
      </c>
      <c r="M281" s="33" t="inlineStr">
        <is>
          <t>mww</t>
        </is>
      </c>
      <c r="N281" s="33" t="n">
        <v>50</v>
      </c>
      <c r="O281" s="33" t="n">
        <v>-2.0967</v>
      </c>
      <c r="P281" s="33" t="n">
        <v>100.665</v>
      </c>
      <c r="Q281" s="33" t="inlineStr">
        <is>
          <t>Sungai Penuh, Indonesia</t>
        </is>
      </c>
      <c r="S281" s="33" t="inlineStr">
        <is>
          <t>Indonesia</t>
        </is>
      </c>
      <c r="T281" s="36">
        <f>DATE(MID(C281,7,4),MID(C281,4,2),MID(C281,1,2))+TIME(MID(C281,12,2),MID(C281,15,2),0)</f>
        <v/>
      </c>
      <c r="U281" s="33">
        <f>IF(ISNUMBER(VALUE(MID(A281,7,1))),"Distance-prefix pattern","Named-region pattern")</f>
        <v/>
      </c>
      <c r="V281" s="33">
        <f>LOWER(M281)</f>
        <v/>
      </c>
      <c r="W281" s="33">
        <f>IF(COUNTIFS($A$2:$A$1001,A281,$C$2:$C$1001,C281)&gt;1,"Duplicate","Unique")</f>
        <v/>
      </c>
      <c r="X281" s="33">
        <f>YEAR(T281)</f>
        <v/>
      </c>
      <c r="Y281" s="33">
        <f>IF(B281&lt;6.5,"&lt;6.5",IF(B281&lt;7,"6.5–6.9",IF(B281&lt;7.5,"7.0–7.4",IF(B281&lt;8,"7.5–7.9","8.0+"))))</f>
        <v/>
      </c>
      <c r="Z281" s="33">
        <f>IF(F281="","Blank",F281)</f>
        <v/>
      </c>
    </row>
    <row r="282" ht="15" customHeight="1" s="34">
      <c r="A282" s="33" t="inlineStr">
        <is>
          <t>M 7.2 - South Sandwich Islands region</t>
        </is>
      </c>
      <c r="B282" s="33" t="n">
        <v>7.2</v>
      </c>
      <c r="C282" s="33" t="inlineStr">
        <is>
          <t>28/05/2016 09:46</t>
        </is>
      </c>
      <c r="D282" s="33" t="n">
        <v>1</v>
      </c>
      <c r="E282" s="33" t="n">
        <v>6</v>
      </c>
      <c r="F282" s="33" t="inlineStr">
        <is>
          <t>green</t>
        </is>
      </c>
      <c r="G282" s="33" t="n">
        <v>1</v>
      </c>
      <c r="H282" s="33" t="n">
        <v>798</v>
      </c>
      <c r="I282" s="33" t="inlineStr">
        <is>
          <t>us</t>
        </is>
      </c>
      <c r="J282" s="33" t="n">
        <v>0</v>
      </c>
      <c r="K282" s="33" t="n">
        <v>5.803</v>
      </c>
      <c r="L282" s="33" t="n">
        <v>24</v>
      </c>
      <c r="M282" s="33" t="inlineStr">
        <is>
          <t>mww</t>
        </is>
      </c>
      <c r="N282" s="33" t="n">
        <v>78</v>
      </c>
      <c r="O282" s="33" t="n">
        <v>-56.2409</v>
      </c>
      <c r="P282" s="33" t="n">
        <v>-26.9353</v>
      </c>
      <c r="Q282" s="33" t="inlineStr">
        <is>
          <t>South Sandwich Islands region</t>
        </is>
      </c>
      <c r="T282" s="36">
        <f>DATE(MID(C282,7,4),MID(C282,4,2),MID(C282,1,2))+TIME(MID(C282,12,2),MID(C282,15,2),0)</f>
        <v/>
      </c>
      <c r="U282" s="33">
        <f>IF(ISNUMBER(VALUE(MID(A282,7,1))),"Distance-prefix pattern","Named-region pattern")</f>
        <v/>
      </c>
      <c r="V282" s="33">
        <f>LOWER(M282)</f>
        <v/>
      </c>
      <c r="W282" s="33">
        <f>IF(COUNTIFS($A$2:$A$1001,A282,$C$2:$C$1001,C282)&gt;1,"Duplicate","Unique")</f>
        <v/>
      </c>
      <c r="X282" s="33">
        <f>YEAR(T282)</f>
        <v/>
      </c>
      <c r="Y282" s="33">
        <f>IF(B282&lt;6.5,"&lt;6.5",IF(B282&lt;7,"6.5–6.9",IF(B282&lt;7.5,"7.0–7.4",IF(B282&lt;8,"7.5–7.9","8.0+"))))</f>
        <v/>
      </c>
      <c r="Z282" s="33">
        <f>IF(F282="","Blank",F282)</f>
        <v/>
      </c>
    </row>
    <row r="283" ht="15" customHeight="1" s="34">
      <c r="A283" s="33" t="inlineStr">
        <is>
          <t xml:space="preserve">M 6.9 - </t>
        </is>
      </c>
      <c r="B283" s="33" t="n">
        <v>6.9</v>
      </c>
      <c r="C283" s="33" t="inlineStr">
        <is>
          <t>28/05/2016 05:38</t>
        </is>
      </c>
      <c r="D283" s="33" t="n">
        <v>3</v>
      </c>
      <c r="E283" s="33" t="n">
        <v>3</v>
      </c>
      <c r="F283" s="33" t="inlineStr">
        <is>
          <t>green</t>
        </is>
      </c>
      <c r="G283" s="33" t="n">
        <v>1</v>
      </c>
      <c r="H283" s="33" t="n">
        <v>733</v>
      </c>
      <c r="I283" s="33" t="inlineStr">
        <is>
          <t>us</t>
        </is>
      </c>
      <c r="J283" s="33" t="n">
        <v>0</v>
      </c>
      <c r="K283" s="33" t="n">
        <v>5.485</v>
      </c>
      <c r="L283" s="33" t="n">
        <v>19</v>
      </c>
      <c r="M283" s="33" t="inlineStr">
        <is>
          <t>mww</t>
        </is>
      </c>
      <c r="N283" s="33" t="n">
        <v>405.69</v>
      </c>
      <c r="O283" s="33" t="n">
        <v>-21.9724</v>
      </c>
      <c r="P283" s="33" t="n">
        <v>-178.204</v>
      </c>
      <c r="T283" s="36">
        <f>DATE(MID(C283,7,4),MID(C283,4,2),MID(C283,1,2))+TIME(MID(C283,12,2),MID(C283,15,2),0)</f>
        <v/>
      </c>
      <c r="U283" s="33">
        <f>IF(ISNUMBER(VALUE(MID(A283,7,1))),"Distance-prefix pattern","Named-region pattern")</f>
        <v/>
      </c>
      <c r="V283" s="33">
        <f>LOWER(M283)</f>
        <v/>
      </c>
      <c r="W283" s="33">
        <f>IF(COUNTIFS($A$2:$A$1001,A283,$C$2:$C$1001,C283)&gt;1,"Duplicate","Unique")</f>
        <v/>
      </c>
      <c r="X283" s="33">
        <f>YEAR(T283)</f>
        <v/>
      </c>
      <c r="Y283" s="33">
        <f>IF(B283&lt;6.5,"&lt;6.5",IF(B283&lt;7,"6.5–6.9",IF(B283&lt;7.5,"7.0–7.4",IF(B283&lt;8,"7.5–7.9","8.0+"))))</f>
        <v/>
      </c>
      <c r="Z283" s="33">
        <f>IF(F283="","Blank",F283)</f>
        <v/>
      </c>
    </row>
    <row r="284" ht="15" customHeight="1" s="34">
      <c r="A284" s="33" t="inlineStr">
        <is>
          <t>M 6.9 - 24 km NW of Rosa Zarate, Ecuador</t>
        </is>
      </c>
      <c r="B284" s="33" t="n">
        <v>6.9</v>
      </c>
      <c r="C284" s="33" t="inlineStr">
        <is>
          <t>18/05/2016 16:46</t>
        </is>
      </c>
      <c r="D284" s="33" t="n">
        <v>8</v>
      </c>
      <c r="E284" s="33" t="n">
        <v>7</v>
      </c>
      <c r="F284" s="33" t="inlineStr">
        <is>
          <t>green</t>
        </is>
      </c>
      <c r="G284" s="33" t="n">
        <v>1</v>
      </c>
      <c r="H284" s="33" t="n">
        <v>780</v>
      </c>
      <c r="I284" s="33" t="inlineStr">
        <is>
          <t>us</t>
        </is>
      </c>
      <c r="J284" s="33" t="n">
        <v>0</v>
      </c>
      <c r="K284" s="33" t="n">
        <v>1.192</v>
      </c>
      <c r="L284" s="33" t="n">
        <v>17</v>
      </c>
      <c r="M284" s="33" t="inlineStr">
        <is>
          <t>mww</t>
        </is>
      </c>
      <c r="N284" s="33" t="n">
        <v>29.95</v>
      </c>
      <c r="O284" s="33" t="n">
        <v>0.4947</v>
      </c>
      <c r="P284" s="33" t="n">
        <v>-79.616</v>
      </c>
      <c r="Q284" s="33" t="inlineStr">
        <is>
          <t>Rosa Zarate, Ecuador</t>
        </is>
      </c>
      <c r="R284" s="33" t="inlineStr">
        <is>
          <t>South America</t>
        </is>
      </c>
      <c r="S284" s="33" t="inlineStr">
        <is>
          <t>Ecuador</t>
        </is>
      </c>
      <c r="T284" s="36">
        <f>DATE(MID(C284,7,4),MID(C284,4,2),MID(C284,1,2))+TIME(MID(C284,12,2),MID(C284,15,2),0)</f>
        <v/>
      </c>
      <c r="U284" s="33">
        <f>IF(ISNUMBER(VALUE(MID(A284,7,1))),"Distance-prefix pattern","Named-region pattern")</f>
        <v/>
      </c>
      <c r="V284" s="33">
        <f>LOWER(M284)</f>
        <v/>
      </c>
      <c r="W284" s="33">
        <f>IF(COUNTIFS($A$2:$A$1001,A284,$C$2:$C$1001,C284)&gt;1,"Duplicate","Unique")</f>
        <v/>
      </c>
      <c r="X284" s="33">
        <f>YEAR(T284)</f>
        <v/>
      </c>
      <c r="Y284" s="33">
        <f>IF(B284&lt;6.5,"&lt;6.5",IF(B284&lt;7,"6.5–6.9",IF(B284&lt;7.5,"7.0–7.4",IF(B284&lt;8,"7.5–7.9","8.0+"))))</f>
        <v/>
      </c>
      <c r="Z284" s="33">
        <f>IF(F284="","Blank",F284)</f>
        <v/>
      </c>
    </row>
    <row r="285" ht="15" customHeight="1" s="34">
      <c r="A285" s="33" t="inlineStr">
        <is>
          <t>M 6.7 - 32 km SE of Muisne, Ecuador</t>
        </is>
      </c>
      <c r="B285" s="33" t="n">
        <v>6.7</v>
      </c>
      <c r="C285" s="33" t="inlineStr">
        <is>
          <t>18/05/2016 07:57</t>
        </is>
      </c>
      <c r="D285" s="33" t="n">
        <v>5</v>
      </c>
      <c r="E285" s="33" t="n">
        <v>7</v>
      </c>
      <c r="F285" s="33" t="inlineStr">
        <is>
          <t>green</t>
        </is>
      </c>
      <c r="G285" s="33" t="n">
        <v>1</v>
      </c>
      <c r="H285" s="33" t="n">
        <v>744</v>
      </c>
      <c r="I285" s="33" t="inlineStr">
        <is>
          <t>us</t>
        </is>
      </c>
      <c r="J285" s="33" t="n">
        <v>0</v>
      </c>
      <c r="K285" s="33" t="n">
        <v>1.352</v>
      </c>
      <c r="L285" s="33" t="n">
        <v>21</v>
      </c>
      <c r="M285" s="33" t="inlineStr">
        <is>
          <t>mww</t>
        </is>
      </c>
      <c r="N285" s="33" t="n">
        <v>16</v>
      </c>
      <c r="O285" s="33" t="n">
        <v>0.4261</v>
      </c>
      <c r="P285" s="33" t="n">
        <v>-79.7899</v>
      </c>
      <c r="Q285" s="33" t="inlineStr">
        <is>
          <t>Muisne, Ecuador</t>
        </is>
      </c>
      <c r="R285" s="33" t="inlineStr">
        <is>
          <t>South America</t>
        </is>
      </c>
      <c r="S285" s="33" t="inlineStr">
        <is>
          <t>Ecuador</t>
        </is>
      </c>
      <c r="T285" s="36">
        <f>DATE(MID(C285,7,4),MID(C285,4,2),MID(C285,1,2))+TIME(MID(C285,12,2),MID(C285,15,2),0)</f>
        <v/>
      </c>
      <c r="U285" s="33">
        <f>IF(ISNUMBER(VALUE(MID(A285,7,1))),"Distance-prefix pattern","Named-region pattern")</f>
        <v/>
      </c>
      <c r="V285" s="33">
        <f>LOWER(M285)</f>
        <v/>
      </c>
      <c r="W285" s="33">
        <f>IF(COUNTIFS($A$2:$A$1001,A285,$C$2:$C$1001,C285)&gt;1,"Duplicate","Unique")</f>
        <v/>
      </c>
      <c r="X285" s="33">
        <f>YEAR(T285)</f>
        <v/>
      </c>
      <c r="Y285" s="33">
        <f>IF(B285&lt;6.5,"&lt;6.5",IF(B285&lt;7,"6.5–6.9",IF(B285&lt;7.5,"7.0–7.4",IF(B285&lt;8,"7.5–7.9","8.0+"))))</f>
        <v/>
      </c>
      <c r="Z285" s="33">
        <f>IF(F285="","Blank",F285)</f>
        <v/>
      </c>
    </row>
    <row r="286" ht="15" customHeight="1" s="34">
      <c r="A286" s="33" t="inlineStr">
        <is>
          <t>M 7.0 - 3 km NW of Norsup, Vanuatu</t>
        </is>
      </c>
      <c r="B286" s="33" t="n">
        <v>7</v>
      </c>
      <c r="C286" s="33" t="inlineStr">
        <is>
          <t>28/04/2016 19:33</t>
        </is>
      </c>
      <c r="D286" s="33" t="n">
        <v>7</v>
      </c>
      <c r="E286" s="33" t="n">
        <v>7</v>
      </c>
      <c r="F286" s="33" t="inlineStr">
        <is>
          <t>green</t>
        </is>
      </c>
      <c r="G286" s="33" t="n">
        <v>1</v>
      </c>
      <c r="H286" s="33" t="n">
        <v>755</v>
      </c>
      <c r="I286" s="33" t="inlineStr">
        <is>
          <t>us</t>
        </is>
      </c>
      <c r="J286" s="33" t="n">
        <v>0</v>
      </c>
      <c r="K286" s="33" t="n">
        <v>0.616</v>
      </c>
      <c r="L286" s="33" t="n">
        <v>14</v>
      </c>
      <c r="M286" s="33" t="inlineStr">
        <is>
          <t>mww</t>
        </is>
      </c>
      <c r="N286" s="33" t="n">
        <v>24</v>
      </c>
      <c r="O286" s="33" t="n">
        <v>-16.0429</v>
      </c>
      <c r="P286" s="33" t="n">
        <v>167.379</v>
      </c>
      <c r="Q286" s="33" t="inlineStr">
        <is>
          <t>Norsup, Vanuatu</t>
        </is>
      </c>
      <c r="S286" s="33" t="inlineStr">
        <is>
          <t>Vanuatu</t>
        </is>
      </c>
      <c r="T286" s="36">
        <f>DATE(MID(C286,7,4),MID(C286,4,2),MID(C286,1,2))+TIME(MID(C286,12,2),MID(C286,15,2),0)</f>
        <v/>
      </c>
      <c r="U286" s="33">
        <f>IF(ISNUMBER(VALUE(MID(A286,7,1))),"Distance-prefix pattern","Named-region pattern")</f>
        <v/>
      </c>
      <c r="V286" s="33">
        <f>LOWER(M286)</f>
        <v/>
      </c>
      <c r="W286" s="33">
        <f>IF(COUNTIFS($A$2:$A$1001,A286,$C$2:$C$1001,C286)&gt;1,"Duplicate","Unique")</f>
        <v/>
      </c>
      <c r="X286" s="33">
        <f>YEAR(T286)</f>
        <v/>
      </c>
      <c r="Y286" s="33">
        <f>IF(B286&lt;6.5,"&lt;6.5",IF(B286&lt;7,"6.5–6.9",IF(B286&lt;7.5,"7.0–7.4",IF(B286&lt;8,"7.5–7.9","8.0+"))))</f>
        <v/>
      </c>
      <c r="Z286" s="33">
        <f>IF(F286="","Blank",F286)</f>
        <v/>
      </c>
    </row>
    <row r="287" ht="15" customHeight="1" s="34">
      <c r="A287" s="33" t="inlineStr">
        <is>
          <t>M 7.8 - 27 km SSE of Muisne, Ecuador</t>
        </is>
      </c>
      <c r="B287" s="33" t="n">
        <v>7.8</v>
      </c>
      <c r="C287" s="33" t="inlineStr">
        <is>
          <t>16/04/2016 23:58</t>
        </is>
      </c>
      <c r="D287" s="33" t="n">
        <v>9</v>
      </c>
      <c r="E287" s="33" t="n">
        <v>9</v>
      </c>
      <c r="F287" s="33" t="inlineStr">
        <is>
          <t>orange</t>
        </is>
      </c>
      <c r="G287" s="33" t="n">
        <v>1</v>
      </c>
      <c r="H287" s="33" t="n">
        <v>1163</v>
      </c>
      <c r="I287" s="33" t="inlineStr">
        <is>
          <t>us</t>
        </is>
      </c>
      <c r="J287" s="33" t="n">
        <v>0</v>
      </c>
      <c r="K287" s="33" t="n">
        <v>1.44</v>
      </c>
      <c r="L287" s="33" t="n">
        <v>15</v>
      </c>
      <c r="M287" s="33" t="inlineStr">
        <is>
          <t>mww</t>
        </is>
      </c>
      <c r="N287" s="33" t="n">
        <v>20.59</v>
      </c>
      <c r="O287" s="33" t="n">
        <v>0.3819</v>
      </c>
      <c r="P287" s="33" t="n">
        <v>-79.9218</v>
      </c>
      <c r="Q287" s="33" t="inlineStr">
        <is>
          <t>Muisne, Ecuador</t>
        </is>
      </c>
      <c r="R287" s="33" t="inlineStr">
        <is>
          <t>South America</t>
        </is>
      </c>
      <c r="S287" s="33" t="inlineStr">
        <is>
          <t>Ecuador</t>
        </is>
      </c>
      <c r="T287" s="36">
        <f>DATE(MID(C287,7,4),MID(C287,4,2),MID(C287,1,2))+TIME(MID(C287,12,2),MID(C287,15,2),0)</f>
        <v/>
      </c>
      <c r="U287" s="33">
        <f>IF(ISNUMBER(VALUE(MID(A287,7,1))),"Distance-prefix pattern","Named-region pattern")</f>
        <v/>
      </c>
      <c r="V287" s="33">
        <f>LOWER(M287)</f>
        <v/>
      </c>
      <c r="W287" s="33">
        <f>IF(COUNTIFS($A$2:$A$1001,A287,$C$2:$C$1001,C287)&gt;1,"Duplicate","Unique")</f>
        <v/>
      </c>
      <c r="X287" s="33">
        <f>YEAR(T287)</f>
        <v/>
      </c>
      <c r="Y287" s="33">
        <f>IF(B287&lt;6.5,"&lt;6.5",IF(B287&lt;7,"6.5–6.9",IF(B287&lt;7.5,"7.0–7.4",IF(B287&lt;8,"7.5–7.9","8.0+"))))</f>
        <v/>
      </c>
      <c r="Z287" s="33">
        <f>IF(F287="","Blank",F287)</f>
        <v/>
      </c>
    </row>
    <row r="288" ht="15" customHeight="1" s="34">
      <c r="A288" s="33" t="inlineStr">
        <is>
          <t>M 7.0 - 6 km ESE of Kumamoto, Japan</t>
        </is>
      </c>
      <c r="B288" s="33" t="n">
        <v>7</v>
      </c>
      <c r="C288" s="33" t="inlineStr">
        <is>
          <t>15/04/2016 16:25</t>
        </is>
      </c>
      <c r="D288" s="33" t="n">
        <v>9</v>
      </c>
      <c r="E288" s="33" t="n">
        <v>9</v>
      </c>
      <c r="F288" s="33" t="inlineStr">
        <is>
          <t>red</t>
        </is>
      </c>
      <c r="G288" s="33" t="n">
        <v>1</v>
      </c>
      <c r="H288" s="33" t="n">
        <v>2074</v>
      </c>
      <c r="I288" s="33" t="inlineStr">
        <is>
          <t>us</t>
        </is>
      </c>
      <c r="J288" s="33" t="n">
        <v>0</v>
      </c>
      <c r="K288" s="33" t="n">
        <v>0.349</v>
      </c>
      <c r="L288" s="33" t="n">
        <v>32</v>
      </c>
      <c r="M288" s="33" t="inlineStr">
        <is>
          <t>mww</t>
        </is>
      </c>
      <c r="N288" s="33" t="n">
        <v>10</v>
      </c>
      <c r="O288" s="33" t="n">
        <v>32.7906</v>
      </c>
      <c r="P288" s="33" t="n">
        <v>130.754</v>
      </c>
      <c r="Q288" s="33" t="inlineStr">
        <is>
          <t>Kumamoto, Japan</t>
        </is>
      </c>
      <c r="R288" s="33" t="inlineStr">
        <is>
          <t>Asia</t>
        </is>
      </c>
      <c r="S288" s="33" t="inlineStr">
        <is>
          <t>Japan</t>
        </is>
      </c>
      <c r="T288" s="36">
        <f>DATE(MID(C288,7,4),MID(C288,4,2),MID(C288,1,2))+TIME(MID(C288,12,2),MID(C288,15,2),0)</f>
        <v/>
      </c>
      <c r="U288" s="33">
        <f>IF(ISNUMBER(VALUE(MID(A288,7,1))),"Distance-prefix pattern","Named-region pattern")</f>
        <v/>
      </c>
      <c r="V288" s="33">
        <f>LOWER(M288)</f>
        <v/>
      </c>
      <c r="W288" s="33">
        <f>IF(COUNTIFS($A$2:$A$1001,A288,$C$2:$C$1001,C288)&gt;1,"Duplicate","Unique")</f>
        <v/>
      </c>
      <c r="X288" s="33">
        <f>YEAR(T288)</f>
        <v/>
      </c>
      <c r="Y288" s="33">
        <f>IF(B288&lt;6.5,"&lt;6.5",IF(B288&lt;7,"6.5–6.9",IF(B288&lt;7.5,"7.0–7.4",IF(B288&lt;8,"7.5–7.9","8.0+"))))</f>
        <v/>
      </c>
      <c r="Z288" s="33">
        <f>IF(F288="","Blank",F288)</f>
        <v/>
      </c>
    </row>
    <row r="289" ht="15" customHeight="1" s="34">
      <c r="A289" s="33" t="inlineStr">
        <is>
          <t>M 6.9 - 76 km SE of Mawlaik, Myanmar</t>
        </is>
      </c>
      <c r="B289" s="33" t="n">
        <v>6.9</v>
      </c>
      <c r="C289" s="33" t="inlineStr">
        <is>
          <t>13/04/2016 13:55</t>
        </is>
      </c>
      <c r="D289" s="33" t="n">
        <v>6</v>
      </c>
      <c r="E289" s="33" t="n">
        <v>6</v>
      </c>
      <c r="F289" s="33" t="inlineStr">
        <is>
          <t>yellow</t>
        </is>
      </c>
      <c r="G289" s="33" t="n">
        <v>0</v>
      </c>
      <c r="H289" s="33" t="n">
        <v>903</v>
      </c>
      <c r="I289" s="33" t="inlineStr">
        <is>
          <t>us</t>
        </is>
      </c>
      <c r="J289" s="33" t="n">
        <v>0</v>
      </c>
      <c r="K289" s="33" t="n">
        <v>3.001</v>
      </c>
      <c r="L289" s="33" t="n">
        <v>14</v>
      </c>
      <c r="M289" s="33" t="inlineStr">
        <is>
          <t>mww</t>
        </is>
      </c>
      <c r="N289" s="33" t="n">
        <v>136</v>
      </c>
      <c r="O289" s="33" t="n">
        <v>23.0944</v>
      </c>
      <c r="P289" s="33" t="n">
        <v>94.86539999999999</v>
      </c>
      <c r="Q289" s="33" t="inlineStr">
        <is>
          <t>Mawlaik, Myanmar</t>
        </is>
      </c>
      <c r="R289" s="33" t="inlineStr">
        <is>
          <t>Asia</t>
        </is>
      </c>
      <c r="S289" s="33" t="inlineStr">
        <is>
          <t>Myanmar</t>
        </is>
      </c>
      <c r="T289" s="36">
        <f>DATE(MID(C289,7,4),MID(C289,4,2),MID(C289,1,2))+TIME(MID(C289,12,2),MID(C289,15,2),0)</f>
        <v/>
      </c>
      <c r="U289" s="33">
        <f>IF(ISNUMBER(VALUE(MID(A289,7,1))),"Distance-prefix pattern","Named-region pattern")</f>
        <v/>
      </c>
      <c r="V289" s="33">
        <f>LOWER(M289)</f>
        <v/>
      </c>
      <c r="W289" s="33">
        <f>IF(COUNTIFS($A$2:$A$1001,A289,$C$2:$C$1001,C289)&gt;1,"Duplicate","Unique")</f>
        <v/>
      </c>
      <c r="X289" s="33">
        <f>YEAR(T289)</f>
        <v/>
      </c>
      <c r="Y289" s="33">
        <f>IF(B289&lt;6.5,"&lt;6.5",IF(B289&lt;7,"6.5–6.9",IF(B289&lt;7.5,"7.0–7.4",IF(B289&lt;8,"7.5–7.9","8.0+"))))</f>
        <v/>
      </c>
      <c r="Z289" s="33">
        <f>IF(F289="","Blank",F289)</f>
        <v/>
      </c>
    </row>
    <row r="290" ht="15" customHeight="1" s="34">
      <c r="A290" s="33" t="inlineStr">
        <is>
          <t>M 6.6 - 42 km WSW of Ashk?sham, Afghanistan</t>
        </is>
      </c>
      <c r="B290" s="33" t="n">
        <v>6.6</v>
      </c>
      <c r="C290" s="33" t="inlineStr">
        <is>
          <t>10/04/2016 10:28</t>
        </is>
      </c>
      <c r="D290" s="33" t="n">
        <v>6</v>
      </c>
      <c r="E290" s="33" t="n">
        <v>4</v>
      </c>
      <c r="F290" s="33" t="inlineStr">
        <is>
          <t>green</t>
        </is>
      </c>
      <c r="G290" s="33" t="n">
        <v>0</v>
      </c>
      <c r="H290" s="33" t="n">
        <v>738</v>
      </c>
      <c r="I290" s="33" t="inlineStr">
        <is>
          <t>us</t>
        </is>
      </c>
      <c r="J290" s="33" t="n">
        <v>0</v>
      </c>
      <c r="K290" s="33" t="n">
        <v>0.789</v>
      </c>
      <c r="L290" s="33" t="n">
        <v>17</v>
      </c>
      <c r="M290" s="33" t="inlineStr">
        <is>
          <t>mww</t>
        </is>
      </c>
      <c r="N290" s="33" t="n">
        <v>212</v>
      </c>
      <c r="O290" s="33" t="n">
        <v>36.4725</v>
      </c>
      <c r="P290" s="33" t="n">
        <v>71.1311</v>
      </c>
      <c r="Q290" s="33" t="inlineStr">
        <is>
          <t>Ashk?sham, Afghanistan</t>
        </is>
      </c>
      <c r="R290" s="33" t="inlineStr">
        <is>
          <t>Asia</t>
        </is>
      </c>
      <c r="S290" s="33" t="inlineStr">
        <is>
          <t>Afghanistan</t>
        </is>
      </c>
      <c r="T290" s="36">
        <f>DATE(MID(C290,7,4),MID(C290,4,2),MID(C290,1,2))+TIME(MID(C290,12,2),MID(C290,15,2),0)</f>
        <v/>
      </c>
      <c r="U290" s="33">
        <f>IF(ISNUMBER(VALUE(MID(A290,7,1))),"Distance-prefix pattern","Named-region pattern")</f>
        <v/>
      </c>
      <c r="V290" s="33">
        <f>LOWER(M290)</f>
        <v/>
      </c>
      <c r="W290" s="33">
        <f>IF(COUNTIFS($A$2:$A$1001,A290,$C$2:$C$1001,C290)&gt;1,"Duplicate","Unique")</f>
        <v/>
      </c>
      <c r="X290" s="33">
        <f>YEAR(T290)</f>
        <v/>
      </c>
      <c r="Y290" s="33">
        <f>IF(B290&lt;6.5,"&lt;6.5",IF(B290&lt;7,"6.5–6.9",IF(B290&lt;7.5,"7.0–7.4",IF(B290&lt;8,"7.5–7.9","8.0+"))))</f>
        <v/>
      </c>
      <c r="Z290" s="33">
        <f>IF(F290="","Blank",F290)</f>
        <v/>
      </c>
    </row>
    <row r="291" ht="15" customHeight="1" s="34">
      <c r="A291" s="33" t="inlineStr">
        <is>
          <t>M 6.7 - 104 km W of Sola, Vanuatu</t>
        </is>
      </c>
      <c r="B291" s="33" t="n">
        <v>6.7</v>
      </c>
      <c r="C291" s="33" t="inlineStr">
        <is>
          <t>07/04/2016 03:32</t>
        </is>
      </c>
      <c r="D291" s="33" t="n">
        <v>7</v>
      </c>
      <c r="E291" s="33" t="n">
        <v>5</v>
      </c>
      <c r="F291" s="33" t="inlineStr">
        <is>
          <t>green</t>
        </is>
      </c>
      <c r="G291" s="33" t="n">
        <v>1</v>
      </c>
      <c r="H291" s="33" t="n">
        <v>692</v>
      </c>
      <c r="I291" s="33" t="inlineStr">
        <is>
          <t>us</t>
        </is>
      </c>
      <c r="J291" s="33" t="n">
        <v>0</v>
      </c>
      <c r="K291" s="33" t="n">
        <v>6.787</v>
      </c>
      <c r="L291" s="33" t="n">
        <v>25</v>
      </c>
      <c r="M291" s="33" t="inlineStr">
        <is>
          <t>mww</t>
        </is>
      </c>
      <c r="N291" s="33" t="n">
        <v>27.59</v>
      </c>
      <c r="O291" s="33" t="n">
        <v>-13.9805</v>
      </c>
      <c r="P291" s="33" t="n">
        <v>166.594</v>
      </c>
      <c r="Q291" s="33" t="inlineStr">
        <is>
          <t>Sola, Vanuatu</t>
        </is>
      </c>
      <c r="S291" s="33" t="inlineStr">
        <is>
          <t>Vanuatu</t>
        </is>
      </c>
      <c r="T291" s="36">
        <f>DATE(MID(C291,7,4),MID(C291,4,2),MID(C291,1,2))+TIME(MID(C291,12,2),MID(C291,15,2),0)</f>
        <v/>
      </c>
      <c r="U291" s="33">
        <f>IF(ISNUMBER(VALUE(MID(A291,7,1))),"Distance-prefix pattern","Named-region pattern")</f>
        <v/>
      </c>
      <c r="V291" s="33">
        <f>LOWER(M291)</f>
        <v/>
      </c>
      <c r="W291" s="33">
        <f>IF(COUNTIFS($A$2:$A$1001,A291,$C$2:$C$1001,C291)&gt;1,"Duplicate","Unique")</f>
        <v/>
      </c>
      <c r="X291" s="33">
        <f>YEAR(T291)</f>
        <v/>
      </c>
      <c r="Y291" s="33">
        <f>IF(B291&lt;6.5,"&lt;6.5",IF(B291&lt;7,"6.5–6.9",IF(B291&lt;7.5,"7.0–7.4",IF(B291&lt;8,"7.5–7.9","8.0+"))))</f>
        <v/>
      </c>
      <c r="Z291" s="33">
        <f>IF(F291="","Blank",F291)</f>
        <v/>
      </c>
    </row>
    <row r="292" ht="15" customHeight="1" s="34">
      <c r="A292" s="33" t="inlineStr">
        <is>
          <t>M 6.7 - 102 km WSW of Sola, Vanuatu</t>
        </is>
      </c>
      <c r="B292" s="33" t="n">
        <v>6.7</v>
      </c>
      <c r="C292" s="33" t="inlineStr">
        <is>
          <t>06/04/2016 06:58</t>
        </is>
      </c>
      <c r="D292" s="33" t="n">
        <v>7</v>
      </c>
      <c r="E292" s="33" t="n">
        <v>6</v>
      </c>
      <c r="F292" s="33" t="inlineStr">
        <is>
          <t>green</t>
        </is>
      </c>
      <c r="G292" s="33" t="n">
        <v>1</v>
      </c>
      <c r="H292" s="33" t="n">
        <v>691</v>
      </c>
      <c r="I292" s="33" t="inlineStr">
        <is>
          <t>us</t>
        </is>
      </c>
      <c r="J292" s="33" t="n">
        <v>0</v>
      </c>
      <c r="K292" s="33" t="n">
        <v>6.697</v>
      </c>
      <c r="L292" s="33" t="n">
        <v>19</v>
      </c>
      <c r="M292" s="33" t="inlineStr">
        <is>
          <t>mww</t>
        </is>
      </c>
      <c r="N292" s="33" t="n">
        <v>24</v>
      </c>
      <c r="O292" s="33" t="n">
        <v>-14.0683</v>
      </c>
      <c r="P292" s="33" t="n">
        <v>166.624</v>
      </c>
      <c r="Q292" s="33" t="inlineStr">
        <is>
          <t>Sola, Vanuatu</t>
        </is>
      </c>
      <c r="S292" s="33" t="inlineStr">
        <is>
          <t>Vanuatu</t>
        </is>
      </c>
      <c r="T292" s="36">
        <f>DATE(MID(C292,7,4),MID(C292,4,2),MID(C292,1,2))+TIME(MID(C292,12,2),MID(C292,15,2),0)</f>
        <v/>
      </c>
      <c r="U292" s="33">
        <f>IF(ISNUMBER(VALUE(MID(A292,7,1))),"Distance-prefix pattern","Named-region pattern")</f>
        <v/>
      </c>
      <c r="V292" s="33">
        <f>LOWER(M292)</f>
        <v/>
      </c>
      <c r="W292" s="33">
        <f>IF(COUNTIFS($A$2:$A$1001,A292,$C$2:$C$1001,C292)&gt;1,"Duplicate","Unique")</f>
        <v/>
      </c>
      <c r="X292" s="33">
        <f>YEAR(T292)</f>
        <v/>
      </c>
      <c r="Y292" s="33">
        <f>IF(B292&lt;6.5,"&lt;6.5",IF(B292&lt;7,"6.5–6.9",IF(B292&lt;7.5,"7.0–7.4",IF(B292&lt;8,"7.5–7.9","8.0+"))))</f>
        <v/>
      </c>
      <c r="Z292" s="33">
        <f>IF(F292="","Blank",F292)</f>
        <v/>
      </c>
    </row>
    <row r="293" ht="15" customHeight="1" s="34">
      <c r="A293" s="33" t="inlineStr">
        <is>
          <t>M 6.9 - 82 km NNW of Port-Olry, Vanuatu</t>
        </is>
      </c>
      <c r="B293" s="33" t="n">
        <v>6.9</v>
      </c>
      <c r="C293" s="33" t="inlineStr">
        <is>
          <t>03/04/2016 08:23</t>
        </is>
      </c>
      <c r="D293" s="33" t="n">
        <v>7</v>
      </c>
      <c r="E293" s="33" t="n">
        <v>6</v>
      </c>
      <c r="F293" s="33" t="inlineStr">
        <is>
          <t>green</t>
        </is>
      </c>
      <c r="G293" s="33" t="n">
        <v>1</v>
      </c>
      <c r="H293" s="33" t="n">
        <v>734</v>
      </c>
      <c r="I293" s="33" t="inlineStr">
        <is>
          <t>us</t>
        </is>
      </c>
      <c r="J293" s="33" t="n">
        <v>0</v>
      </c>
      <c r="K293" s="33" t="n">
        <v>1.166</v>
      </c>
      <c r="L293" s="33" t="n">
        <v>25</v>
      </c>
      <c r="M293" s="33" t="inlineStr">
        <is>
          <t>mww</t>
        </is>
      </c>
      <c r="N293" s="33" t="n">
        <v>26</v>
      </c>
      <c r="O293" s="33" t="n">
        <v>-14.3235</v>
      </c>
      <c r="P293" s="33" t="n">
        <v>166.855</v>
      </c>
      <c r="Q293" s="33" t="inlineStr">
        <is>
          <t>Port-Olry, Vanuatu</t>
        </is>
      </c>
      <c r="S293" s="33" t="inlineStr">
        <is>
          <t>Vanuatu</t>
        </is>
      </c>
      <c r="T293" s="36">
        <f>DATE(MID(C293,7,4),MID(C293,4,2),MID(C293,1,2))+TIME(MID(C293,12,2),MID(C293,15,2),0)</f>
        <v/>
      </c>
      <c r="U293" s="33">
        <f>IF(ISNUMBER(VALUE(MID(A293,7,1))),"Distance-prefix pattern","Named-region pattern")</f>
        <v/>
      </c>
      <c r="V293" s="33">
        <f>LOWER(M293)</f>
        <v/>
      </c>
      <c r="W293" s="33">
        <f>IF(COUNTIFS($A$2:$A$1001,A293,$C$2:$C$1001,C293)&gt;1,"Duplicate","Unique")</f>
        <v/>
      </c>
      <c r="X293" s="33">
        <f>YEAR(T293)</f>
        <v/>
      </c>
      <c r="Y293" s="33">
        <f>IF(B293&lt;6.5,"&lt;6.5",IF(B293&lt;7,"6.5–6.9",IF(B293&lt;7.5,"7.0–7.4",IF(B293&lt;8,"7.5–7.9","8.0+"))))</f>
        <v/>
      </c>
      <c r="Z293" s="33">
        <f>IF(F293="","Blank",F293)</f>
        <v/>
      </c>
    </row>
    <row r="294" ht="15" customHeight="1" s="34">
      <c r="A294" s="33" t="inlineStr">
        <is>
          <t>M 7.8 - southwest of Sumatra, Indonesia</t>
        </is>
      </c>
      <c r="B294" s="33" t="n">
        <v>7.8</v>
      </c>
      <c r="C294" s="33" t="inlineStr">
        <is>
          <t>02/03/2016 12:49</t>
        </is>
      </c>
      <c r="D294" s="33" t="n">
        <v>4</v>
      </c>
      <c r="E294" s="33" t="n">
        <v>3</v>
      </c>
      <c r="F294" s="33" t="inlineStr">
        <is>
          <t>green</t>
        </is>
      </c>
      <c r="G294" s="33" t="n">
        <v>0</v>
      </c>
      <c r="H294" s="33" t="n">
        <v>948</v>
      </c>
      <c r="I294" s="33" t="inlineStr">
        <is>
          <t>us</t>
        </is>
      </c>
      <c r="J294" s="33" t="n">
        <v>0</v>
      </c>
      <c r="K294" s="33" t="n">
        <v>7.009</v>
      </c>
      <c r="L294" s="33" t="n">
        <v>20</v>
      </c>
      <c r="M294" s="33" t="inlineStr">
        <is>
          <t>mww</t>
        </is>
      </c>
      <c r="N294" s="33" t="n">
        <v>24</v>
      </c>
      <c r="O294" s="33" t="n">
        <v>-4.9521</v>
      </c>
      <c r="P294" s="33" t="n">
        <v>94.32989999999999</v>
      </c>
      <c r="Q294" s="33" t="inlineStr">
        <is>
          <t>Sumatra, Indonesia</t>
        </is>
      </c>
      <c r="T294" s="36">
        <f>DATE(MID(C294,7,4),MID(C294,4,2),MID(C294,1,2))+TIME(MID(C294,12,2),MID(C294,15,2),0)</f>
        <v/>
      </c>
      <c r="U294" s="33">
        <f>IF(ISNUMBER(VALUE(MID(A294,7,1))),"Distance-prefix pattern","Named-region pattern")</f>
        <v/>
      </c>
      <c r="V294" s="33">
        <f>LOWER(M294)</f>
        <v/>
      </c>
      <c r="W294" s="33">
        <f>IF(COUNTIFS($A$2:$A$1001,A294,$C$2:$C$1001,C294)&gt;1,"Duplicate","Unique")</f>
        <v/>
      </c>
      <c r="X294" s="33">
        <f>YEAR(T294)</f>
        <v/>
      </c>
      <c r="Y294" s="33">
        <f>IF(B294&lt;6.5,"&lt;6.5",IF(B294&lt;7,"6.5–6.9",IF(B294&lt;7.5,"7.0–7.4",IF(B294&lt;8,"7.5–7.9","8.0+"))))</f>
        <v/>
      </c>
      <c r="Z294" s="33">
        <f>IF(F294="","Blank",F294)</f>
        <v/>
      </c>
    </row>
    <row r="295" ht="15" customHeight="1" s="34">
      <c r="A295" s="33" t="inlineStr">
        <is>
          <t>M 7.2 - 80 km S of Mil’kovo, Russia</t>
        </is>
      </c>
      <c r="B295" s="33" t="n">
        <v>7.2</v>
      </c>
      <c r="C295" s="33" t="inlineStr">
        <is>
          <t>30/01/2016 03:25</t>
        </is>
      </c>
      <c r="D295" s="33" t="n">
        <v>3</v>
      </c>
      <c r="E295" s="33" t="n">
        <v>7</v>
      </c>
      <c r="F295" s="33" t="inlineStr">
        <is>
          <t>green</t>
        </is>
      </c>
      <c r="G295" s="33" t="n">
        <v>1</v>
      </c>
      <c r="H295" s="33" t="n">
        <v>799</v>
      </c>
      <c r="I295" s="33" t="inlineStr">
        <is>
          <t>us</t>
        </is>
      </c>
      <c r="J295" s="33" t="n">
        <v>0</v>
      </c>
      <c r="K295" s="33" t="n">
        <v>0.958</v>
      </c>
      <c r="L295" s="33" t="n">
        <v>17</v>
      </c>
      <c r="M295" s="33" t="inlineStr">
        <is>
          <t>mww</t>
        </is>
      </c>
      <c r="N295" s="33" t="n">
        <v>177</v>
      </c>
      <c r="O295" s="33" t="n">
        <v>53.9776</v>
      </c>
      <c r="P295" s="33" t="n">
        <v>158.546</v>
      </c>
      <c r="Q295" s="33" t="inlineStr">
        <is>
          <t>Mil’kovo, Russia</t>
        </is>
      </c>
      <c r="R295" s="33" t="inlineStr">
        <is>
          <t>Asia</t>
        </is>
      </c>
      <c r="S295" s="33" t="inlineStr">
        <is>
          <t>Russia</t>
        </is>
      </c>
      <c r="T295" s="36">
        <f>DATE(MID(C295,7,4),MID(C295,4,2),MID(C295,1,2))+TIME(MID(C295,12,2),MID(C295,15,2),0)</f>
        <v/>
      </c>
      <c r="U295" s="33">
        <f>IF(ISNUMBER(VALUE(MID(A295,7,1))),"Distance-prefix pattern","Named-region pattern")</f>
        <v/>
      </c>
      <c r="V295" s="33">
        <f>LOWER(M295)</f>
        <v/>
      </c>
      <c r="W295" s="33">
        <f>IF(COUNTIFS($A$2:$A$1001,A295,$C$2:$C$1001,C295)&gt;1,"Duplicate","Unique")</f>
        <v/>
      </c>
      <c r="X295" s="33">
        <f>YEAR(T295)</f>
        <v/>
      </c>
      <c r="Y295" s="33">
        <f>IF(B295&lt;6.5,"&lt;6.5",IF(B295&lt;7,"6.5–6.9",IF(B295&lt;7.5,"7.0–7.4",IF(B295&lt;8,"7.5–7.9","8.0+"))))</f>
        <v/>
      </c>
      <c r="Z295" s="33">
        <f>IF(F295="","Blank",F295)</f>
        <v/>
      </c>
    </row>
    <row r="296" ht="15" customHeight="1" s="34">
      <c r="A296" s="33" t="inlineStr">
        <is>
          <t>M 7.1 - 47 km ESE of Pedro Bay, Alaska</t>
        </is>
      </c>
      <c r="B296" s="33" t="n">
        <v>7.1</v>
      </c>
      <c r="C296" s="33" t="inlineStr">
        <is>
          <t>24/01/2016 10:30</t>
        </is>
      </c>
      <c r="D296" s="33" t="n">
        <v>7</v>
      </c>
      <c r="E296" s="33" t="n">
        <v>7</v>
      </c>
      <c r="F296" s="33" t="inlineStr">
        <is>
          <t>green</t>
        </is>
      </c>
      <c r="G296" s="33" t="n">
        <v>1</v>
      </c>
      <c r="H296" s="33" t="n">
        <v>1496</v>
      </c>
      <c r="I296" s="33" t="inlineStr">
        <is>
          <t>ak</t>
        </is>
      </c>
      <c r="J296" s="33" t="n">
        <v>0</v>
      </c>
      <c r="K296" s="33" t="n">
        <v>0</v>
      </c>
      <c r="L296" s="33" t="n">
        <v>0</v>
      </c>
      <c r="M296" s="33" t="inlineStr">
        <is>
          <t>mw</t>
        </is>
      </c>
      <c r="N296" s="33" t="n">
        <v>125.6</v>
      </c>
      <c r="O296" s="33" t="n">
        <v>59.6204</v>
      </c>
      <c r="P296" s="33" t="n">
        <v>-153.339</v>
      </c>
      <c r="Q296" s="33" t="inlineStr">
        <is>
          <t>Pedro Bay, Alaska</t>
        </is>
      </c>
      <c r="R296" s="33" t="inlineStr">
        <is>
          <t>North America</t>
        </is>
      </c>
      <c r="S296" s="33" t="inlineStr">
        <is>
          <t>United States of America</t>
        </is>
      </c>
      <c r="T296" s="36">
        <f>DATE(MID(C296,7,4),MID(C296,4,2),MID(C296,1,2))+TIME(MID(C296,12,2),MID(C296,15,2),0)</f>
        <v/>
      </c>
      <c r="U296" s="33">
        <f>IF(ISNUMBER(VALUE(MID(A296,7,1))),"Distance-prefix pattern","Named-region pattern")</f>
        <v/>
      </c>
      <c r="V296" s="33">
        <f>LOWER(M296)</f>
        <v/>
      </c>
      <c r="W296" s="33">
        <f>IF(COUNTIFS($A$2:$A$1001,A296,$C$2:$C$1001,C296)&gt;1,"Duplicate","Unique")</f>
        <v/>
      </c>
      <c r="X296" s="33">
        <f>YEAR(T296)</f>
        <v/>
      </c>
      <c r="Y296" s="33">
        <f>IF(B296&lt;6.5,"&lt;6.5",IF(B296&lt;7,"6.5–6.9",IF(B296&lt;7.5,"7.0–7.4",IF(B296&lt;8,"7.5–7.9","8.0+"))))</f>
        <v/>
      </c>
      <c r="Z296" s="33">
        <f>IF(F296="","Blank",F296)</f>
        <v/>
      </c>
    </row>
    <row r="297" ht="15" customHeight="1" s="34">
      <c r="A297" s="33" t="inlineStr">
        <is>
          <t>M 6.6 - 203 km SW of La Cruz de Loreto, Mexico</t>
        </is>
      </c>
      <c r="B297" s="33" t="n">
        <v>6.6</v>
      </c>
      <c r="C297" s="33" t="inlineStr">
        <is>
          <t>21/01/2016 18:06</t>
        </is>
      </c>
      <c r="D297" s="33" t="n">
        <v>3</v>
      </c>
      <c r="E297" s="33" t="n">
        <v>4</v>
      </c>
      <c r="F297" s="33" t="inlineStr">
        <is>
          <t>green</t>
        </is>
      </c>
      <c r="G297" s="33" t="n">
        <v>1</v>
      </c>
      <c r="H297" s="33" t="n">
        <v>673</v>
      </c>
      <c r="I297" s="33" t="inlineStr">
        <is>
          <t>us</t>
        </is>
      </c>
      <c r="J297" s="33" t="n">
        <v>0</v>
      </c>
      <c r="K297" s="33" t="n">
        <v>2.413</v>
      </c>
      <c r="L297" s="33" t="n">
        <v>74</v>
      </c>
      <c r="M297" s="33" t="inlineStr">
        <is>
          <t>mww</t>
        </is>
      </c>
      <c r="N297" s="33" t="n">
        <v>10</v>
      </c>
      <c r="O297" s="33" t="n">
        <v>18.8239</v>
      </c>
      <c r="P297" s="33" t="n">
        <v>-106.934</v>
      </c>
      <c r="Q297" s="33" t="inlineStr">
        <is>
          <t>La Cruz de Loreto, Mexico</t>
        </is>
      </c>
      <c r="T297" s="36">
        <f>DATE(MID(C297,7,4),MID(C297,4,2),MID(C297,1,2))+TIME(MID(C297,12,2),MID(C297,15,2),0)</f>
        <v/>
      </c>
      <c r="U297" s="33">
        <f>IF(ISNUMBER(VALUE(MID(A297,7,1))),"Distance-prefix pattern","Named-region pattern")</f>
        <v/>
      </c>
      <c r="V297" s="33">
        <f>LOWER(M297)</f>
        <v/>
      </c>
      <c r="W297" s="33">
        <f>IF(COUNTIFS($A$2:$A$1001,A297,$C$2:$C$1001,C297)&gt;1,"Duplicate","Unique")</f>
        <v/>
      </c>
      <c r="X297" s="33">
        <f>YEAR(T297)</f>
        <v/>
      </c>
      <c r="Y297" s="33">
        <f>IF(B297&lt;6.5,"&lt;6.5",IF(B297&lt;7,"6.5–6.9",IF(B297&lt;7.5,"7.0–7.4",IF(B297&lt;8,"7.5–7.9","8.0+"))))</f>
        <v/>
      </c>
      <c r="Z297" s="33">
        <f>IF(F297="","Blank",F297)</f>
        <v/>
      </c>
    </row>
    <row r="298" ht="15" customHeight="1" s="34">
      <c r="A298" s="33" t="inlineStr">
        <is>
          <t>M 6.7 - 52 km SE of Shizunai-furukawach?, Japan</t>
        </is>
      </c>
      <c r="B298" s="33" t="n">
        <v>6.7</v>
      </c>
      <c r="C298" s="33" t="inlineStr">
        <is>
          <t>14/01/2016 03:25</t>
        </is>
      </c>
      <c r="D298" s="33" t="n">
        <v>5</v>
      </c>
      <c r="E298" s="33" t="n">
        <v>6</v>
      </c>
      <c r="F298" s="33" t="inlineStr">
        <is>
          <t>green</t>
        </is>
      </c>
      <c r="G298" s="33" t="n">
        <v>1</v>
      </c>
      <c r="H298" s="33" t="n">
        <v>717</v>
      </c>
      <c r="I298" s="33" t="inlineStr">
        <is>
          <t>us</t>
        </is>
      </c>
      <c r="J298" s="33" t="n">
        <v>0</v>
      </c>
      <c r="K298" s="33" t="n">
        <v>0.281</v>
      </c>
      <c r="L298" s="33" t="n">
        <v>22</v>
      </c>
      <c r="M298" s="33" t="inlineStr">
        <is>
          <t>mww</t>
        </is>
      </c>
      <c r="N298" s="33" t="n">
        <v>46</v>
      </c>
      <c r="O298" s="33" t="n">
        <v>41.9723</v>
      </c>
      <c r="P298" s="33" t="n">
        <v>142.781</v>
      </c>
      <c r="Q298" s="33" t="inlineStr">
        <is>
          <t>Shizunai-furukawach?, Japan</t>
        </is>
      </c>
      <c r="R298" s="33" t="inlineStr">
        <is>
          <t>Asia</t>
        </is>
      </c>
      <c r="S298" s="33" t="inlineStr">
        <is>
          <t>Japan</t>
        </is>
      </c>
      <c r="T298" s="36">
        <f>DATE(MID(C298,7,4),MID(C298,4,2),MID(C298,1,2))+TIME(MID(C298,12,2),MID(C298,15,2),0)</f>
        <v/>
      </c>
      <c r="U298" s="33">
        <f>IF(ISNUMBER(VALUE(MID(A298,7,1))),"Distance-prefix pattern","Named-region pattern")</f>
        <v/>
      </c>
      <c r="V298" s="33">
        <f>LOWER(M298)</f>
        <v/>
      </c>
      <c r="W298" s="33">
        <f>IF(COUNTIFS($A$2:$A$1001,A298,$C$2:$C$1001,C298)&gt;1,"Duplicate","Unique")</f>
        <v/>
      </c>
      <c r="X298" s="33">
        <f>YEAR(T298)</f>
        <v/>
      </c>
      <c r="Y298" s="33">
        <f>IF(B298&lt;6.5,"&lt;6.5",IF(B298&lt;7,"6.5–6.9",IF(B298&lt;7.5,"7.0–7.4",IF(B298&lt;8,"7.5–7.9","8.0+"))))</f>
        <v/>
      </c>
      <c r="Z298" s="33">
        <f>IF(F298="","Blank",F298)</f>
        <v/>
      </c>
    </row>
    <row r="299" ht="15" customHeight="1" s="34">
      <c r="A299" s="33" t="inlineStr">
        <is>
          <t>M 6.5 - 227 km SE of Sarangani, Philippines</t>
        </is>
      </c>
      <c r="B299" s="33" t="n">
        <v>6.5</v>
      </c>
      <c r="C299" s="33" t="inlineStr">
        <is>
          <t>11/01/2016 16:38</t>
        </is>
      </c>
      <c r="D299" s="33" t="n">
        <v>3</v>
      </c>
      <c r="E299" s="33" t="n">
        <v>6</v>
      </c>
      <c r="F299" s="33" t="inlineStr">
        <is>
          <t>green</t>
        </is>
      </c>
      <c r="G299" s="33" t="n">
        <v>1</v>
      </c>
      <c r="H299" s="33" t="n">
        <v>651</v>
      </c>
      <c r="I299" s="33" t="inlineStr">
        <is>
          <t>us</t>
        </is>
      </c>
      <c r="J299" s="33" t="n">
        <v>0</v>
      </c>
      <c r="K299" s="33" t="n">
        <v>3.144</v>
      </c>
      <c r="L299" s="33" t="n">
        <v>22</v>
      </c>
      <c r="M299" s="33" t="inlineStr">
        <is>
          <t>mww</t>
        </is>
      </c>
      <c r="N299" s="33" t="n">
        <v>13</v>
      </c>
      <c r="O299" s="33" t="n">
        <v>3.8965</v>
      </c>
      <c r="P299" s="33" t="n">
        <v>126.862</v>
      </c>
      <c r="Q299" s="33" t="inlineStr">
        <is>
          <t>Sarangani, Philippines</t>
        </is>
      </c>
      <c r="S299" s="33" t="inlineStr">
        <is>
          <t>Indonesia</t>
        </is>
      </c>
      <c r="T299" s="36">
        <f>DATE(MID(C299,7,4),MID(C299,4,2),MID(C299,1,2))+TIME(MID(C299,12,2),MID(C299,15,2),0)</f>
        <v/>
      </c>
      <c r="U299" s="33">
        <f>IF(ISNUMBER(VALUE(MID(A299,7,1))),"Distance-prefix pattern","Named-region pattern")</f>
        <v/>
      </c>
      <c r="V299" s="33">
        <f>LOWER(M299)</f>
        <v/>
      </c>
      <c r="W299" s="33">
        <f>IF(COUNTIFS($A$2:$A$1001,A299,$C$2:$C$1001,C299)&gt;1,"Duplicate","Unique")</f>
        <v/>
      </c>
      <c r="X299" s="33">
        <f>YEAR(T299)</f>
        <v/>
      </c>
      <c r="Y299" s="33">
        <f>IF(B299&lt;6.5,"&lt;6.5",IF(B299&lt;7,"6.5–6.9",IF(B299&lt;7.5,"7.0–7.4",IF(B299&lt;8,"7.5–7.9","8.0+"))))</f>
        <v/>
      </c>
      <c r="Z299" s="33">
        <f>IF(F299="","Blank",F299)</f>
        <v/>
      </c>
    </row>
    <row r="300" ht="15" customHeight="1" s="34">
      <c r="A300" s="33" t="inlineStr">
        <is>
          <t>M 6.7 - 29 km W of Imph?l, India</t>
        </is>
      </c>
      <c r="B300" s="33" t="n">
        <v>6.7</v>
      </c>
      <c r="C300" s="33" t="inlineStr">
        <is>
          <t>03/01/2016 23:05</t>
        </is>
      </c>
      <c r="D300" s="33" t="n">
        <v>8</v>
      </c>
      <c r="E300" s="33" t="n">
        <v>7</v>
      </c>
      <c r="F300" s="33" t="inlineStr">
        <is>
          <t>orange</t>
        </is>
      </c>
      <c r="G300" s="33" t="n">
        <v>0</v>
      </c>
      <c r="H300" s="33" t="n">
        <v>1515</v>
      </c>
      <c r="I300" s="33" t="inlineStr">
        <is>
          <t>us</t>
        </is>
      </c>
      <c r="J300" s="33" t="n">
        <v>0</v>
      </c>
      <c r="K300" s="33" t="n">
        <v>1.794</v>
      </c>
      <c r="L300" s="33" t="n">
        <v>16</v>
      </c>
      <c r="M300" s="33" t="inlineStr">
        <is>
          <t>mww</t>
        </is>
      </c>
      <c r="N300" s="33" t="n">
        <v>55</v>
      </c>
      <c r="O300" s="33" t="n">
        <v>24.8036</v>
      </c>
      <c r="P300" s="33" t="n">
        <v>93.65049999999999</v>
      </c>
      <c r="Q300" s="33" t="inlineStr">
        <is>
          <t>Imph?l, India</t>
        </is>
      </c>
      <c r="R300" s="33" t="inlineStr">
        <is>
          <t>Asia</t>
        </is>
      </c>
      <c r="S300" s="33" t="inlineStr">
        <is>
          <t>India</t>
        </is>
      </c>
      <c r="T300" s="36">
        <f>DATE(MID(C300,7,4),MID(C300,4,2),MID(C300,1,2))+TIME(MID(C300,12,2),MID(C300,15,2),0)</f>
        <v/>
      </c>
      <c r="U300" s="33">
        <f>IF(ISNUMBER(VALUE(MID(A300,7,1))),"Distance-prefix pattern","Named-region pattern")</f>
        <v/>
      </c>
      <c r="V300" s="33">
        <f>LOWER(M300)</f>
        <v/>
      </c>
      <c r="W300" s="33">
        <f>IF(COUNTIFS($A$2:$A$1001,A300,$C$2:$C$1001,C300)&gt;1,"Duplicate","Unique")</f>
        <v/>
      </c>
      <c r="X300" s="33">
        <f>YEAR(T300)</f>
        <v/>
      </c>
      <c r="Y300" s="33">
        <f>IF(B300&lt;6.5,"&lt;6.5",IF(B300&lt;7,"6.5–6.9",IF(B300&lt;7.5,"7.0–7.4",IF(B300&lt;8,"7.5–7.9","8.0+"))))</f>
        <v/>
      </c>
      <c r="Z300" s="33">
        <f>IF(F300="","Blank",F300)</f>
        <v/>
      </c>
    </row>
    <row r="301" ht="15" customHeight="1" s="34">
      <c r="A301" s="33" t="inlineStr">
        <is>
          <t>M 6.6 - 4 km W of Manuel Ávila Camacho (Ponte Duro), Mexico</t>
        </is>
      </c>
      <c r="B301" s="33" t="n">
        <v>6.6</v>
      </c>
      <c r="C301" s="33" t="inlineStr">
        <is>
          <t>17/12/2015 19:49</t>
        </is>
      </c>
      <c r="D301" s="33" t="n">
        <v>8</v>
      </c>
      <c r="E301" s="33" t="n">
        <v>6</v>
      </c>
      <c r="F301" s="33" t="inlineStr">
        <is>
          <t>green</t>
        </is>
      </c>
      <c r="G301" s="33" t="n">
        <v>1</v>
      </c>
      <c r="H301" s="33" t="n">
        <v>765</v>
      </c>
      <c r="I301" s="33" t="inlineStr">
        <is>
          <t>us</t>
        </is>
      </c>
      <c r="J301" s="33" t="n">
        <v>0</v>
      </c>
      <c r="K301" s="33" t="n">
        <v>0.41</v>
      </c>
      <c r="L301" s="33" t="n">
        <v>35</v>
      </c>
      <c r="M301" s="33" t="inlineStr">
        <is>
          <t>mww</t>
        </is>
      </c>
      <c r="N301" s="33" t="n">
        <v>85</v>
      </c>
      <c r="O301" s="33" t="n">
        <v>15.8015</v>
      </c>
      <c r="P301" s="33" t="n">
        <v>-93.633</v>
      </c>
      <c r="Q301" s="33" t="inlineStr">
        <is>
          <t>Manuel Ávila Camacho (Ponte Duro), Mexico</t>
        </is>
      </c>
      <c r="S301" s="33" t="inlineStr">
        <is>
          <t>Mexico</t>
        </is>
      </c>
      <c r="T301" s="36">
        <f>DATE(MID(C301,7,4),MID(C301,4,2),MID(C301,1,2))+TIME(MID(C301,12,2),MID(C301,15,2),0)</f>
        <v/>
      </c>
      <c r="U301" s="33">
        <f>IF(ISNUMBER(VALUE(MID(A301,7,1))),"Distance-prefix pattern","Named-region pattern")</f>
        <v/>
      </c>
      <c r="V301" s="33">
        <f>LOWER(M301)</f>
        <v/>
      </c>
      <c r="W301" s="33">
        <f>IF(COUNTIFS($A$2:$A$1001,A301,$C$2:$C$1001,C301)&gt;1,"Duplicate","Unique")</f>
        <v/>
      </c>
      <c r="X301" s="33">
        <f>YEAR(T301)</f>
        <v/>
      </c>
      <c r="Y301" s="33">
        <f>IF(B301&lt;6.5,"&lt;6.5",IF(B301&lt;7,"6.5–6.9",IF(B301&lt;7.5,"7.0–7.4",IF(B301&lt;8,"7.5–7.9","8.0+"))))</f>
        <v/>
      </c>
      <c r="Z301" s="33">
        <f>IF(F301="","Blank",F301)</f>
        <v/>
      </c>
    </row>
    <row r="302" ht="15" customHeight="1" s="34">
      <c r="A302" s="33" t="inlineStr">
        <is>
          <t>M 6.9 - 107 km SE of Amahai, Indonesia</t>
        </is>
      </c>
      <c r="B302" s="33" t="n">
        <v>6.9</v>
      </c>
      <c r="C302" s="33" t="inlineStr">
        <is>
          <t>09/12/2015 10:21</t>
        </is>
      </c>
      <c r="D302" s="33" t="n">
        <v>8</v>
      </c>
      <c r="E302" s="33" t="n">
        <v>5</v>
      </c>
      <c r="F302" s="33" t="inlineStr">
        <is>
          <t>green</t>
        </is>
      </c>
      <c r="G302" s="33" t="n">
        <v>0</v>
      </c>
      <c r="H302" s="33" t="n">
        <v>738</v>
      </c>
      <c r="I302" s="33" t="inlineStr">
        <is>
          <t>us</t>
        </is>
      </c>
      <c r="J302" s="33" t="n">
        <v>0</v>
      </c>
      <c r="K302" s="33" t="n">
        <v>2.979</v>
      </c>
      <c r="L302" s="33" t="n">
        <v>14</v>
      </c>
      <c r="M302" s="33" t="inlineStr">
        <is>
          <t>mww</t>
        </is>
      </c>
      <c r="N302" s="33" t="n">
        <v>21</v>
      </c>
      <c r="O302" s="33" t="n">
        <v>-4.1064</v>
      </c>
      <c r="P302" s="33" t="n">
        <v>129.508</v>
      </c>
      <c r="Q302" s="33" t="inlineStr">
        <is>
          <t>Amahai, Indonesia</t>
        </is>
      </c>
      <c r="S302" s="33" t="inlineStr">
        <is>
          <t>Indonesia</t>
        </is>
      </c>
      <c r="T302" s="36">
        <f>DATE(MID(C302,7,4),MID(C302,4,2),MID(C302,1,2))+TIME(MID(C302,12,2),MID(C302,15,2),0)</f>
        <v/>
      </c>
      <c r="U302" s="33">
        <f>IF(ISNUMBER(VALUE(MID(A302,7,1))),"Distance-prefix pattern","Named-region pattern")</f>
        <v/>
      </c>
      <c r="V302" s="33">
        <f>LOWER(M302)</f>
        <v/>
      </c>
      <c r="W302" s="33">
        <f>IF(COUNTIFS($A$2:$A$1001,A302,$C$2:$C$1001,C302)&gt;1,"Duplicate","Unique")</f>
        <v/>
      </c>
      <c r="X302" s="33">
        <f>YEAR(T302)</f>
        <v/>
      </c>
      <c r="Y302" s="33">
        <f>IF(B302&lt;6.5,"&lt;6.5",IF(B302&lt;7,"6.5–6.9",IF(B302&lt;7.5,"7.0–7.4",IF(B302&lt;8,"7.5–7.9","8.0+"))))</f>
        <v/>
      </c>
      <c r="Z302" s="33">
        <f>IF(F302="","Blank",F302)</f>
        <v/>
      </c>
    </row>
    <row r="303" ht="15" customHeight="1" s="34">
      <c r="A303" s="33" t="inlineStr">
        <is>
          <t>M 7.2 - 104 km W of Murghob, Tajikistan</t>
        </is>
      </c>
      <c r="B303" s="33" t="n">
        <v>7.2</v>
      </c>
      <c r="C303" s="33" t="inlineStr">
        <is>
          <t>07/12/2015 07:50</t>
        </is>
      </c>
      <c r="D303" s="33" t="n">
        <v>4</v>
      </c>
      <c r="E303" s="33" t="n">
        <v>7</v>
      </c>
      <c r="F303" s="33" t="inlineStr">
        <is>
          <t>green</t>
        </is>
      </c>
      <c r="G303" s="33" t="n">
        <v>0</v>
      </c>
      <c r="H303" s="33" t="n">
        <v>827</v>
      </c>
      <c r="I303" s="33" t="inlineStr">
        <is>
          <t>us</t>
        </is>
      </c>
      <c r="J303" s="33" t="n">
        <v>0</v>
      </c>
      <c r="K303" s="33" t="n">
        <v>1.116</v>
      </c>
      <c r="L303" s="33" t="n">
        <v>18</v>
      </c>
      <c r="M303" s="33" t="inlineStr">
        <is>
          <t>mww</t>
        </is>
      </c>
      <c r="N303" s="33" t="n">
        <v>22</v>
      </c>
      <c r="O303" s="33" t="n">
        <v>38.2107</v>
      </c>
      <c r="P303" s="33" t="n">
        <v>72.77970000000001</v>
      </c>
      <c r="Q303" s="33" t="inlineStr">
        <is>
          <t>Murghob, Tajikistan</t>
        </is>
      </c>
      <c r="R303" s="33" t="inlineStr">
        <is>
          <t>Asia</t>
        </is>
      </c>
      <c r="S303" s="33" t="inlineStr">
        <is>
          <t>Tajikistan</t>
        </is>
      </c>
      <c r="T303" s="36">
        <f>DATE(MID(C303,7,4),MID(C303,4,2),MID(C303,1,2))+TIME(MID(C303,12,2),MID(C303,15,2),0)</f>
        <v/>
      </c>
      <c r="U303" s="33">
        <f>IF(ISNUMBER(VALUE(MID(A303,7,1))),"Distance-prefix pattern","Named-region pattern")</f>
        <v/>
      </c>
      <c r="V303" s="33">
        <f>LOWER(M303)</f>
        <v/>
      </c>
      <c r="W303" s="33">
        <f>IF(COUNTIFS($A$2:$A$1001,A303,$C$2:$C$1001,C303)&gt;1,"Duplicate","Unique")</f>
        <v/>
      </c>
      <c r="X303" s="33">
        <f>YEAR(T303)</f>
        <v/>
      </c>
      <c r="Y303" s="33">
        <f>IF(B303&lt;6.5,"&lt;6.5",IF(B303&lt;7,"6.5–6.9",IF(B303&lt;7.5,"7.0–7.4",IF(B303&lt;8,"7.5–7.9","8.0+"))))</f>
        <v/>
      </c>
      <c r="Z303" s="33">
        <f>IF(F303="","Blank",F303)</f>
        <v/>
      </c>
    </row>
    <row r="304" ht="15" customHeight="1" s="34">
      <c r="A304" s="33" t="inlineStr">
        <is>
          <t>M 6.7 - 125 km SSW of Tarauacá, Brazil</t>
        </is>
      </c>
      <c r="B304" s="33" t="n">
        <v>6.7</v>
      </c>
      <c r="C304" s="33" t="inlineStr">
        <is>
          <t>26/11/2015 05:45</t>
        </is>
      </c>
      <c r="D304" s="33" t="n">
        <v>2</v>
      </c>
      <c r="E304" s="33" t="n">
        <v>3</v>
      </c>
      <c r="F304" s="33" t="inlineStr">
        <is>
          <t>green</t>
        </is>
      </c>
      <c r="G304" s="33" t="n">
        <v>0</v>
      </c>
      <c r="H304" s="33" t="n">
        <v>691</v>
      </c>
      <c r="I304" s="33" t="inlineStr">
        <is>
          <t>us</t>
        </is>
      </c>
      <c r="J304" s="33" t="n">
        <v>0</v>
      </c>
      <c r="K304" s="33" t="n">
        <v>2.033</v>
      </c>
      <c r="L304" s="33" t="n">
        <v>19</v>
      </c>
      <c r="M304" s="33" t="inlineStr">
        <is>
          <t>mww</t>
        </is>
      </c>
      <c r="N304" s="33" t="n">
        <v>602.75</v>
      </c>
      <c r="O304" s="33" t="n">
        <v>-9.182499999999999</v>
      </c>
      <c r="P304" s="33" t="n">
        <v>-71.2574</v>
      </c>
      <c r="Q304" s="33" t="inlineStr">
        <is>
          <t>Tarauacá, Brazil</t>
        </is>
      </c>
      <c r="R304" s="33" t="inlineStr">
        <is>
          <t>South America</t>
        </is>
      </c>
      <c r="S304" s="33" t="inlineStr">
        <is>
          <t>Brazil</t>
        </is>
      </c>
      <c r="T304" s="36">
        <f>DATE(MID(C304,7,4),MID(C304,4,2),MID(C304,1,2))+TIME(MID(C304,12,2),MID(C304,15,2),0)</f>
        <v/>
      </c>
      <c r="U304" s="33">
        <f>IF(ISNUMBER(VALUE(MID(A304,7,1))),"Distance-prefix pattern","Named-region pattern")</f>
        <v/>
      </c>
      <c r="V304" s="33">
        <f>LOWER(M304)</f>
        <v/>
      </c>
      <c r="W304" s="33">
        <f>IF(COUNTIFS($A$2:$A$1001,A304,$C$2:$C$1001,C304)&gt;1,"Duplicate","Unique")</f>
        <v/>
      </c>
      <c r="X304" s="33">
        <f>YEAR(T304)</f>
        <v/>
      </c>
      <c r="Y304" s="33">
        <f>IF(B304&lt;6.5,"&lt;6.5",IF(B304&lt;7,"6.5–6.9",IF(B304&lt;7.5,"7.0–7.4",IF(B304&lt;8,"7.5–7.9","8.0+"))))</f>
        <v/>
      </c>
      <c r="Z304" s="33">
        <f>IF(F304="","Blank",F304)</f>
        <v/>
      </c>
    </row>
    <row r="305" ht="15" customHeight="1" s="34">
      <c r="A305" s="33" t="inlineStr">
        <is>
          <t>M 7.6 - 185 km WNW of Iñapari, Peru</t>
        </is>
      </c>
      <c r="B305" s="33" t="n">
        <v>7.6</v>
      </c>
      <c r="C305" s="33" t="inlineStr">
        <is>
          <t>24/11/2015 22:50</t>
        </is>
      </c>
      <c r="D305" s="33" t="n">
        <v>5</v>
      </c>
      <c r="E305" s="33" t="n">
        <v>4</v>
      </c>
      <c r="F305" s="33" t="inlineStr">
        <is>
          <t>green</t>
        </is>
      </c>
      <c r="G305" s="33" t="n">
        <v>0</v>
      </c>
      <c r="H305" s="33" t="n">
        <v>896</v>
      </c>
      <c r="I305" s="33" t="inlineStr">
        <is>
          <t>us</t>
        </is>
      </c>
      <c r="J305" s="33" t="n">
        <v>0</v>
      </c>
      <c r="K305" s="33" t="n">
        <v>2.852</v>
      </c>
      <c r="L305" s="33" t="n">
        <v>10</v>
      </c>
      <c r="M305" s="33" t="inlineStr">
        <is>
          <t>mww</t>
        </is>
      </c>
      <c r="N305" s="33" t="n">
        <v>620.5599999999999</v>
      </c>
      <c r="O305" s="33" t="n">
        <v>-10.0598</v>
      </c>
      <c r="P305" s="33" t="n">
        <v>-71.0184</v>
      </c>
      <c r="Q305" s="33" t="inlineStr">
        <is>
          <t>Iñapari, Peru</t>
        </is>
      </c>
      <c r="R305" s="33" t="inlineStr">
        <is>
          <t>South America</t>
        </is>
      </c>
      <c r="S305" s="33" t="inlineStr">
        <is>
          <t>Peru</t>
        </is>
      </c>
      <c r="T305" s="36">
        <f>DATE(MID(C305,7,4),MID(C305,4,2),MID(C305,1,2))+TIME(MID(C305,12,2),MID(C305,15,2),0)</f>
        <v/>
      </c>
      <c r="U305" s="33">
        <f>IF(ISNUMBER(VALUE(MID(A305,7,1))),"Distance-prefix pattern","Named-region pattern")</f>
        <v/>
      </c>
      <c r="V305" s="33">
        <f>LOWER(M305)</f>
        <v/>
      </c>
      <c r="W305" s="33">
        <f>IF(COUNTIFS($A$2:$A$1001,A305,$C$2:$C$1001,C305)&gt;1,"Duplicate","Unique")</f>
        <v/>
      </c>
      <c r="X305" s="33">
        <f>YEAR(T305)</f>
        <v/>
      </c>
      <c r="Y305" s="33">
        <f>IF(B305&lt;6.5,"&lt;6.5",IF(B305&lt;7,"6.5–6.9",IF(B305&lt;7.5,"7.0–7.4",IF(B305&lt;8,"7.5–7.9","8.0+"))))</f>
        <v/>
      </c>
      <c r="Z305" s="33">
        <f>IF(F305="","Blank",F305)</f>
        <v/>
      </c>
    </row>
    <row r="306" ht="15" customHeight="1" s="34">
      <c r="A306" s="33" t="inlineStr">
        <is>
          <t>M 7.6 - 155 km WNW of Iñapari, Peru</t>
        </is>
      </c>
      <c r="B306" s="33" t="n">
        <v>7.6</v>
      </c>
      <c r="C306" s="33" t="inlineStr">
        <is>
          <t>24/11/2015 22:45</t>
        </is>
      </c>
      <c r="D306" s="33" t="n">
        <v>6</v>
      </c>
      <c r="E306" s="33" t="n">
        <v>5</v>
      </c>
      <c r="F306" s="33" t="inlineStr">
        <is>
          <t>green</t>
        </is>
      </c>
      <c r="G306" s="33" t="n">
        <v>1</v>
      </c>
      <c r="H306" s="33" t="n">
        <v>957</v>
      </c>
      <c r="I306" s="33" t="inlineStr">
        <is>
          <t>us</t>
        </is>
      </c>
      <c r="J306" s="33" t="n">
        <v>0</v>
      </c>
      <c r="K306" s="33" t="n">
        <v>3.287</v>
      </c>
      <c r="L306" s="33" t="n">
        <v>10</v>
      </c>
      <c r="M306" s="33" t="inlineStr">
        <is>
          <t>mww</t>
        </is>
      </c>
      <c r="N306" s="33" t="n">
        <v>606.21</v>
      </c>
      <c r="O306" s="33" t="n">
        <v>-10.5372</v>
      </c>
      <c r="P306" s="33" t="n">
        <v>-70.94370000000001</v>
      </c>
      <c r="Q306" s="33" t="inlineStr">
        <is>
          <t>Iñapari, Peru</t>
        </is>
      </c>
      <c r="R306" s="33" t="inlineStr">
        <is>
          <t>South America</t>
        </is>
      </c>
      <c r="S306" s="33" t="inlineStr">
        <is>
          <t>Peru</t>
        </is>
      </c>
      <c r="T306" s="36">
        <f>DATE(MID(C306,7,4),MID(C306,4,2),MID(C306,1,2))+TIME(MID(C306,12,2),MID(C306,15,2),0)</f>
        <v/>
      </c>
      <c r="U306" s="33">
        <f>IF(ISNUMBER(VALUE(MID(A306,7,1))),"Distance-prefix pattern","Named-region pattern")</f>
        <v/>
      </c>
      <c r="V306" s="33">
        <f>LOWER(M306)</f>
        <v/>
      </c>
      <c r="W306" s="33">
        <f>IF(COUNTIFS($A$2:$A$1001,A306,$C$2:$C$1001,C306)&gt;1,"Duplicate","Unique")</f>
        <v/>
      </c>
      <c r="X306" s="33">
        <f>YEAR(T306)</f>
        <v/>
      </c>
      <c r="Y306" s="33">
        <f>IF(B306&lt;6.5,"&lt;6.5",IF(B306&lt;7,"6.5–6.9",IF(B306&lt;7.5,"7.0–7.4",IF(B306&lt;8,"7.5–7.9","8.0+"))))</f>
        <v/>
      </c>
      <c r="Z306" s="33">
        <f>IF(F306="","Blank",F306)</f>
        <v/>
      </c>
    </row>
    <row r="307" ht="15" customHeight="1" s="34">
      <c r="A307" s="33" t="inlineStr">
        <is>
          <t>M 6.8 - 153 km WSW of Buala, Solomon Islands</t>
        </is>
      </c>
      <c r="B307" s="33" t="n">
        <v>6.8</v>
      </c>
      <c r="C307" s="33" t="inlineStr">
        <is>
          <t>18/11/2015 18:31</t>
        </is>
      </c>
      <c r="D307" s="33" t="n">
        <v>5</v>
      </c>
      <c r="E307" s="33" t="n">
        <v>6</v>
      </c>
      <c r="F307" s="33" t="inlineStr">
        <is>
          <t>green</t>
        </is>
      </c>
      <c r="G307" s="33" t="n">
        <v>1</v>
      </c>
      <c r="H307" s="33" t="n">
        <v>715</v>
      </c>
      <c r="I307" s="33" t="inlineStr">
        <is>
          <t>us</t>
        </is>
      </c>
      <c r="J307" s="33" t="n">
        <v>0</v>
      </c>
      <c r="K307" s="33" t="n">
        <v>1.599</v>
      </c>
      <c r="L307" s="33" t="n">
        <v>19</v>
      </c>
      <c r="M307" s="33" t="inlineStr">
        <is>
          <t>mww</t>
        </is>
      </c>
      <c r="N307" s="33" t="n">
        <v>12.59</v>
      </c>
      <c r="O307" s="33" t="n">
        <v>-8.8994</v>
      </c>
      <c r="P307" s="33" t="n">
        <v>158.422</v>
      </c>
      <c r="Q307" s="33" t="inlineStr">
        <is>
          <t>Buala, Solomon Islands</t>
        </is>
      </c>
      <c r="S307" s="33" t="inlineStr">
        <is>
          <t>Solomon Islands</t>
        </is>
      </c>
      <c r="T307" s="36">
        <f>DATE(MID(C307,7,4),MID(C307,4,2),MID(C307,1,2))+TIME(MID(C307,12,2),MID(C307,15,2),0)</f>
        <v/>
      </c>
      <c r="U307" s="33">
        <f>IF(ISNUMBER(VALUE(MID(A307,7,1))),"Distance-prefix pattern","Named-region pattern")</f>
        <v/>
      </c>
      <c r="V307" s="33">
        <f>LOWER(M307)</f>
        <v/>
      </c>
      <c r="W307" s="33">
        <f>IF(COUNTIFS($A$2:$A$1001,A307,$C$2:$C$1001,C307)&gt;1,"Duplicate","Unique")</f>
        <v/>
      </c>
      <c r="X307" s="33">
        <f>YEAR(T307)</f>
        <v/>
      </c>
      <c r="Y307" s="33">
        <f>IF(B307&lt;6.5,"&lt;6.5",IF(B307&lt;7,"6.5–6.9",IF(B307&lt;7.5,"7.0–7.4",IF(B307&lt;8,"7.5–7.9","8.0+"))))</f>
        <v/>
      </c>
      <c r="Z307" s="33">
        <f>IF(F307="","Blank",F307)</f>
        <v/>
      </c>
    </row>
    <row r="308" ht="15" customHeight="1" s="34">
      <c r="A308" s="33" t="inlineStr">
        <is>
          <t>M 6.5 - 19 km SSW of Lefkáda, Greece</t>
        </is>
      </c>
      <c r="B308" s="33" t="n">
        <v>6.5</v>
      </c>
      <c r="C308" s="33" t="inlineStr">
        <is>
          <t>17/11/2015 07:10</t>
        </is>
      </c>
      <c r="D308" s="33" t="n">
        <v>7</v>
      </c>
      <c r="E308" s="33" t="n">
        <v>7</v>
      </c>
      <c r="F308" s="33" t="inlineStr">
        <is>
          <t>orange</t>
        </is>
      </c>
      <c r="G308" s="33" t="n">
        <v>0</v>
      </c>
      <c r="H308" s="33" t="n">
        <v>1018</v>
      </c>
      <c r="I308" s="33" t="inlineStr">
        <is>
          <t>us</t>
        </is>
      </c>
      <c r="J308" s="33" t="n">
        <v>0</v>
      </c>
      <c r="K308" s="33" t="n">
        <v>0</v>
      </c>
      <c r="L308" s="33" t="n">
        <v>0</v>
      </c>
      <c r="M308" s="33" t="inlineStr">
        <is>
          <t>mww</t>
        </is>
      </c>
      <c r="N308" s="33" t="n">
        <v>11</v>
      </c>
      <c r="O308" s="33" t="n">
        <v>38.67</v>
      </c>
      <c r="P308" s="33" t="n">
        <v>20.6</v>
      </c>
      <c r="Q308" s="33" t="inlineStr">
        <is>
          <t>Lefkáda, Greece</t>
        </is>
      </c>
      <c r="R308" s="33" t="inlineStr">
        <is>
          <t>Europe</t>
        </is>
      </c>
      <c r="S308" s="33" t="inlineStr">
        <is>
          <t>Greece</t>
        </is>
      </c>
      <c r="T308" s="36">
        <f>DATE(MID(C308,7,4),MID(C308,4,2),MID(C308,1,2))+TIME(MID(C308,12,2),MID(C308,15,2),0)</f>
        <v/>
      </c>
      <c r="U308" s="33">
        <f>IF(ISNUMBER(VALUE(MID(A308,7,1))),"Distance-prefix pattern","Named-region pattern")</f>
        <v/>
      </c>
      <c r="V308" s="33">
        <f>LOWER(M308)</f>
        <v/>
      </c>
      <c r="W308" s="33">
        <f>IF(COUNTIFS($A$2:$A$1001,A308,$C$2:$C$1001,C308)&gt;1,"Duplicate","Unique")</f>
        <v/>
      </c>
      <c r="X308" s="33">
        <f>YEAR(T308)</f>
        <v/>
      </c>
      <c r="Y308" s="33">
        <f>IF(B308&lt;6.5,"&lt;6.5",IF(B308&lt;7,"6.5–6.9",IF(B308&lt;7.5,"7.0–7.4",IF(B308&lt;8,"7.5–7.9","8.0+"))))</f>
        <v/>
      </c>
      <c r="Z308" s="33">
        <f>IF(F308="","Blank",F308)</f>
        <v/>
      </c>
    </row>
    <row r="309" ht="15" customHeight="1" s="34">
      <c r="A309" s="33" t="inlineStr">
        <is>
          <t>M 6.7 - 140 km WSW of Makurazaki, Japan</t>
        </is>
      </c>
      <c r="B309" s="33" t="n">
        <v>6.7</v>
      </c>
      <c r="C309" s="33" t="inlineStr">
        <is>
          <t>13/11/2015 20:51</t>
        </is>
      </c>
      <c r="D309" s="33" t="n">
        <v>5</v>
      </c>
      <c r="E309" s="33" t="n">
        <v>4</v>
      </c>
      <c r="F309" s="33" t="inlineStr">
        <is>
          <t>green</t>
        </is>
      </c>
      <c r="G309" s="33" t="n">
        <v>0</v>
      </c>
      <c r="H309" s="33" t="n">
        <v>702</v>
      </c>
      <c r="I309" s="33" t="inlineStr">
        <is>
          <t>us</t>
        </is>
      </c>
      <c r="J309" s="33" t="n">
        <v>0</v>
      </c>
      <c r="K309" s="33" t="n">
        <v>1.444</v>
      </c>
      <c r="L309" s="33" t="n">
        <v>17</v>
      </c>
      <c r="M309" s="33" t="inlineStr">
        <is>
          <t>mww</t>
        </is>
      </c>
      <c r="N309" s="33" t="n">
        <v>12</v>
      </c>
      <c r="O309" s="33" t="n">
        <v>31.0009</v>
      </c>
      <c r="P309" s="33" t="n">
        <v>128.873</v>
      </c>
      <c r="Q309" s="33" t="inlineStr">
        <is>
          <t>Makurazaki, Japan</t>
        </is>
      </c>
      <c r="T309" s="36">
        <f>DATE(MID(C309,7,4),MID(C309,4,2),MID(C309,1,2))+TIME(MID(C309,12,2),MID(C309,15,2),0)</f>
        <v/>
      </c>
      <c r="U309" s="33">
        <f>IF(ISNUMBER(VALUE(MID(A309,7,1))),"Distance-prefix pattern","Named-region pattern")</f>
        <v/>
      </c>
      <c r="V309" s="33">
        <f>LOWER(M309)</f>
        <v/>
      </c>
      <c r="W309" s="33">
        <f>IF(COUNTIFS($A$2:$A$1001,A309,$C$2:$C$1001,C309)&gt;1,"Duplicate","Unique")</f>
        <v/>
      </c>
      <c r="X309" s="33">
        <f>YEAR(T309)</f>
        <v/>
      </c>
      <c r="Y309" s="33">
        <f>IF(B309&lt;6.5,"&lt;6.5",IF(B309&lt;7,"6.5–6.9",IF(B309&lt;7.5,"7.0–7.4",IF(B309&lt;8,"7.5–7.9","8.0+"))))</f>
        <v/>
      </c>
      <c r="Z309" s="33">
        <f>IF(F309="","Blank",F309)</f>
        <v/>
      </c>
    </row>
    <row r="310" ht="15" customHeight="1" s="34">
      <c r="A310" s="33" t="inlineStr">
        <is>
          <t>M 6.9 - 85 km NW of Coquimbo, Chile</t>
        </is>
      </c>
      <c r="B310" s="33" t="n">
        <v>6.9</v>
      </c>
      <c r="C310" s="33" t="inlineStr">
        <is>
          <t>11/11/2015 02:46</t>
        </is>
      </c>
      <c r="D310" s="33" t="n">
        <v>5</v>
      </c>
      <c r="E310" s="33" t="n">
        <v>6</v>
      </c>
      <c r="F310" s="33" t="inlineStr">
        <is>
          <t>green</t>
        </is>
      </c>
      <c r="G310" s="33" t="n">
        <v>0</v>
      </c>
      <c r="H310" s="33" t="n">
        <v>744</v>
      </c>
      <c r="I310" s="33" t="inlineStr">
        <is>
          <t>us</t>
        </is>
      </c>
      <c r="J310" s="33" t="n">
        <v>0</v>
      </c>
      <c r="K310" s="33" t="n">
        <v>0.821</v>
      </c>
      <c r="L310" s="33" t="n">
        <v>43</v>
      </c>
      <c r="M310" s="33" t="inlineStr">
        <is>
          <t>mww</t>
        </is>
      </c>
      <c r="N310" s="33" t="n">
        <v>10</v>
      </c>
      <c r="O310" s="33" t="n">
        <v>-29.5097</v>
      </c>
      <c r="P310" s="33" t="n">
        <v>-72.0585</v>
      </c>
      <c r="Q310" s="33" t="inlineStr">
        <is>
          <t>Coquimbo, Chile</t>
        </is>
      </c>
      <c r="T310" s="36">
        <f>DATE(MID(C310,7,4),MID(C310,4,2),MID(C310,1,2))+TIME(MID(C310,12,2),MID(C310,15,2),0)</f>
        <v/>
      </c>
      <c r="U310" s="33">
        <f>IF(ISNUMBER(VALUE(MID(A310,7,1))),"Distance-prefix pattern","Named-region pattern")</f>
        <v/>
      </c>
      <c r="V310" s="33">
        <f>LOWER(M310)</f>
        <v/>
      </c>
      <c r="W310" s="33">
        <f>IF(COUNTIFS($A$2:$A$1001,A310,$C$2:$C$1001,C310)&gt;1,"Duplicate","Unique")</f>
        <v/>
      </c>
      <c r="X310" s="33">
        <f>YEAR(T310)</f>
        <v/>
      </c>
      <c r="Y310" s="33">
        <f>IF(B310&lt;6.5,"&lt;6.5",IF(B310&lt;7,"6.5–6.9",IF(B310&lt;7.5,"7.0–7.4",IF(B310&lt;8,"7.5–7.9","8.0+"))))</f>
        <v/>
      </c>
      <c r="Z310" s="33">
        <f>IF(F310="","Blank",F310)</f>
        <v/>
      </c>
    </row>
    <row r="311" ht="15" customHeight="1" s="34">
      <c r="A311" s="33" t="inlineStr">
        <is>
          <t>M 6.9 - 81 km NW of Coquimbo, Chile</t>
        </is>
      </c>
      <c r="B311" s="33" t="n">
        <v>6.9</v>
      </c>
      <c r="C311" s="33" t="inlineStr">
        <is>
          <t>11/11/2015 01:54</t>
        </is>
      </c>
      <c r="D311" s="33" t="n">
        <v>6</v>
      </c>
      <c r="E311" s="33" t="n">
        <v>6</v>
      </c>
      <c r="F311" s="33" t="inlineStr">
        <is>
          <t>green</t>
        </is>
      </c>
      <c r="G311" s="33" t="n">
        <v>1</v>
      </c>
      <c r="H311" s="33" t="n">
        <v>761</v>
      </c>
      <c r="I311" s="33" t="inlineStr">
        <is>
          <t>us</t>
        </is>
      </c>
      <c r="J311" s="33" t="n">
        <v>0</v>
      </c>
      <c r="K311" s="33" t="n">
        <v>0.784</v>
      </c>
      <c r="L311" s="33" t="n">
        <v>32</v>
      </c>
      <c r="M311" s="33" t="inlineStr">
        <is>
          <t>mww</t>
        </is>
      </c>
      <c r="N311" s="33" t="n">
        <v>12</v>
      </c>
      <c r="O311" s="33" t="n">
        <v>-29.5067</v>
      </c>
      <c r="P311" s="33" t="n">
        <v>-72.0068</v>
      </c>
      <c r="Q311" s="33" t="inlineStr">
        <is>
          <t>Coquimbo, Chile</t>
        </is>
      </c>
      <c r="T311" s="36">
        <f>DATE(MID(C311,7,4),MID(C311,4,2),MID(C311,1,2))+TIME(MID(C311,12,2),MID(C311,15,2),0)</f>
        <v/>
      </c>
      <c r="U311" s="33">
        <f>IF(ISNUMBER(VALUE(MID(A311,7,1))),"Distance-prefix pattern","Named-region pattern")</f>
        <v/>
      </c>
      <c r="V311" s="33">
        <f>LOWER(M311)</f>
        <v/>
      </c>
      <c r="W311" s="33">
        <f>IF(COUNTIFS($A$2:$A$1001,A311,$C$2:$C$1001,C311)&gt;1,"Duplicate","Unique")</f>
        <v/>
      </c>
      <c r="X311" s="33">
        <f>YEAR(T311)</f>
        <v/>
      </c>
      <c r="Y311" s="33">
        <f>IF(B311&lt;6.5,"&lt;6.5",IF(B311&lt;7,"6.5–6.9",IF(B311&lt;7.5,"7.0–7.4",IF(B311&lt;8,"7.5–7.9","8.0+"))))</f>
        <v/>
      </c>
      <c r="Z311" s="33">
        <f>IF(F311="","Blank",F311)</f>
        <v/>
      </c>
    </row>
    <row r="312" ht="15" customHeight="1" s="34">
      <c r="A312" s="33" t="inlineStr">
        <is>
          <t>M 6.6 - Nicobar Islands, India region</t>
        </is>
      </c>
      <c r="B312" s="33" t="n">
        <v>6.6</v>
      </c>
      <c r="C312" s="33" t="inlineStr">
        <is>
          <t>08/11/2015 16:47</t>
        </is>
      </c>
      <c r="D312" s="33" t="n">
        <v>7</v>
      </c>
      <c r="E312" s="33" t="n">
        <v>4</v>
      </c>
      <c r="F312" s="33" t="inlineStr">
        <is>
          <t>green</t>
        </is>
      </c>
      <c r="G312" s="33" t="n">
        <v>0</v>
      </c>
      <c r="H312" s="33" t="n">
        <v>675</v>
      </c>
      <c r="I312" s="33" t="inlineStr">
        <is>
          <t>us</t>
        </is>
      </c>
      <c r="J312" s="33" t="n">
        <v>0</v>
      </c>
      <c r="K312" s="33" t="n">
        <v>2.792</v>
      </c>
      <c r="L312" s="33" t="n">
        <v>31</v>
      </c>
      <c r="M312" s="33" t="inlineStr">
        <is>
          <t>mww</t>
        </is>
      </c>
      <c r="N312" s="33" t="n">
        <v>10</v>
      </c>
      <c r="O312" s="33" t="n">
        <v>6.8431</v>
      </c>
      <c r="P312" s="33" t="n">
        <v>94.648</v>
      </c>
      <c r="Q312" s="33" t="inlineStr">
        <is>
          <t>Nicobar Islands, India region</t>
        </is>
      </c>
      <c r="T312" s="36">
        <f>DATE(MID(C312,7,4),MID(C312,4,2),MID(C312,1,2))+TIME(MID(C312,12,2),MID(C312,15,2),0)</f>
        <v/>
      </c>
      <c r="U312" s="33">
        <f>IF(ISNUMBER(VALUE(MID(A312,7,1))),"Distance-prefix pattern","Named-region pattern")</f>
        <v/>
      </c>
      <c r="V312" s="33">
        <f>LOWER(M312)</f>
        <v/>
      </c>
      <c r="W312" s="33">
        <f>IF(COUNTIFS($A$2:$A$1001,A312,$C$2:$C$1001,C312)&gt;1,"Duplicate","Unique")</f>
        <v/>
      </c>
      <c r="X312" s="33">
        <f>YEAR(T312)</f>
        <v/>
      </c>
      <c r="Y312" s="33">
        <f>IF(B312&lt;6.5,"&lt;6.5",IF(B312&lt;7,"6.5–6.9",IF(B312&lt;7.5,"7.0–7.4",IF(B312&lt;8,"7.5–7.9","8.0+"))))</f>
        <v/>
      </c>
      <c r="Z312" s="33">
        <f>IF(F312="","Blank",F312)</f>
        <v/>
      </c>
    </row>
    <row r="313" ht="15" customHeight="1" s="34">
      <c r="A313" s="33" t="inlineStr">
        <is>
          <t>M 6.8 - 39 km SW of Ovalle, Chile</t>
        </is>
      </c>
      <c r="B313" s="33" t="n">
        <v>6.8</v>
      </c>
      <c r="C313" s="33" t="inlineStr">
        <is>
          <t>07/11/2015 07:31</t>
        </is>
      </c>
      <c r="D313" s="33" t="n">
        <v>7</v>
      </c>
      <c r="E313" s="33" t="n">
        <v>7</v>
      </c>
      <c r="F313" s="33" t="inlineStr">
        <is>
          <t>green</t>
        </is>
      </c>
      <c r="G313" s="33" t="n">
        <v>1</v>
      </c>
      <c r="H313" s="33" t="n">
        <v>841</v>
      </c>
      <c r="I313" s="33" t="inlineStr">
        <is>
          <t>us</t>
        </is>
      </c>
      <c r="J313" s="33" t="n">
        <v>0</v>
      </c>
      <c r="K313" s="33" t="n">
        <v>0.258</v>
      </c>
      <c r="L313" s="33" t="n">
        <v>41</v>
      </c>
      <c r="M313" s="33" t="inlineStr">
        <is>
          <t>mww</t>
        </is>
      </c>
      <c r="N313" s="33" t="n">
        <v>46</v>
      </c>
      <c r="O313" s="33" t="n">
        <v>-30.8796</v>
      </c>
      <c r="P313" s="33" t="n">
        <v>-71.45189999999999</v>
      </c>
      <c r="Q313" s="33" t="inlineStr">
        <is>
          <t>Ovalle, Chile</t>
        </is>
      </c>
      <c r="R313" s="33" t="inlineStr">
        <is>
          <t>South America</t>
        </is>
      </c>
      <c r="S313" s="33" t="inlineStr">
        <is>
          <t>Chile</t>
        </is>
      </c>
      <c r="T313" s="36">
        <f>DATE(MID(C313,7,4),MID(C313,4,2),MID(C313,1,2))+TIME(MID(C313,12,2),MID(C313,15,2),0)</f>
        <v/>
      </c>
      <c r="U313" s="33">
        <f>IF(ISNUMBER(VALUE(MID(A313,7,1))),"Distance-prefix pattern","Named-region pattern")</f>
        <v/>
      </c>
      <c r="V313" s="33">
        <f>LOWER(M313)</f>
        <v/>
      </c>
      <c r="W313" s="33">
        <f>IF(COUNTIFS($A$2:$A$1001,A313,$C$2:$C$1001,C313)&gt;1,"Duplicate","Unique")</f>
        <v/>
      </c>
      <c r="X313" s="33">
        <f>YEAR(T313)</f>
        <v/>
      </c>
      <c r="Y313" s="33">
        <f>IF(B313&lt;6.5,"&lt;6.5",IF(B313&lt;7,"6.5–6.9",IF(B313&lt;7.5,"7.0–7.4",IF(B313&lt;8,"7.5–7.9","8.0+"))))</f>
        <v/>
      </c>
      <c r="Z313" s="33">
        <f>IF(F313="","Blank",F313)</f>
        <v/>
      </c>
    </row>
    <row r="314" ht="15" customHeight="1" s="34">
      <c r="A314" s="33" t="inlineStr">
        <is>
          <t>M 6.5 - 47 km NW of Maubara, Timor Leste</t>
        </is>
      </c>
      <c r="B314" s="33" t="n">
        <v>6.5</v>
      </c>
      <c r="C314" s="33" t="inlineStr">
        <is>
          <t>04/11/2015 03:44</t>
        </is>
      </c>
      <c r="D314" s="33" t="n">
        <v>5</v>
      </c>
      <c r="E314" s="33" t="n">
        <v>7</v>
      </c>
      <c r="F314" s="33" t="inlineStr">
        <is>
          <t>green</t>
        </is>
      </c>
      <c r="G314" s="33" t="n">
        <v>0</v>
      </c>
      <c r="H314" s="33" t="n">
        <v>657</v>
      </c>
      <c r="I314" s="33" t="inlineStr">
        <is>
          <t>us</t>
        </is>
      </c>
      <c r="J314" s="33" t="n">
        <v>0</v>
      </c>
      <c r="K314" s="33" t="n">
        <v>1.53</v>
      </c>
      <c r="L314" s="33" t="n">
        <v>21</v>
      </c>
      <c r="M314" s="33" t="inlineStr">
        <is>
          <t>mww</t>
        </is>
      </c>
      <c r="N314" s="33" t="n">
        <v>20</v>
      </c>
      <c r="O314" s="33" t="n">
        <v>-8.338100000000001</v>
      </c>
      <c r="P314" s="33" t="n">
        <v>124.875</v>
      </c>
      <c r="Q314" s="33" t="inlineStr">
        <is>
          <t>Maubara, Timor Leste</t>
        </is>
      </c>
      <c r="S314" s="33" t="inlineStr">
        <is>
          <t>Indonesia</t>
        </is>
      </c>
      <c r="T314" s="36">
        <f>DATE(MID(C314,7,4),MID(C314,4,2),MID(C314,1,2))+TIME(MID(C314,12,2),MID(C314,15,2),0)</f>
        <v/>
      </c>
      <c r="U314" s="33">
        <f>IF(ISNUMBER(VALUE(MID(A314,7,1))),"Distance-prefix pattern","Named-region pattern")</f>
        <v/>
      </c>
      <c r="V314" s="33">
        <f>LOWER(M314)</f>
        <v/>
      </c>
      <c r="W314" s="33">
        <f>IF(COUNTIFS($A$2:$A$1001,A314,$C$2:$C$1001,C314)&gt;1,"Duplicate","Unique")</f>
        <v/>
      </c>
      <c r="X314" s="33">
        <f>YEAR(T314)</f>
        <v/>
      </c>
      <c r="Y314" s="33">
        <f>IF(B314&lt;6.5,"&lt;6.5",IF(B314&lt;7,"6.5–6.9",IF(B314&lt;7.5,"7.0–7.4",IF(B314&lt;8,"7.5–7.9","8.0+"))))</f>
        <v/>
      </c>
      <c r="Z314" s="33">
        <f>IF(F314="","Blank",F314)</f>
        <v/>
      </c>
    </row>
    <row r="315" ht="15" customHeight="1" s="34">
      <c r="A315" s="33" t="inlineStr">
        <is>
          <t>M 7.5 - Hindu Kush region, Afghanistan</t>
        </is>
      </c>
      <c r="B315" s="33" t="n">
        <v>7.5</v>
      </c>
      <c r="C315" s="33" t="inlineStr">
        <is>
          <t>26/10/2015 09:09</t>
        </is>
      </c>
      <c r="D315" s="33" t="n">
        <v>8</v>
      </c>
      <c r="E315" s="33" t="n">
        <v>7</v>
      </c>
      <c r="F315" s="33" t="inlineStr">
        <is>
          <t>orange</t>
        </is>
      </c>
      <c r="G315" s="33" t="n">
        <v>0</v>
      </c>
      <c r="H315" s="33" t="n">
        <v>1448</v>
      </c>
      <c r="I315" s="33" t="inlineStr">
        <is>
          <t>us</t>
        </is>
      </c>
      <c r="J315" s="33" t="n">
        <v>0</v>
      </c>
      <c r="K315" s="33" t="n">
        <v>0.622</v>
      </c>
      <c r="L315" s="33" t="n">
        <v>18</v>
      </c>
      <c r="M315" s="33" t="inlineStr">
        <is>
          <t>mww</t>
        </is>
      </c>
      <c r="N315" s="33" t="n">
        <v>231</v>
      </c>
      <c r="O315" s="33" t="n">
        <v>36.5244</v>
      </c>
      <c r="P315" s="33" t="n">
        <v>70.3676</v>
      </c>
      <c r="Q315" s="33" t="inlineStr">
        <is>
          <t>Hindu Kush region, Afghanistan</t>
        </is>
      </c>
      <c r="R315" s="33" t="inlineStr">
        <is>
          <t>Asia</t>
        </is>
      </c>
      <c r="S315" s="33" t="inlineStr">
        <is>
          <t>Afghanistan</t>
        </is>
      </c>
      <c r="T315" s="36">
        <f>DATE(MID(C315,7,4),MID(C315,4,2),MID(C315,1,2))+TIME(MID(C315,12,2),MID(C315,15,2),0)</f>
        <v/>
      </c>
      <c r="U315" s="33">
        <f>IF(ISNUMBER(VALUE(MID(A315,7,1))),"Distance-prefix pattern","Named-region pattern")</f>
        <v/>
      </c>
      <c r="V315" s="33">
        <f>LOWER(M315)</f>
        <v/>
      </c>
      <c r="W315" s="33">
        <f>IF(COUNTIFS($A$2:$A$1001,A315,$C$2:$C$1001,C315)&gt;1,"Duplicate","Unique")</f>
        <v/>
      </c>
      <c r="X315" s="33">
        <f>YEAR(T315)</f>
        <v/>
      </c>
      <c r="Y315" s="33">
        <f>IF(B315&lt;6.5,"&lt;6.5",IF(B315&lt;7,"6.5–6.9",IF(B315&lt;7.5,"7.0–7.4",IF(B315&lt;8,"7.5–7.9","8.0+"))))</f>
        <v/>
      </c>
      <c r="Z315" s="33">
        <f>IF(F315="","Blank",F315)</f>
        <v/>
      </c>
    </row>
    <row r="316" ht="15" customHeight="1" s="34">
      <c r="A316" s="33" t="inlineStr">
        <is>
          <t>M 7.1 - 31 km NE of Port-Olry, Vanuatu</t>
        </is>
      </c>
      <c r="B316" s="33" t="n">
        <v>7.1</v>
      </c>
      <c r="C316" s="33" t="inlineStr">
        <is>
          <t>20/10/2015 21:52</t>
        </is>
      </c>
      <c r="D316" s="33" t="n">
        <v>6</v>
      </c>
      <c r="E316" s="33" t="n">
        <v>6</v>
      </c>
      <c r="F316" s="33" t="inlineStr">
        <is>
          <t>green</t>
        </is>
      </c>
      <c r="G316" s="33" t="n">
        <v>1</v>
      </c>
      <c r="H316" s="33" t="n">
        <v>780</v>
      </c>
      <c r="I316" s="33" t="inlineStr">
        <is>
          <t>us</t>
        </is>
      </c>
      <c r="J316" s="33" t="n">
        <v>0</v>
      </c>
      <c r="K316" s="33" t="n">
        <v>0.592</v>
      </c>
      <c r="L316" s="33" t="n">
        <v>11</v>
      </c>
      <c r="M316" s="33" t="inlineStr">
        <is>
          <t>mww</t>
        </is>
      </c>
      <c r="N316" s="33" t="n">
        <v>135</v>
      </c>
      <c r="O316" s="33" t="n">
        <v>-14.8595</v>
      </c>
      <c r="P316" s="33" t="n">
        <v>167.303</v>
      </c>
      <c r="Q316" s="33" t="inlineStr">
        <is>
          <t>Port-Olry, Vanuatu</t>
        </is>
      </c>
      <c r="S316" s="33" t="inlineStr">
        <is>
          <t>Vanuatu</t>
        </is>
      </c>
      <c r="T316" s="36">
        <f>DATE(MID(C316,7,4),MID(C316,4,2),MID(C316,1,2))+TIME(MID(C316,12,2),MID(C316,15,2),0)</f>
        <v/>
      </c>
      <c r="U316" s="33">
        <f>IF(ISNUMBER(VALUE(MID(A316,7,1))),"Distance-prefix pattern","Named-region pattern")</f>
        <v/>
      </c>
      <c r="V316" s="33">
        <f>LOWER(M316)</f>
        <v/>
      </c>
      <c r="W316" s="33">
        <f>IF(COUNTIFS($A$2:$A$1001,A316,$C$2:$C$1001,C316)&gt;1,"Duplicate","Unique")</f>
        <v/>
      </c>
      <c r="X316" s="33">
        <f>YEAR(T316)</f>
        <v/>
      </c>
      <c r="Y316" s="33">
        <f>IF(B316&lt;6.5,"&lt;6.5",IF(B316&lt;7,"6.5–6.9",IF(B316&lt;7.5,"7.0–7.4",IF(B316&lt;8,"7.5–7.9","8.0+"))))</f>
        <v/>
      </c>
      <c r="Z316" s="33">
        <f>IF(F316="","Blank",F316)</f>
        <v/>
      </c>
    </row>
    <row r="317" ht="15" customHeight="1" s="34">
      <c r="A317" s="33" t="inlineStr">
        <is>
          <t>M 6.6 - 28 km N of Sorong, Indonesia</t>
        </is>
      </c>
      <c r="B317" s="33" t="n">
        <v>6.6</v>
      </c>
      <c r="C317" s="33" t="inlineStr">
        <is>
          <t>24/09/2015 15:53</t>
        </is>
      </c>
      <c r="D317" s="33" t="n">
        <v>7</v>
      </c>
      <c r="E317" s="33" t="n">
        <v>7</v>
      </c>
      <c r="F317" s="33" t="inlineStr">
        <is>
          <t>green</t>
        </is>
      </c>
      <c r="G317" s="33" t="n">
        <v>0</v>
      </c>
      <c r="H317" s="33" t="n">
        <v>671</v>
      </c>
      <c r="I317" s="33" t="inlineStr">
        <is>
          <t>us</t>
        </is>
      </c>
      <c r="J317" s="33" t="n">
        <v>0</v>
      </c>
      <c r="K317" s="33" t="n">
        <v>2.486</v>
      </c>
      <c r="L317" s="33" t="n">
        <v>13</v>
      </c>
      <c r="M317" s="33" t="inlineStr">
        <is>
          <t>mww</t>
        </is>
      </c>
      <c r="N317" s="33" t="n">
        <v>18</v>
      </c>
      <c r="O317" s="33" t="n">
        <v>-0.6212</v>
      </c>
      <c r="P317" s="33" t="n">
        <v>131.262</v>
      </c>
      <c r="Q317" s="33" t="inlineStr">
        <is>
          <t>Sorong, Indonesia</t>
        </is>
      </c>
      <c r="S317" s="33" t="inlineStr">
        <is>
          <t>Indonesia</t>
        </is>
      </c>
      <c r="T317" s="36">
        <f>DATE(MID(C317,7,4),MID(C317,4,2),MID(C317,1,2))+TIME(MID(C317,12,2),MID(C317,15,2),0)</f>
        <v/>
      </c>
      <c r="U317" s="33">
        <f>IF(ISNUMBER(VALUE(MID(A317,7,1))),"Distance-prefix pattern","Named-region pattern")</f>
        <v/>
      </c>
      <c r="V317" s="33">
        <f>LOWER(M317)</f>
        <v/>
      </c>
      <c r="W317" s="33">
        <f>IF(COUNTIFS($A$2:$A$1001,A317,$C$2:$C$1001,C317)&gt;1,"Duplicate","Unique")</f>
        <v/>
      </c>
      <c r="X317" s="33">
        <f>YEAR(T317)</f>
        <v/>
      </c>
      <c r="Y317" s="33">
        <f>IF(B317&lt;6.5,"&lt;6.5",IF(B317&lt;7,"6.5–6.9",IF(B317&lt;7.5,"7.0–7.4",IF(B317&lt;8,"7.5–7.9","8.0+"))))</f>
        <v/>
      </c>
      <c r="Z317" s="33">
        <f>IF(F317="","Blank",F317)</f>
        <v/>
      </c>
    </row>
    <row r="318" ht="15" customHeight="1" s="34">
      <c r="A318" s="33" t="inlineStr">
        <is>
          <t>M 6.6 - 22 km WSW of Illapel, Chile</t>
        </is>
      </c>
      <c r="B318" s="33" t="n">
        <v>6.6</v>
      </c>
      <c r="C318" s="33" t="inlineStr">
        <is>
          <t>21/09/2015 17:40</t>
        </is>
      </c>
      <c r="D318" s="33" t="n">
        <v>5</v>
      </c>
      <c r="E318" s="33" t="n">
        <v>7</v>
      </c>
      <c r="F318" s="33" t="inlineStr">
        <is>
          <t>green</t>
        </is>
      </c>
      <c r="G318" s="33" t="n">
        <v>1</v>
      </c>
      <c r="H318" s="33" t="n">
        <v>820</v>
      </c>
      <c r="I318" s="33" t="inlineStr">
        <is>
          <t>us</t>
        </is>
      </c>
      <c r="J318" s="33" t="n">
        <v>0</v>
      </c>
      <c r="K318" s="33" t="n">
        <v>1.064</v>
      </c>
      <c r="L318" s="33" t="n">
        <v>14</v>
      </c>
      <c r="M318" s="33" t="inlineStr">
        <is>
          <t>mww</t>
        </is>
      </c>
      <c r="N318" s="33" t="n">
        <v>35</v>
      </c>
      <c r="O318" s="33" t="n">
        <v>-31.7275</v>
      </c>
      <c r="P318" s="33" t="n">
        <v>-71.3792</v>
      </c>
      <c r="Q318" s="33" t="inlineStr">
        <is>
          <t>Illapel, Chile</t>
        </is>
      </c>
      <c r="R318" s="33" t="inlineStr">
        <is>
          <t>South America</t>
        </is>
      </c>
      <c r="S318" s="33" t="inlineStr">
        <is>
          <t>Chile</t>
        </is>
      </c>
      <c r="T318" s="36">
        <f>DATE(MID(C318,7,4),MID(C318,4,2),MID(C318,1,2))+TIME(MID(C318,12,2),MID(C318,15,2),0)</f>
        <v/>
      </c>
      <c r="U318" s="33">
        <f>IF(ISNUMBER(VALUE(MID(A318,7,1))),"Distance-prefix pattern","Named-region pattern")</f>
        <v/>
      </c>
      <c r="V318" s="33">
        <f>LOWER(M318)</f>
        <v/>
      </c>
      <c r="W318" s="33">
        <f>IF(COUNTIFS($A$2:$A$1001,A318,$C$2:$C$1001,C318)&gt;1,"Duplicate","Unique")</f>
        <v/>
      </c>
      <c r="X318" s="33">
        <f>YEAR(T318)</f>
        <v/>
      </c>
      <c r="Y318" s="33">
        <f>IF(B318&lt;6.5,"&lt;6.5",IF(B318&lt;7,"6.5–6.9",IF(B318&lt;7.5,"7.0–7.4",IF(B318&lt;8,"7.5–7.9","8.0+"))))</f>
        <v/>
      </c>
      <c r="Z318" s="33">
        <f>IF(F318="","Blank",F318)</f>
        <v/>
      </c>
    </row>
    <row r="319" ht="15" customHeight="1" s="34">
      <c r="A319" s="33" t="inlineStr">
        <is>
          <t>M 6.7 - 61 km WNW of Illapel, Chile</t>
        </is>
      </c>
      <c r="B319" s="33" t="n">
        <v>6.7</v>
      </c>
      <c r="C319" s="33" t="inlineStr">
        <is>
          <t>17/09/2015 04:10</t>
        </is>
      </c>
      <c r="D319" s="33" t="n">
        <v>5</v>
      </c>
      <c r="E319" s="33" t="n">
        <v>7</v>
      </c>
      <c r="F319" s="33" t="inlineStr">
        <is>
          <t>green</t>
        </is>
      </c>
      <c r="G319" s="33" t="n">
        <v>0</v>
      </c>
      <c r="H319" s="33" t="n">
        <v>718</v>
      </c>
      <c r="I319" s="33" t="inlineStr">
        <is>
          <t>us</t>
        </is>
      </c>
      <c r="J319" s="33" t="n">
        <v>0</v>
      </c>
      <c r="K319" s="33" t="n">
        <v>0.853</v>
      </c>
      <c r="L319" s="33" t="n">
        <v>35</v>
      </c>
      <c r="M319" s="33" t="inlineStr">
        <is>
          <t>mww</t>
        </is>
      </c>
      <c r="N319" s="33" t="n">
        <v>23</v>
      </c>
      <c r="O319" s="33" t="n">
        <v>-31.5173</v>
      </c>
      <c r="P319" s="33" t="n">
        <v>-71.804</v>
      </c>
      <c r="Q319" s="33" t="inlineStr">
        <is>
          <t>Illapel, Chile</t>
        </is>
      </c>
      <c r="S319" s="33" t="inlineStr">
        <is>
          <t>Chile</t>
        </is>
      </c>
      <c r="T319" s="36">
        <f>DATE(MID(C319,7,4),MID(C319,4,2),MID(C319,1,2))+TIME(MID(C319,12,2),MID(C319,15,2),0)</f>
        <v/>
      </c>
      <c r="U319" s="33">
        <f>IF(ISNUMBER(VALUE(MID(A319,7,1))),"Distance-prefix pattern","Named-region pattern")</f>
        <v/>
      </c>
      <c r="V319" s="33">
        <f>LOWER(M319)</f>
        <v/>
      </c>
      <c r="W319" s="33">
        <f>IF(COUNTIFS($A$2:$A$1001,A319,$C$2:$C$1001,C319)&gt;1,"Duplicate","Unique")</f>
        <v/>
      </c>
      <c r="X319" s="33">
        <f>YEAR(T319)</f>
        <v/>
      </c>
      <c r="Y319" s="33">
        <f>IF(B319&lt;6.5,"&lt;6.5",IF(B319&lt;7,"6.5–6.9",IF(B319&lt;7.5,"7.0–7.4",IF(B319&lt;8,"7.5–7.9","8.0+"))))</f>
        <v/>
      </c>
      <c r="Z319" s="33">
        <f>IF(F319="","Blank",F319)</f>
        <v/>
      </c>
    </row>
    <row r="320" ht="15" customHeight="1" s="34">
      <c r="A320" s="33" t="inlineStr">
        <is>
          <t>M 6.5 - 54 km WNW of Illapel, Chile</t>
        </is>
      </c>
      <c r="B320" s="33" t="n">
        <v>6.5</v>
      </c>
      <c r="C320" s="33" t="inlineStr">
        <is>
          <t>17/09/2015 03:55</t>
        </is>
      </c>
      <c r="D320" s="33" t="n">
        <v>6</v>
      </c>
      <c r="E320" s="33" t="n">
        <v>7</v>
      </c>
      <c r="F320" s="33" t="inlineStr">
        <is>
          <t>green</t>
        </is>
      </c>
      <c r="G320" s="33" t="n">
        <v>0</v>
      </c>
      <c r="H320" s="33" t="n">
        <v>657</v>
      </c>
      <c r="I320" s="33" t="inlineStr">
        <is>
          <t>us</t>
        </is>
      </c>
      <c r="J320" s="33" t="n">
        <v>0</v>
      </c>
      <c r="K320" s="33" t="n">
        <v>0.749</v>
      </c>
      <c r="L320" s="33" t="n">
        <v>62</v>
      </c>
      <c r="M320" s="33" t="inlineStr">
        <is>
          <t>mww</t>
        </is>
      </c>
      <c r="N320" s="33" t="n">
        <v>27</v>
      </c>
      <c r="O320" s="33" t="n">
        <v>-31.4244</v>
      </c>
      <c r="P320" s="33" t="n">
        <v>-71.6876</v>
      </c>
      <c r="Q320" s="33" t="inlineStr">
        <is>
          <t>Illapel, Chile</t>
        </is>
      </c>
      <c r="S320" s="33" t="inlineStr">
        <is>
          <t>Chile</t>
        </is>
      </c>
      <c r="T320" s="36">
        <f>DATE(MID(C320,7,4),MID(C320,4,2),MID(C320,1,2))+TIME(MID(C320,12,2),MID(C320,15,2),0)</f>
        <v/>
      </c>
      <c r="U320" s="33">
        <f>IF(ISNUMBER(VALUE(MID(A320,7,1))),"Distance-prefix pattern","Named-region pattern")</f>
        <v/>
      </c>
      <c r="V320" s="33">
        <f>LOWER(M320)</f>
        <v/>
      </c>
      <c r="W320" s="33">
        <f>IF(COUNTIFS($A$2:$A$1001,A320,$C$2:$C$1001,C320)&gt;1,"Duplicate","Unique")</f>
        <v/>
      </c>
      <c r="X320" s="33">
        <f>YEAR(T320)</f>
        <v/>
      </c>
      <c r="Y320" s="33">
        <f>IF(B320&lt;6.5,"&lt;6.5",IF(B320&lt;7,"6.5–6.9",IF(B320&lt;7.5,"7.0–7.4",IF(B320&lt;8,"7.5–7.9","8.0+"))))</f>
        <v/>
      </c>
      <c r="Z320" s="33">
        <f>IF(F320="","Blank",F320)</f>
        <v/>
      </c>
    </row>
    <row r="321" ht="15" customHeight="1" s="34">
      <c r="A321" s="33" t="inlineStr">
        <is>
          <t>M 7.0 - 25 km WNW of Illapel, Chile</t>
        </is>
      </c>
      <c r="B321" s="33" t="n">
        <v>7</v>
      </c>
      <c r="C321" s="33" t="inlineStr">
        <is>
          <t>16/09/2015 23:18</t>
        </is>
      </c>
      <c r="D321" s="33" t="n">
        <v>8</v>
      </c>
      <c r="E321" s="33" t="n">
        <v>7</v>
      </c>
      <c r="F321" s="33" t="inlineStr">
        <is>
          <t>green</t>
        </is>
      </c>
      <c r="G321" s="33" t="n">
        <v>0</v>
      </c>
      <c r="H321" s="33" t="n">
        <v>799</v>
      </c>
      <c r="I321" s="33" t="inlineStr">
        <is>
          <t>us</t>
        </is>
      </c>
      <c r="J321" s="33" t="n">
        <v>0</v>
      </c>
      <c r="K321" s="33" t="n">
        <v>0.903</v>
      </c>
      <c r="L321" s="33" t="n">
        <v>13</v>
      </c>
      <c r="M321" s="33" t="inlineStr">
        <is>
          <t>mww</t>
        </is>
      </c>
      <c r="N321" s="33" t="n">
        <v>28.41</v>
      </c>
      <c r="O321" s="33" t="n">
        <v>-31.5622</v>
      </c>
      <c r="P321" s="33" t="n">
        <v>-71.42619999999999</v>
      </c>
      <c r="Q321" s="33" t="inlineStr">
        <is>
          <t>Illapel, Chile</t>
        </is>
      </c>
      <c r="R321" s="33" t="inlineStr">
        <is>
          <t>South America</t>
        </is>
      </c>
      <c r="S321" s="33" t="inlineStr">
        <is>
          <t>Chile</t>
        </is>
      </c>
      <c r="T321" s="36">
        <f>DATE(MID(C321,7,4),MID(C321,4,2),MID(C321,1,2))+TIME(MID(C321,12,2),MID(C321,15,2),0)</f>
        <v/>
      </c>
      <c r="U321" s="33">
        <f>IF(ISNUMBER(VALUE(MID(A321,7,1))),"Distance-prefix pattern","Named-region pattern")</f>
        <v/>
      </c>
      <c r="V321" s="33">
        <f>LOWER(M321)</f>
        <v/>
      </c>
      <c r="W321" s="33">
        <f>IF(COUNTIFS($A$2:$A$1001,A321,$C$2:$C$1001,C321)&gt;1,"Duplicate","Unique")</f>
        <v/>
      </c>
      <c r="X321" s="33">
        <f>YEAR(T321)</f>
        <v/>
      </c>
      <c r="Y321" s="33">
        <f>IF(B321&lt;6.5,"&lt;6.5",IF(B321&lt;7,"6.5–6.9",IF(B321&lt;7.5,"7.0–7.4",IF(B321&lt;8,"7.5–7.9","8.0+"))))</f>
        <v/>
      </c>
      <c r="Z321" s="33">
        <f>IF(F321="","Blank",F321)</f>
        <v/>
      </c>
    </row>
    <row r="322" ht="15" customHeight="1" s="34">
      <c r="A322" s="33" t="inlineStr">
        <is>
          <t>M 8.3 - 48 km W of Illapel, Chile</t>
        </is>
      </c>
      <c r="B322" s="33" t="n">
        <v>8.300000000000001</v>
      </c>
      <c r="C322" s="33" t="inlineStr">
        <is>
          <t>16/09/2015 22:54</t>
        </is>
      </c>
      <c r="D322" s="33" t="n">
        <v>9</v>
      </c>
      <c r="E322" s="33" t="n">
        <v>8</v>
      </c>
      <c r="F322" s="33" t="inlineStr">
        <is>
          <t>orange</t>
        </is>
      </c>
      <c r="G322" s="33" t="n">
        <v>1</v>
      </c>
      <c r="H322" s="33" t="n">
        <v>1960</v>
      </c>
      <c r="I322" s="33" t="inlineStr">
        <is>
          <t>us</t>
        </is>
      </c>
      <c r="J322" s="33" t="n">
        <v>0</v>
      </c>
      <c r="K322" s="33" t="n">
        <v>0.6840000000000001</v>
      </c>
      <c r="L322" s="33" t="n">
        <v>19</v>
      </c>
      <c r="M322" s="33" t="inlineStr">
        <is>
          <t>mww</t>
        </is>
      </c>
      <c r="N322" s="33" t="n">
        <v>22.44</v>
      </c>
      <c r="O322" s="33" t="n">
        <v>-31.5729</v>
      </c>
      <c r="P322" s="33" t="n">
        <v>-71.67440000000001</v>
      </c>
      <c r="Q322" s="33" t="inlineStr">
        <is>
          <t>Illapel, Chile</t>
        </is>
      </c>
      <c r="S322" s="33" t="inlineStr">
        <is>
          <t>Chile</t>
        </is>
      </c>
      <c r="T322" s="36">
        <f>DATE(MID(C322,7,4),MID(C322,4,2),MID(C322,1,2))+TIME(MID(C322,12,2),MID(C322,15,2),0)</f>
        <v/>
      </c>
      <c r="U322" s="33">
        <f>IF(ISNUMBER(VALUE(MID(A322,7,1))),"Distance-prefix pattern","Named-region pattern")</f>
        <v/>
      </c>
      <c r="V322" s="33">
        <f>LOWER(M322)</f>
        <v/>
      </c>
      <c r="W322" s="33">
        <f>IF(COUNTIFS($A$2:$A$1001,A322,$C$2:$C$1001,C322)&gt;1,"Duplicate","Unique")</f>
        <v/>
      </c>
      <c r="X322" s="33">
        <f>YEAR(T322)</f>
        <v/>
      </c>
      <c r="Y322" s="33">
        <f>IF(B322&lt;6.5,"&lt;6.5",IF(B322&lt;7,"6.5–6.9",IF(B322&lt;7.5,"7.0–7.4",IF(B322&lt;8,"7.5–7.9","8.0+"))))</f>
        <v/>
      </c>
      <c r="Z322" s="33">
        <f>IF(F322="","Blank",F322)</f>
        <v/>
      </c>
    </row>
    <row r="323" ht="15" customHeight="1" s="34">
      <c r="A323" s="33" t="inlineStr">
        <is>
          <t>M 6.7 - 95 km SW of Topolobampo, Mexico</t>
        </is>
      </c>
      <c r="B323" s="33" t="n">
        <v>6.7</v>
      </c>
      <c r="C323" s="33" t="inlineStr">
        <is>
          <t>13/09/2015 08:14</t>
        </is>
      </c>
      <c r="D323" s="33" t="n">
        <v>5</v>
      </c>
      <c r="E323" s="33" t="n">
        <v>5</v>
      </c>
      <c r="F323" s="33" t="inlineStr">
        <is>
          <t>green</t>
        </is>
      </c>
      <c r="G323" s="33" t="n">
        <v>1</v>
      </c>
      <c r="H323" s="33" t="n">
        <v>708</v>
      </c>
      <c r="I323" s="33" t="inlineStr">
        <is>
          <t>us</t>
        </is>
      </c>
      <c r="J323" s="33" t="n">
        <v>0</v>
      </c>
      <c r="K323" s="33" t="n">
        <v>1.256</v>
      </c>
      <c r="L323" s="33" t="n">
        <v>123</v>
      </c>
      <c r="M323" s="33" t="inlineStr">
        <is>
          <t>mww</t>
        </is>
      </c>
      <c r="N323" s="33" t="n">
        <v>10</v>
      </c>
      <c r="O323" s="33" t="n">
        <v>24.913</v>
      </c>
      <c r="P323" s="33" t="n">
        <v>-109.623</v>
      </c>
      <c r="Q323" s="33" t="inlineStr">
        <is>
          <t>Topolobampo, Mexico</t>
        </is>
      </c>
      <c r="T323" s="36">
        <f>DATE(MID(C323,7,4),MID(C323,4,2),MID(C323,1,2))+TIME(MID(C323,12,2),MID(C323,15,2),0)</f>
        <v/>
      </c>
      <c r="U323" s="33">
        <f>IF(ISNUMBER(VALUE(MID(A323,7,1))),"Distance-prefix pattern","Named-region pattern")</f>
        <v/>
      </c>
      <c r="V323" s="33">
        <f>LOWER(M323)</f>
        <v/>
      </c>
      <c r="W323" s="33">
        <f>IF(COUNTIFS($A$2:$A$1001,A323,$C$2:$C$1001,C323)&gt;1,"Duplicate","Unique")</f>
        <v/>
      </c>
      <c r="X323" s="33">
        <f>YEAR(T323)</f>
        <v/>
      </c>
      <c r="Y323" s="33">
        <f>IF(B323&lt;6.5,"&lt;6.5",IF(B323&lt;7,"6.5–6.9",IF(B323&lt;7.5,"7.0–7.4",IF(B323&lt;8,"7.5–7.9","8.0+"))))</f>
        <v/>
      </c>
      <c r="Z323" s="33">
        <f>IF(F323="","Blank",F323)</f>
        <v/>
      </c>
    </row>
    <row r="324" ht="15" customHeight="1" s="34">
      <c r="A324" s="33" t="inlineStr">
        <is>
          <t>M 6.5 - 177 km SE of Gizo, Solomon Islands</t>
        </is>
      </c>
      <c r="B324" s="33" t="n">
        <v>6.5</v>
      </c>
      <c r="C324" s="33" t="inlineStr">
        <is>
          <t>12/08/2015 18:49</t>
        </is>
      </c>
      <c r="D324" s="33" t="n">
        <v>0</v>
      </c>
      <c r="E324" s="33" t="n">
        <v>5</v>
      </c>
      <c r="F324" s="33" t="inlineStr">
        <is>
          <t>green</t>
        </is>
      </c>
      <c r="G324" s="33" t="n">
        <v>1</v>
      </c>
      <c r="H324" s="33" t="n">
        <v>650</v>
      </c>
      <c r="I324" s="33" t="inlineStr">
        <is>
          <t>us</t>
        </is>
      </c>
      <c r="J324" s="33" t="n">
        <v>0</v>
      </c>
      <c r="K324" s="33" t="n">
        <v>2.045</v>
      </c>
      <c r="L324" s="33" t="n">
        <v>16</v>
      </c>
      <c r="M324" s="33" t="inlineStr">
        <is>
          <t>mww</t>
        </is>
      </c>
      <c r="N324" s="33" t="n">
        <v>6.43</v>
      </c>
      <c r="O324" s="33" t="n">
        <v>-9.3293</v>
      </c>
      <c r="P324" s="33" t="n">
        <v>157.877</v>
      </c>
      <c r="Q324" s="33" t="inlineStr">
        <is>
          <t>Gizo, Solomon Islands</t>
        </is>
      </c>
      <c r="T324" s="36">
        <f>DATE(MID(C324,7,4),MID(C324,4,2),MID(C324,1,2))+TIME(MID(C324,12,2),MID(C324,15,2),0)</f>
        <v/>
      </c>
      <c r="U324" s="33">
        <f>IF(ISNUMBER(VALUE(MID(A324,7,1))),"Distance-prefix pattern","Named-region pattern")</f>
        <v/>
      </c>
      <c r="V324" s="33">
        <f>LOWER(M324)</f>
        <v/>
      </c>
      <c r="W324" s="33">
        <f>IF(COUNTIFS($A$2:$A$1001,A324,$C$2:$C$1001,C324)&gt;1,"Duplicate","Unique")</f>
        <v/>
      </c>
      <c r="X324" s="33">
        <f>YEAR(T324)</f>
        <v/>
      </c>
      <c r="Y324" s="33">
        <f>IF(B324&lt;6.5,"&lt;6.5",IF(B324&lt;7,"6.5–6.9",IF(B324&lt;7.5,"7.0–7.4",IF(B324&lt;8,"7.5–7.9","8.0+"))))</f>
        <v/>
      </c>
      <c r="Z324" s="33">
        <f>IF(F324="","Blank",F324)</f>
        <v/>
      </c>
    </row>
    <row r="325" ht="15" customHeight="1" s="34">
      <c r="A325" s="33" t="inlineStr">
        <is>
          <t>M 6.6 - 186 km WNW of Malango, Solomon Islands</t>
        </is>
      </c>
      <c r="B325" s="33" t="n">
        <v>6.6</v>
      </c>
      <c r="C325" s="33" t="inlineStr">
        <is>
          <t>10/08/2015 04:12</t>
        </is>
      </c>
      <c r="D325" s="33" t="n">
        <v>3</v>
      </c>
      <c r="E325" s="33" t="n">
        <v>5</v>
      </c>
      <c r="F325" s="33" t="inlineStr">
        <is>
          <t>green</t>
        </is>
      </c>
      <c r="G325" s="33" t="n">
        <v>1</v>
      </c>
      <c r="H325" s="33" t="n">
        <v>671</v>
      </c>
      <c r="I325" s="33" t="inlineStr">
        <is>
          <t>us</t>
        </is>
      </c>
      <c r="J325" s="33" t="n">
        <v>0</v>
      </c>
      <c r="K325" s="33" t="n">
        <v>1.872</v>
      </c>
      <c r="L325" s="33" t="n">
        <v>20</v>
      </c>
      <c r="M325" s="33" t="inlineStr">
        <is>
          <t>mww</t>
        </is>
      </c>
      <c r="N325" s="33" t="n">
        <v>22</v>
      </c>
      <c r="O325" s="33" t="n">
        <v>-9.3438</v>
      </c>
      <c r="P325" s="33" t="n">
        <v>158.053</v>
      </c>
      <c r="Q325" s="33" t="inlineStr">
        <is>
          <t>Malango, Solomon Islands</t>
        </is>
      </c>
      <c r="T325" s="36">
        <f>DATE(MID(C325,7,4),MID(C325,4,2),MID(C325,1,2))+TIME(MID(C325,12,2),MID(C325,15,2),0)</f>
        <v/>
      </c>
      <c r="U325" s="33">
        <f>IF(ISNUMBER(VALUE(MID(A325,7,1))),"Distance-prefix pattern","Named-region pattern")</f>
        <v/>
      </c>
      <c r="V325" s="33">
        <f>LOWER(M325)</f>
        <v/>
      </c>
      <c r="W325" s="33">
        <f>IF(COUNTIFS($A$2:$A$1001,A325,$C$2:$C$1001,C325)&gt;1,"Duplicate","Unique")</f>
        <v/>
      </c>
      <c r="X325" s="33">
        <f>YEAR(T325)</f>
        <v/>
      </c>
      <c r="Y325" s="33">
        <f>IF(B325&lt;6.5,"&lt;6.5",IF(B325&lt;7,"6.5–6.9",IF(B325&lt;7.5,"7.0–7.4",IF(B325&lt;8,"7.5–7.9","8.0+"))))</f>
        <v/>
      </c>
      <c r="Z325" s="33">
        <f>IF(F325="","Blank",F325)</f>
        <v/>
      </c>
    </row>
    <row r="326" ht="15" customHeight="1" s="34">
      <c r="A326" s="33" t="inlineStr">
        <is>
          <t>M 7.0 - 234 km W of Abepura, Indonesia</t>
        </is>
      </c>
      <c r="B326" s="33" t="n">
        <v>7</v>
      </c>
      <c r="C326" s="33" t="inlineStr">
        <is>
          <t>27/07/2015 21:41</t>
        </is>
      </c>
      <c r="D326" s="33" t="n">
        <v>9</v>
      </c>
      <c r="E326" s="33" t="n">
        <v>7</v>
      </c>
      <c r="F326" s="33" t="inlineStr">
        <is>
          <t>green</t>
        </is>
      </c>
      <c r="G326" s="33" t="n">
        <v>1</v>
      </c>
      <c r="H326" s="33" t="n">
        <v>762</v>
      </c>
      <c r="I326" s="33" t="inlineStr">
        <is>
          <t>us</t>
        </is>
      </c>
      <c r="J326" s="33" t="n">
        <v>0</v>
      </c>
      <c r="K326" s="33" t="n">
        <v>6.278</v>
      </c>
      <c r="L326" s="33" t="n">
        <v>12</v>
      </c>
      <c r="M326" s="33" t="inlineStr">
        <is>
          <t>mww</t>
        </is>
      </c>
      <c r="N326" s="33" t="n">
        <v>48</v>
      </c>
      <c r="O326" s="33" t="n">
        <v>-2.6286</v>
      </c>
      <c r="P326" s="33" t="n">
        <v>138.528</v>
      </c>
      <c r="Q326" s="33" t="inlineStr">
        <is>
          <t>Abepura, Indonesia</t>
        </is>
      </c>
      <c r="S326" s="33" t="inlineStr">
        <is>
          <t>Indonesia</t>
        </is>
      </c>
      <c r="T326" s="36">
        <f>DATE(MID(C326,7,4),MID(C326,4,2),MID(C326,1,2))+TIME(MID(C326,12,2),MID(C326,15,2),0)</f>
        <v/>
      </c>
      <c r="U326" s="33">
        <f>IF(ISNUMBER(VALUE(MID(A326,7,1))),"Distance-prefix pattern","Named-region pattern")</f>
        <v/>
      </c>
      <c r="V326" s="33">
        <f>LOWER(M326)</f>
        <v/>
      </c>
      <c r="W326" s="33">
        <f>IF(COUNTIFS($A$2:$A$1001,A326,$C$2:$C$1001,C326)&gt;1,"Duplicate","Unique")</f>
        <v/>
      </c>
      <c r="X326" s="33">
        <f>YEAR(T326)</f>
        <v/>
      </c>
      <c r="Y326" s="33">
        <f>IF(B326&lt;6.5,"&lt;6.5",IF(B326&lt;7,"6.5–6.9",IF(B326&lt;7.5,"7.0–7.4",IF(B326&lt;8,"7.5–7.9","8.0+"))))</f>
        <v/>
      </c>
      <c r="Z326" s="33">
        <f>IF(F326="","Blank",F326)</f>
        <v/>
      </c>
    </row>
    <row r="327" ht="15" customHeight="1" s="34">
      <c r="A327" s="33" t="inlineStr">
        <is>
          <t>M 6.9 - Fox Islands, Aleutian Islands, Alaska</t>
        </is>
      </c>
      <c r="B327" s="33" t="n">
        <v>6.9</v>
      </c>
      <c r="C327" s="33" t="inlineStr">
        <is>
          <t>27/07/2015 04:49</t>
        </is>
      </c>
      <c r="D327" s="33" t="n">
        <v>4</v>
      </c>
      <c r="E327" s="33" t="n">
        <v>7</v>
      </c>
      <c r="F327" s="33" t="inlineStr">
        <is>
          <t>green</t>
        </is>
      </c>
      <c r="G327" s="33" t="n">
        <v>1</v>
      </c>
      <c r="H327" s="33" t="n">
        <v>734</v>
      </c>
      <c r="I327" s="33" t="inlineStr">
        <is>
          <t>us</t>
        </is>
      </c>
      <c r="J327" s="33" t="n">
        <v>0</v>
      </c>
      <c r="K327" s="33" t="n">
        <v>0.444</v>
      </c>
      <c r="L327" s="33" t="n">
        <v>39</v>
      </c>
      <c r="M327" s="33" t="inlineStr">
        <is>
          <t>mww</t>
        </is>
      </c>
      <c r="N327" s="33" t="n">
        <v>29</v>
      </c>
      <c r="O327" s="33" t="n">
        <v>52.376</v>
      </c>
      <c r="P327" s="33" t="n">
        <v>-169.446</v>
      </c>
      <c r="Q327" s="33" t="inlineStr">
        <is>
          <t>Fox Islands, Aleutian Islands, Alaska</t>
        </is>
      </c>
      <c r="T327" s="36">
        <f>DATE(MID(C327,7,4),MID(C327,4,2),MID(C327,1,2))+TIME(MID(C327,12,2),MID(C327,15,2),0)</f>
        <v/>
      </c>
      <c r="U327" s="33">
        <f>IF(ISNUMBER(VALUE(MID(A327,7,1))),"Distance-prefix pattern","Named-region pattern")</f>
        <v/>
      </c>
      <c r="V327" s="33">
        <f>LOWER(M327)</f>
        <v/>
      </c>
      <c r="W327" s="33">
        <f>IF(COUNTIFS($A$2:$A$1001,A327,$C$2:$C$1001,C327)&gt;1,"Duplicate","Unique")</f>
        <v/>
      </c>
      <c r="X327" s="33">
        <f>YEAR(T327)</f>
        <v/>
      </c>
      <c r="Y327" s="33">
        <f>IF(B327&lt;6.5,"&lt;6.5",IF(B327&lt;7,"6.5–6.9",IF(B327&lt;7.5,"7.0–7.4",IF(B327&lt;8,"7.5–7.9","8.0+"))))</f>
        <v/>
      </c>
      <c r="Z327" s="33">
        <f>IF(F327="","Blank",F327)</f>
        <v/>
      </c>
    </row>
    <row r="328" ht="15" customHeight="1" s="34">
      <c r="A328" s="33" t="inlineStr">
        <is>
          <t>M 7.0 - 80 km WNW of Lata, Solomon Islands</t>
        </is>
      </c>
      <c r="B328" s="33" t="n">
        <v>7</v>
      </c>
      <c r="C328" s="33" t="inlineStr">
        <is>
          <t>18/07/2015 02:27</t>
        </is>
      </c>
      <c r="D328" s="33" t="n">
        <v>8</v>
      </c>
      <c r="E328" s="33" t="n">
        <v>6</v>
      </c>
      <c r="F328" s="33" t="inlineStr">
        <is>
          <t>green</t>
        </is>
      </c>
      <c r="G328" s="33" t="n">
        <v>1</v>
      </c>
      <c r="H328" s="33" t="n">
        <v>759</v>
      </c>
      <c r="I328" s="33" t="inlineStr">
        <is>
          <t>us</t>
        </is>
      </c>
      <c r="J328" s="33" t="n">
        <v>0</v>
      </c>
      <c r="K328" s="33" t="n">
        <v>5.205</v>
      </c>
      <c r="L328" s="33" t="n">
        <v>22</v>
      </c>
      <c r="M328" s="33" t="inlineStr">
        <is>
          <t>mww</t>
        </is>
      </c>
      <c r="N328" s="33" t="n">
        <v>11</v>
      </c>
      <c r="O328" s="33" t="n">
        <v>-10.4012</v>
      </c>
      <c r="P328" s="33" t="n">
        <v>165.141</v>
      </c>
      <c r="Q328" s="33" t="inlineStr">
        <is>
          <t>Lata, Solomon Islands</t>
        </is>
      </c>
      <c r="T328" s="36">
        <f>DATE(MID(C328,7,4),MID(C328,4,2),MID(C328,1,2))+TIME(MID(C328,12,2),MID(C328,15,2),0)</f>
        <v/>
      </c>
      <c r="U328" s="33">
        <f>IF(ISNUMBER(VALUE(MID(A328,7,1))),"Distance-prefix pattern","Named-region pattern")</f>
        <v/>
      </c>
      <c r="V328" s="33">
        <f>LOWER(M328)</f>
        <v/>
      </c>
      <c r="W328" s="33">
        <f>IF(COUNTIFS($A$2:$A$1001,A328,$C$2:$C$1001,C328)&gt;1,"Duplicate","Unique")</f>
        <v/>
      </c>
      <c r="X328" s="33">
        <f>YEAR(T328)</f>
        <v/>
      </c>
      <c r="Y328" s="33">
        <f>IF(B328&lt;6.5,"&lt;6.5",IF(B328&lt;7,"6.5–6.9",IF(B328&lt;7.5,"7.0–7.4",IF(B328&lt;8,"7.5–7.9","8.0+"))))</f>
        <v/>
      </c>
      <c r="Z328" s="33">
        <f>IF(F328="","Blank",F328)</f>
        <v/>
      </c>
    </row>
    <row r="329" ht="15" customHeight="1" s="34">
      <c r="A329" s="33" t="inlineStr">
        <is>
          <t>M 6.5 - 128 km NE of Bathsheba, Barbados</t>
        </is>
      </c>
      <c r="B329" s="33" t="n">
        <v>6.5</v>
      </c>
      <c r="C329" s="33" t="inlineStr">
        <is>
          <t>16/07/2015 15:16</t>
        </is>
      </c>
      <c r="D329" s="33" t="n">
        <v>4</v>
      </c>
      <c r="E329" s="33" t="n">
        <v>4</v>
      </c>
      <c r="F329" s="33" t="inlineStr">
        <is>
          <t>green</t>
        </is>
      </c>
      <c r="G329" s="33" t="n">
        <v>1</v>
      </c>
      <c r="H329" s="33" t="n">
        <v>686</v>
      </c>
      <c r="I329" s="33" t="inlineStr">
        <is>
          <t>us</t>
        </is>
      </c>
      <c r="J329" s="33" t="n">
        <v>0</v>
      </c>
      <c r="K329" s="33" t="n">
        <v>1.218</v>
      </c>
      <c r="L329" s="33" t="n">
        <v>20</v>
      </c>
      <c r="M329" s="33" t="inlineStr">
        <is>
          <t>mww</t>
        </is>
      </c>
      <c r="N329" s="33" t="n">
        <v>20</v>
      </c>
      <c r="O329" s="33" t="n">
        <v>13.8672</v>
      </c>
      <c r="P329" s="33" t="n">
        <v>-58.5479</v>
      </c>
      <c r="Q329" s="33" t="inlineStr">
        <is>
          <t>Bathsheba, Barbados</t>
        </is>
      </c>
      <c r="T329" s="36">
        <f>DATE(MID(C329,7,4),MID(C329,4,2),MID(C329,1,2))+TIME(MID(C329,12,2),MID(C329,15,2),0)</f>
        <v/>
      </c>
      <c r="U329" s="33">
        <f>IF(ISNUMBER(VALUE(MID(A329,7,1))),"Distance-prefix pattern","Named-region pattern")</f>
        <v/>
      </c>
      <c r="V329" s="33">
        <f>LOWER(M329)</f>
        <v/>
      </c>
      <c r="W329" s="33">
        <f>IF(COUNTIFS($A$2:$A$1001,A329,$C$2:$C$1001,C329)&gt;1,"Duplicate","Unique")</f>
        <v/>
      </c>
      <c r="X329" s="33">
        <f>YEAR(T329)</f>
        <v/>
      </c>
      <c r="Y329" s="33">
        <f>IF(B329&lt;6.5,"&lt;6.5",IF(B329&lt;7,"6.5–6.9",IF(B329&lt;7.5,"7.0–7.4",IF(B329&lt;8,"7.5–7.9","8.0+"))))</f>
        <v/>
      </c>
      <c r="Z329" s="33">
        <f>IF(F329="","Blank",F329)</f>
        <v/>
      </c>
    </row>
    <row r="330" ht="15" customHeight="1" s="34">
      <c r="A330" s="33" t="inlineStr">
        <is>
          <t>M 6.7 - 150 km WNW of Malango, Solomon Islands</t>
        </is>
      </c>
      <c r="B330" s="33" t="n">
        <v>6.7</v>
      </c>
      <c r="C330" s="33" t="inlineStr">
        <is>
          <t>10/07/2015 04:12</t>
        </is>
      </c>
      <c r="D330" s="33" t="n">
        <v>4</v>
      </c>
      <c r="E330" s="33" t="n">
        <v>5</v>
      </c>
      <c r="F330" s="33" t="inlineStr">
        <is>
          <t>green</t>
        </is>
      </c>
      <c r="G330" s="33" t="n">
        <v>1</v>
      </c>
      <c r="H330" s="33" t="n">
        <v>691</v>
      </c>
      <c r="I330" s="33" t="inlineStr">
        <is>
          <t>us</t>
        </is>
      </c>
      <c r="J330" s="33" t="n">
        <v>0</v>
      </c>
      <c r="K330" s="33" t="n">
        <v>1.529</v>
      </c>
      <c r="L330" s="33" t="n">
        <v>11</v>
      </c>
      <c r="M330" s="33" t="inlineStr">
        <is>
          <t>mww</t>
        </is>
      </c>
      <c r="N330" s="33" t="n">
        <v>12</v>
      </c>
      <c r="O330" s="33" t="n">
        <v>-9.307</v>
      </c>
      <c r="P330" s="33" t="n">
        <v>158.403</v>
      </c>
      <c r="Q330" s="33" t="inlineStr">
        <is>
          <t>Malango, Solomon Islands</t>
        </is>
      </c>
      <c r="S330" s="33" t="inlineStr">
        <is>
          <t>Solomon Islands</t>
        </is>
      </c>
      <c r="T330" s="36">
        <f>DATE(MID(C330,7,4),MID(C330,4,2),MID(C330,1,2))+TIME(MID(C330,12,2),MID(C330,15,2),0)</f>
        <v/>
      </c>
      <c r="U330" s="33">
        <f>IF(ISNUMBER(VALUE(MID(A330,7,1))),"Distance-prefix pattern","Named-region pattern")</f>
        <v/>
      </c>
      <c r="V330" s="33">
        <f>LOWER(M330)</f>
        <v/>
      </c>
      <c r="W330" s="33">
        <f>IF(COUNTIFS($A$2:$A$1001,A330,$C$2:$C$1001,C330)&gt;1,"Duplicate","Unique")</f>
        <v/>
      </c>
      <c r="X330" s="33">
        <f>YEAR(T330)</f>
        <v/>
      </c>
      <c r="Y330" s="33">
        <f>IF(B330&lt;6.5,"&lt;6.5",IF(B330&lt;7,"6.5–6.9",IF(B330&lt;7.5,"7.0–7.4",IF(B330&lt;8,"7.5–7.9","8.0+"))))</f>
        <v/>
      </c>
      <c r="Z330" s="33">
        <f>IF(F330="","Blank",F330)</f>
        <v/>
      </c>
    </row>
    <row r="331" ht="15" customHeight="1" s="34">
      <c r="A331" s="33" t="inlineStr">
        <is>
          <t>M 6.5 - Bonin Islands, Japan region</t>
        </is>
      </c>
      <c r="B331" s="33" t="n">
        <v>6.5</v>
      </c>
      <c r="C331" s="33" t="inlineStr">
        <is>
          <t>23/06/2015 12:18</t>
        </is>
      </c>
      <c r="D331" s="33" t="n">
        <v>3</v>
      </c>
      <c r="E331" s="33" t="n">
        <v>4</v>
      </c>
      <c r="F331" s="33" t="inlineStr">
        <is>
          <t>green</t>
        </is>
      </c>
      <c r="G331" s="33" t="n">
        <v>0</v>
      </c>
      <c r="H331" s="33" t="n">
        <v>652</v>
      </c>
      <c r="I331" s="33" t="inlineStr">
        <is>
          <t>us</t>
        </is>
      </c>
      <c r="J331" s="33" t="n">
        <v>0</v>
      </c>
      <c r="K331" s="33" t="n">
        <v>2.277</v>
      </c>
      <c r="L331" s="33" t="n">
        <v>11</v>
      </c>
      <c r="M331" s="33" t="inlineStr">
        <is>
          <t>mww</t>
        </is>
      </c>
      <c r="N331" s="33" t="n">
        <v>460</v>
      </c>
      <c r="O331" s="33" t="n">
        <v>27.7375</v>
      </c>
      <c r="P331" s="33" t="n">
        <v>139.725</v>
      </c>
      <c r="Q331" s="33" t="inlineStr">
        <is>
          <t>Bonin Islands, Japan region</t>
        </is>
      </c>
      <c r="T331" s="36">
        <f>DATE(MID(C331,7,4),MID(C331,4,2),MID(C331,1,2))+TIME(MID(C331,12,2),MID(C331,15,2),0)</f>
        <v/>
      </c>
      <c r="U331" s="33">
        <f>IF(ISNUMBER(VALUE(MID(A331,7,1))),"Distance-prefix pattern","Named-region pattern")</f>
        <v/>
      </c>
      <c r="V331" s="33">
        <f>LOWER(M331)</f>
        <v/>
      </c>
      <c r="W331" s="33">
        <f>IF(COUNTIFS($A$2:$A$1001,A331,$C$2:$C$1001,C331)&gt;1,"Duplicate","Unique")</f>
        <v/>
      </c>
      <c r="X331" s="33">
        <f>YEAR(T331)</f>
        <v/>
      </c>
      <c r="Y331" s="33">
        <f>IF(B331&lt;6.5,"&lt;6.5",IF(B331&lt;7,"6.5–6.9",IF(B331&lt;7.5,"7.0–7.4",IF(B331&lt;8,"7.5–7.9","8.0+"))))</f>
        <v/>
      </c>
      <c r="Z331" s="33">
        <f>IF(F331="","Blank",F331)</f>
        <v/>
      </c>
    </row>
    <row r="332" ht="15" customHeight="1" s="34">
      <c r="A332" s="33" t="inlineStr">
        <is>
          <t>M 7.8 - Bonin Islands, Japan region</t>
        </is>
      </c>
      <c r="B332" s="33" t="n">
        <v>7.8</v>
      </c>
      <c r="C332" s="33" t="inlineStr">
        <is>
          <t>30/05/2015 11:23</t>
        </is>
      </c>
      <c r="D332" s="33" t="n">
        <v>6</v>
      </c>
      <c r="E332" s="33" t="n">
        <v>3</v>
      </c>
      <c r="F332" s="33" t="inlineStr">
        <is>
          <t>green</t>
        </is>
      </c>
      <c r="G332" s="33" t="n">
        <v>1</v>
      </c>
      <c r="H332" s="33" t="n">
        <v>1151</v>
      </c>
      <c r="I332" s="33" t="inlineStr">
        <is>
          <t>us</t>
        </is>
      </c>
      <c r="J332" s="33" t="n">
        <v>0</v>
      </c>
      <c r="K332" s="33" t="n">
        <v>1.675</v>
      </c>
      <c r="L332" s="33" t="n">
        <v>12</v>
      </c>
      <c r="M332" s="33" t="inlineStr">
        <is>
          <t>mww</t>
        </is>
      </c>
      <c r="N332" s="33" t="n">
        <v>664</v>
      </c>
      <c r="O332" s="33" t="n">
        <v>27.8386</v>
      </c>
      <c r="P332" s="33" t="n">
        <v>140.493</v>
      </c>
      <c r="Q332" s="33" t="inlineStr">
        <is>
          <t>Bonin Islands, Japan region</t>
        </is>
      </c>
      <c r="T332" s="36">
        <f>DATE(MID(C332,7,4),MID(C332,4,2),MID(C332,1,2))+TIME(MID(C332,12,2),MID(C332,15,2),0)</f>
        <v/>
      </c>
      <c r="U332" s="33">
        <f>IF(ISNUMBER(VALUE(MID(A332,7,1))),"Distance-prefix pattern","Named-region pattern")</f>
        <v/>
      </c>
      <c r="V332" s="33">
        <f>LOWER(M332)</f>
        <v/>
      </c>
      <c r="W332" s="33">
        <f>IF(COUNTIFS($A$2:$A$1001,A332,$C$2:$C$1001,C332)&gt;1,"Duplicate","Unique")</f>
        <v/>
      </c>
      <c r="X332" s="33">
        <f>YEAR(T332)</f>
        <v/>
      </c>
      <c r="Y332" s="33">
        <f>IF(B332&lt;6.5,"&lt;6.5",IF(B332&lt;7,"6.5–6.9",IF(B332&lt;7.5,"7.0–7.4",IF(B332&lt;8,"7.5–7.9","8.0+"))))</f>
        <v/>
      </c>
      <c r="Z332" s="33">
        <f>IF(F332="","Blank",F332)</f>
        <v/>
      </c>
    </row>
    <row r="333" ht="15" customHeight="1" s="34">
      <c r="A333" s="33" t="inlineStr">
        <is>
          <t>M 6.8 - 117 km SSE of Ugashik, Alaska</t>
        </is>
      </c>
      <c r="B333" s="33" t="n">
        <v>6.8</v>
      </c>
      <c r="C333" s="33" t="inlineStr">
        <is>
          <t>29/05/2015 07:00</t>
        </is>
      </c>
      <c r="D333" s="33" t="n">
        <v>5</v>
      </c>
      <c r="E333" s="33" t="n">
        <v>6</v>
      </c>
      <c r="F333" s="33" t="inlineStr">
        <is>
          <t>green</t>
        </is>
      </c>
      <c r="G333" s="33" t="n">
        <v>1</v>
      </c>
      <c r="H333" s="33" t="n">
        <v>762</v>
      </c>
      <c r="I333" s="33" t="inlineStr">
        <is>
          <t>ak</t>
        </is>
      </c>
      <c r="J333" s="33" t="n">
        <v>0</v>
      </c>
      <c r="K333" s="33" t="n">
        <v>0</v>
      </c>
      <c r="L333" s="33" t="n">
        <v>0</v>
      </c>
      <c r="M333" s="33" t="inlineStr">
        <is>
          <t>mw</t>
        </is>
      </c>
      <c r="N333" s="33" t="n">
        <v>72.59999999999999</v>
      </c>
      <c r="O333" s="33" t="n">
        <v>56.594</v>
      </c>
      <c r="P333" s="33" t="n">
        <v>-156.43</v>
      </c>
      <c r="Q333" s="33" t="inlineStr">
        <is>
          <t>Ugashik, Alaska</t>
        </is>
      </c>
      <c r="T333" s="36">
        <f>DATE(MID(C333,7,4),MID(C333,4,2),MID(C333,1,2))+TIME(MID(C333,12,2),MID(C333,15,2),0)</f>
        <v/>
      </c>
      <c r="U333" s="33">
        <f>IF(ISNUMBER(VALUE(MID(A333,7,1))),"Distance-prefix pattern","Named-region pattern")</f>
        <v/>
      </c>
      <c r="V333" s="33">
        <f>LOWER(M333)</f>
        <v/>
      </c>
      <c r="W333" s="33">
        <f>IF(COUNTIFS($A$2:$A$1001,A333,$C$2:$C$1001,C333)&gt;1,"Duplicate","Unique")</f>
        <v/>
      </c>
      <c r="X333" s="33">
        <f>YEAR(T333)</f>
        <v/>
      </c>
      <c r="Y333" s="33">
        <f>IF(B333&lt;6.5,"&lt;6.5",IF(B333&lt;7,"6.5–6.9",IF(B333&lt;7.5,"7.0–7.4",IF(B333&lt;8,"7.5–7.9","8.0+"))))</f>
        <v/>
      </c>
      <c r="Z333" s="33">
        <f>IF(F333="","Blank",F333)</f>
        <v/>
      </c>
    </row>
    <row r="334" ht="15" customHeight="1" s="34">
      <c r="A334" s="33" t="inlineStr">
        <is>
          <t>M 6.8 - 159 km ESE of Kirakira, Solomon Islands</t>
        </is>
      </c>
      <c r="B334" s="33" t="n">
        <v>6.8</v>
      </c>
      <c r="C334" s="33" t="inlineStr">
        <is>
          <t>22/05/2015 23:59</t>
        </is>
      </c>
      <c r="D334" s="33" t="n">
        <v>1</v>
      </c>
      <c r="E334" s="33" t="n">
        <v>5</v>
      </c>
      <c r="F334" s="33" t="inlineStr">
        <is>
          <t>green</t>
        </is>
      </c>
      <c r="G334" s="33" t="n">
        <v>1</v>
      </c>
      <c r="H334" s="33" t="n">
        <v>711</v>
      </c>
      <c r="I334" s="33" t="inlineStr">
        <is>
          <t>us</t>
        </is>
      </c>
      <c r="J334" s="33" t="n">
        <v>0</v>
      </c>
      <c r="K334" s="33" t="n">
        <v>3.619</v>
      </c>
      <c r="L334" s="33" t="n">
        <v>18</v>
      </c>
      <c r="M334" s="33" t="inlineStr">
        <is>
          <t>mww</t>
        </is>
      </c>
      <c r="N334" s="33" t="n">
        <v>10</v>
      </c>
      <c r="O334" s="33" t="n">
        <v>-11.1093</v>
      </c>
      <c r="P334" s="33" t="n">
        <v>163.215</v>
      </c>
      <c r="Q334" s="33" t="inlineStr">
        <is>
          <t>Kirakira, Solomon Islands</t>
        </is>
      </c>
      <c r="T334" s="36">
        <f>DATE(MID(C334,7,4),MID(C334,4,2),MID(C334,1,2))+TIME(MID(C334,12,2),MID(C334,15,2),0)</f>
        <v/>
      </c>
      <c r="U334" s="33">
        <f>IF(ISNUMBER(VALUE(MID(A334,7,1))),"Distance-prefix pattern","Named-region pattern")</f>
        <v/>
      </c>
      <c r="V334" s="33">
        <f>LOWER(M334)</f>
        <v/>
      </c>
      <c r="W334" s="33">
        <f>IF(COUNTIFS($A$2:$A$1001,A334,$C$2:$C$1001,C334)&gt;1,"Duplicate","Unique")</f>
        <v/>
      </c>
      <c r="X334" s="33">
        <f>YEAR(T334)</f>
        <v/>
      </c>
      <c r="Y334" s="33">
        <f>IF(B334&lt;6.5,"&lt;6.5",IF(B334&lt;7,"6.5–6.9",IF(B334&lt;7.5,"7.0–7.4",IF(B334&lt;8,"7.5–7.9","8.0+"))))</f>
        <v/>
      </c>
      <c r="Z334" s="33">
        <f>IF(F334="","Blank",F334)</f>
        <v/>
      </c>
    </row>
    <row r="335" ht="15" customHeight="1" s="34">
      <c r="A335" s="33" t="inlineStr">
        <is>
          <t>M 6.9 - 205 km ESE of Kirakira, Solomon Islands</t>
        </is>
      </c>
      <c r="B335" s="33" t="n">
        <v>6.9</v>
      </c>
      <c r="C335" s="33" t="inlineStr">
        <is>
          <t>22/05/2015 21:45</t>
        </is>
      </c>
      <c r="D335" s="33" t="n">
        <v>1</v>
      </c>
      <c r="E335" s="33" t="n">
        <v>4</v>
      </c>
      <c r="F335" s="33" t="inlineStr">
        <is>
          <t>green</t>
        </is>
      </c>
      <c r="G335" s="33" t="n">
        <v>1</v>
      </c>
      <c r="H335" s="33" t="n">
        <v>732</v>
      </c>
      <c r="I335" s="33" t="inlineStr">
        <is>
          <t>us</t>
        </is>
      </c>
      <c r="J335" s="33" t="n">
        <v>0</v>
      </c>
      <c r="K335" s="33" t="n">
        <v>4.024</v>
      </c>
      <c r="L335" s="33" t="n">
        <v>22</v>
      </c>
      <c r="M335" s="33" t="inlineStr">
        <is>
          <t>mww</t>
        </is>
      </c>
      <c r="N335" s="33" t="n">
        <v>11.19</v>
      </c>
      <c r="O335" s="33" t="n">
        <v>-11.0559</v>
      </c>
      <c r="P335" s="33" t="n">
        <v>163.696</v>
      </c>
      <c r="Q335" s="33" t="inlineStr">
        <is>
          <t>Kirakira, Solomon Islands</t>
        </is>
      </c>
      <c r="T335" s="36">
        <f>DATE(MID(C335,7,4),MID(C335,4,2),MID(C335,1,2))+TIME(MID(C335,12,2),MID(C335,15,2),0)</f>
        <v/>
      </c>
      <c r="U335" s="33">
        <f>IF(ISNUMBER(VALUE(MID(A335,7,1))),"Distance-prefix pattern","Named-region pattern")</f>
        <v/>
      </c>
      <c r="V335" s="33">
        <f>LOWER(M335)</f>
        <v/>
      </c>
      <c r="W335" s="33">
        <f>IF(COUNTIFS($A$2:$A$1001,A335,$C$2:$C$1001,C335)&gt;1,"Duplicate","Unique")</f>
        <v/>
      </c>
      <c r="X335" s="33">
        <f>YEAR(T335)</f>
        <v/>
      </c>
      <c r="Y335" s="33">
        <f>IF(B335&lt;6.5,"&lt;6.5",IF(B335&lt;7,"6.5–6.9",IF(B335&lt;7.5,"7.0–7.4",IF(B335&lt;8,"7.5–7.9","8.0+"))))</f>
        <v/>
      </c>
      <c r="Z335" s="33">
        <f>IF(F335="","Blank",F335)</f>
        <v/>
      </c>
    </row>
    <row r="336" ht="15" customHeight="1" s="34">
      <c r="A336" s="33" t="inlineStr">
        <is>
          <t>M 6.8 - 178 km W of Lata, Solomon Islands</t>
        </is>
      </c>
      <c r="B336" s="33" t="n">
        <v>6.8</v>
      </c>
      <c r="C336" s="33" t="inlineStr">
        <is>
          <t>20/05/2015 22:48</t>
        </is>
      </c>
      <c r="D336" s="33" t="n">
        <v>1</v>
      </c>
      <c r="E336" s="33" t="n">
        <v>4</v>
      </c>
      <c r="F336" s="33" t="inlineStr">
        <is>
          <t>green</t>
        </is>
      </c>
      <c r="G336" s="33" t="n">
        <v>1</v>
      </c>
      <c r="H336" s="33" t="n">
        <v>711</v>
      </c>
      <c r="I336" s="33" t="inlineStr">
        <is>
          <t>us</t>
        </is>
      </c>
      <c r="J336" s="33" t="n">
        <v>0</v>
      </c>
      <c r="K336" s="33" t="n">
        <v>4.395</v>
      </c>
      <c r="L336" s="33" t="n">
        <v>15</v>
      </c>
      <c r="M336" s="33" t="inlineStr">
        <is>
          <t>mww</t>
        </is>
      </c>
      <c r="N336" s="33" t="n">
        <v>11</v>
      </c>
      <c r="O336" s="33" t="n">
        <v>-10.8759</v>
      </c>
      <c r="P336" s="33" t="n">
        <v>164.169</v>
      </c>
      <c r="Q336" s="33" t="inlineStr">
        <is>
          <t>Lata, Solomon Islands</t>
        </is>
      </c>
      <c r="T336" s="36">
        <f>DATE(MID(C336,7,4),MID(C336,4,2),MID(C336,1,2))+TIME(MID(C336,12,2),MID(C336,15,2),0)</f>
        <v/>
      </c>
      <c r="U336" s="33">
        <f>IF(ISNUMBER(VALUE(MID(A336,7,1))),"Distance-prefix pattern","Named-region pattern")</f>
        <v/>
      </c>
      <c r="V336" s="33">
        <f>LOWER(M336)</f>
        <v/>
      </c>
      <c r="W336" s="33">
        <f>IF(COUNTIFS($A$2:$A$1001,A336,$C$2:$C$1001,C336)&gt;1,"Duplicate","Unique")</f>
        <v/>
      </c>
      <c r="X336" s="33">
        <f>YEAR(T336)</f>
        <v/>
      </c>
      <c r="Y336" s="33">
        <f>IF(B336&lt;6.5,"&lt;6.5",IF(B336&lt;7,"6.5–6.9",IF(B336&lt;7.5,"7.0–7.4",IF(B336&lt;8,"7.5–7.9","8.0+"))))</f>
        <v/>
      </c>
      <c r="Z336" s="33">
        <f>IF(F336="","Blank",F336)</f>
        <v/>
      </c>
    </row>
    <row r="337" ht="15" customHeight="1" s="34">
      <c r="A337" s="33" t="inlineStr">
        <is>
          <t>M 6.8 - 32 km SE of ?funato, Japan</t>
        </is>
      </c>
      <c r="B337" s="33" t="n">
        <v>6.8</v>
      </c>
      <c r="C337" s="33" t="inlineStr">
        <is>
          <t>12/05/2015 21:12</t>
        </is>
      </c>
      <c r="D337" s="33" t="n">
        <v>8</v>
      </c>
      <c r="E337" s="33" t="n">
        <v>6</v>
      </c>
      <c r="F337" s="33" t="inlineStr">
        <is>
          <t>green</t>
        </is>
      </c>
      <c r="G337" s="33" t="n">
        <v>1</v>
      </c>
      <c r="H337" s="33" t="n">
        <v>831</v>
      </c>
      <c r="I337" s="33" t="inlineStr">
        <is>
          <t>us</t>
        </is>
      </c>
      <c r="J337" s="33" t="n">
        <v>0</v>
      </c>
      <c r="K337" s="33" t="n">
        <v>1.422</v>
      </c>
      <c r="L337" s="33" t="n">
        <v>8</v>
      </c>
      <c r="M337" s="33" t="inlineStr">
        <is>
          <t>mww</t>
        </is>
      </c>
      <c r="N337" s="33" t="n">
        <v>35</v>
      </c>
      <c r="O337" s="33" t="n">
        <v>38.9056</v>
      </c>
      <c r="P337" s="33" t="n">
        <v>142.032</v>
      </c>
      <c r="Q337" s="33" t="inlineStr">
        <is>
          <t>?funato, Japan</t>
        </is>
      </c>
      <c r="R337" s="33" t="inlineStr">
        <is>
          <t>Asia</t>
        </is>
      </c>
      <c r="S337" s="33" t="inlineStr">
        <is>
          <t>Japan</t>
        </is>
      </c>
      <c r="T337" s="36">
        <f>DATE(MID(C337,7,4),MID(C337,4,2),MID(C337,1,2))+TIME(MID(C337,12,2),MID(C337,15,2),0)</f>
        <v/>
      </c>
      <c r="U337" s="33">
        <f>IF(ISNUMBER(VALUE(MID(A337,7,1))),"Distance-prefix pattern","Named-region pattern")</f>
        <v/>
      </c>
      <c r="V337" s="33">
        <f>LOWER(M337)</f>
        <v/>
      </c>
      <c r="W337" s="33">
        <f>IF(COUNTIFS($A$2:$A$1001,A337,$C$2:$C$1001,C337)&gt;1,"Duplicate","Unique")</f>
        <v/>
      </c>
      <c r="X337" s="33">
        <f>YEAR(T337)</f>
        <v/>
      </c>
      <c r="Y337" s="33">
        <f>IF(B337&lt;6.5,"&lt;6.5",IF(B337&lt;7,"6.5–6.9",IF(B337&lt;7.5,"7.0–7.4",IF(B337&lt;8,"7.5–7.9","8.0+"))))</f>
        <v/>
      </c>
      <c r="Z337" s="33">
        <f>IF(F337="","Blank",F337)</f>
        <v/>
      </c>
    </row>
    <row r="338" ht="15" customHeight="1" s="34">
      <c r="A338" s="33" t="inlineStr">
        <is>
          <t>M 7.3 - Nepal</t>
        </is>
      </c>
      <c r="B338" s="33" t="n">
        <v>7.3</v>
      </c>
      <c r="C338" s="33" t="inlineStr">
        <is>
          <t>12/05/2015 07:05</t>
        </is>
      </c>
      <c r="D338" s="33" t="n">
        <v>8</v>
      </c>
      <c r="E338" s="33" t="n">
        <v>7</v>
      </c>
      <c r="F338" s="33" t="inlineStr">
        <is>
          <t>orange</t>
        </is>
      </c>
      <c r="G338" s="33" t="n">
        <v>0</v>
      </c>
      <c r="H338" s="33" t="n">
        <v>1563</v>
      </c>
      <c r="I338" s="33" t="inlineStr">
        <is>
          <t>us</t>
        </is>
      </c>
      <c r="J338" s="33" t="n">
        <v>0</v>
      </c>
      <c r="K338" s="33" t="n">
        <v>0.677</v>
      </c>
      <c r="L338" s="33" t="n">
        <v>11</v>
      </c>
      <c r="M338" s="33" t="inlineStr">
        <is>
          <t>mww</t>
        </is>
      </c>
      <c r="N338" s="33" t="n">
        <v>15</v>
      </c>
      <c r="O338" s="33" t="n">
        <v>27.8087</v>
      </c>
      <c r="P338" s="33" t="n">
        <v>86.0655</v>
      </c>
      <c r="Q338" s="33" t="inlineStr">
        <is>
          <t>Nepal</t>
        </is>
      </c>
      <c r="R338" s="33" t="inlineStr">
        <is>
          <t>Asia</t>
        </is>
      </c>
      <c r="S338" s="33" t="inlineStr">
        <is>
          <t>Nepal</t>
        </is>
      </c>
      <c r="T338" s="36">
        <f>DATE(MID(C338,7,4),MID(C338,4,2),MID(C338,1,2))+TIME(MID(C338,12,2),MID(C338,15,2),0)</f>
        <v/>
      </c>
      <c r="U338" s="33">
        <f>IF(ISNUMBER(VALUE(MID(A338,7,1))),"Distance-prefix pattern","Named-region pattern")</f>
        <v/>
      </c>
      <c r="V338" s="33">
        <f>LOWER(M338)</f>
        <v/>
      </c>
      <c r="W338" s="33">
        <f>IF(COUNTIFS($A$2:$A$1001,A338,$C$2:$C$1001,C338)&gt;1,"Duplicate","Unique")</f>
        <v/>
      </c>
      <c r="X338" s="33">
        <f>YEAR(T338)</f>
        <v/>
      </c>
      <c r="Y338" s="33">
        <f>IF(B338&lt;6.5,"&lt;6.5",IF(B338&lt;7,"6.5–6.9",IF(B338&lt;7.5,"7.0–7.4",IF(B338&lt;8,"7.5–7.9","8.0+"))))</f>
        <v/>
      </c>
      <c r="Z338" s="33">
        <f>IF(F338="","Blank",F338)</f>
        <v/>
      </c>
    </row>
    <row r="339" ht="15" customHeight="1" s="34">
      <c r="A339" s="33" t="inlineStr">
        <is>
          <t>M 7.1 - 143 km SW of Panguna, Papua New Guinea</t>
        </is>
      </c>
      <c r="B339" s="33" t="n">
        <v>7.1</v>
      </c>
      <c r="C339" s="33" t="inlineStr">
        <is>
          <t>07/05/2015 07:10</t>
        </is>
      </c>
      <c r="D339" s="33" t="n">
        <v>1</v>
      </c>
      <c r="E339" s="33" t="n">
        <v>6</v>
      </c>
      <c r="F339" s="33" t="inlineStr">
        <is>
          <t>green</t>
        </is>
      </c>
      <c r="G339" s="33" t="n">
        <v>1</v>
      </c>
      <c r="H339" s="33" t="n">
        <v>776</v>
      </c>
      <c r="I339" s="33" t="inlineStr">
        <is>
          <t>us</t>
        </is>
      </c>
      <c r="J339" s="33" t="n">
        <v>0</v>
      </c>
      <c r="K339" s="33" t="n">
        <v>3.835</v>
      </c>
      <c r="L339" s="33" t="n">
        <v>11</v>
      </c>
      <c r="M339" s="33" t="inlineStr">
        <is>
          <t>mww</t>
        </is>
      </c>
      <c r="N339" s="33" t="n">
        <v>10</v>
      </c>
      <c r="O339" s="33" t="n">
        <v>-7.2175</v>
      </c>
      <c r="P339" s="33" t="n">
        <v>154.557</v>
      </c>
      <c r="Q339" s="33" t="inlineStr">
        <is>
          <t>Panguna, Papua New Guinea</t>
        </is>
      </c>
      <c r="T339" s="36">
        <f>DATE(MID(C339,7,4),MID(C339,4,2),MID(C339,1,2))+TIME(MID(C339,12,2),MID(C339,15,2),0)</f>
        <v/>
      </c>
      <c r="U339" s="33">
        <f>IF(ISNUMBER(VALUE(MID(A339,7,1))),"Distance-prefix pattern","Named-region pattern")</f>
        <v/>
      </c>
      <c r="V339" s="33">
        <f>LOWER(M339)</f>
        <v/>
      </c>
      <c r="W339" s="33">
        <f>IF(COUNTIFS($A$2:$A$1001,A339,$C$2:$C$1001,C339)&gt;1,"Duplicate","Unique")</f>
        <v/>
      </c>
      <c r="X339" s="33">
        <f>YEAR(T339)</f>
        <v/>
      </c>
      <c r="Y339" s="33">
        <f>IF(B339&lt;6.5,"&lt;6.5",IF(B339&lt;7,"6.5–6.9",IF(B339&lt;7.5,"7.0–7.4",IF(B339&lt;8,"7.5–7.9","8.0+"))))</f>
        <v/>
      </c>
      <c r="Z339" s="33">
        <f>IF(F339="","Blank",F339)</f>
        <v/>
      </c>
    </row>
    <row r="340" ht="15" customHeight="1" s="34">
      <c r="A340" s="33" t="inlineStr">
        <is>
          <t>M 7.5 - 131 km SSW of Kokopo, Papua New Guinea</t>
        </is>
      </c>
      <c r="B340" s="33" t="n">
        <v>7.5</v>
      </c>
      <c r="C340" s="33" t="inlineStr">
        <is>
          <t>05/05/2015 01:44</t>
        </is>
      </c>
      <c r="D340" s="33" t="n">
        <v>7</v>
      </c>
      <c r="E340" s="33" t="n">
        <v>8</v>
      </c>
      <c r="F340" s="33" t="inlineStr">
        <is>
          <t>green</t>
        </is>
      </c>
      <c r="G340" s="33" t="n">
        <v>1</v>
      </c>
      <c r="H340" s="33" t="n">
        <v>869</v>
      </c>
      <c r="I340" s="33" t="inlineStr">
        <is>
          <t>us</t>
        </is>
      </c>
      <c r="J340" s="33" t="n">
        <v>0</v>
      </c>
      <c r="K340" s="33" t="n">
        <v>1.295</v>
      </c>
      <c r="L340" s="33" t="n">
        <v>22</v>
      </c>
      <c r="M340" s="33" t="inlineStr">
        <is>
          <t>mww</t>
        </is>
      </c>
      <c r="N340" s="33" t="n">
        <v>55</v>
      </c>
      <c r="O340" s="33" t="n">
        <v>-5.4624</v>
      </c>
      <c r="P340" s="33" t="n">
        <v>151.875</v>
      </c>
      <c r="Q340" s="33" t="inlineStr">
        <is>
          <t>Kokopo, Papua New Guinea</t>
        </is>
      </c>
      <c r="S340" s="33" t="inlineStr">
        <is>
          <t>Papua New Guinea</t>
        </is>
      </c>
      <c r="T340" s="36">
        <f>DATE(MID(C340,7,4),MID(C340,4,2),MID(C340,1,2))+TIME(MID(C340,12,2),MID(C340,15,2),0)</f>
        <v/>
      </c>
      <c r="U340" s="33">
        <f>IF(ISNUMBER(VALUE(MID(A340,7,1))),"Distance-prefix pattern","Named-region pattern")</f>
        <v/>
      </c>
      <c r="V340" s="33">
        <f>LOWER(M340)</f>
        <v/>
      </c>
      <c r="W340" s="33">
        <f>IF(COUNTIFS($A$2:$A$1001,A340,$C$2:$C$1001,C340)&gt;1,"Duplicate","Unique")</f>
        <v/>
      </c>
      <c r="X340" s="33">
        <f>YEAR(T340)</f>
        <v/>
      </c>
      <c r="Y340" s="33">
        <f>IF(B340&lt;6.5,"&lt;6.5",IF(B340&lt;7,"6.5–6.9",IF(B340&lt;7.5,"7.0–7.4",IF(B340&lt;8,"7.5–7.9","8.0+"))))</f>
        <v/>
      </c>
      <c r="Z340" s="33">
        <f>IF(F340="","Blank",F340)</f>
        <v/>
      </c>
    </row>
    <row r="341" ht="15" customHeight="1" s="34">
      <c r="A341" s="33" t="inlineStr">
        <is>
          <t>M 6.8 - 109 km SSW of Kokopo, Papua New Guinea</t>
        </is>
      </c>
      <c r="B341" s="33" t="n">
        <v>6.8</v>
      </c>
      <c r="C341" s="33" t="inlineStr">
        <is>
          <t>01/05/2015 08:06</t>
        </is>
      </c>
      <c r="D341" s="33" t="n">
        <v>5</v>
      </c>
      <c r="E341" s="33" t="n">
        <v>6</v>
      </c>
      <c r="F341" s="33" t="inlineStr">
        <is>
          <t>green</t>
        </is>
      </c>
      <c r="G341" s="33" t="n">
        <v>1</v>
      </c>
      <c r="H341" s="33" t="n">
        <v>714</v>
      </c>
      <c r="I341" s="33" t="inlineStr">
        <is>
          <t>us</t>
        </is>
      </c>
      <c r="J341" s="33" t="n">
        <v>0</v>
      </c>
      <c r="K341" s="33" t="n">
        <v>1.074</v>
      </c>
      <c r="L341" s="33" t="n">
        <v>23</v>
      </c>
      <c r="M341" s="33" t="inlineStr">
        <is>
          <t>mww</t>
        </is>
      </c>
      <c r="N341" s="33" t="n">
        <v>44</v>
      </c>
      <c r="O341" s="33" t="n">
        <v>-5.2005</v>
      </c>
      <c r="P341" s="33" t="n">
        <v>151.777</v>
      </c>
      <c r="Q341" s="33" t="inlineStr">
        <is>
          <t>Kokopo, Papua New Guinea</t>
        </is>
      </c>
      <c r="S341" s="33" t="inlineStr">
        <is>
          <t>Papua New Guinea</t>
        </is>
      </c>
      <c r="T341" s="36">
        <f>DATE(MID(C341,7,4),MID(C341,4,2),MID(C341,1,2))+TIME(MID(C341,12,2),MID(C341,15,2),0)</f>
        <v/>
      </c>
      <c r="U341" s="33">
        <f>IF(ISNUMBER(VALUE(MID(A341,7,1))),"Distance-prefix pattern","Named-region pattern")</f>
        <v/>
      </c>
      <c r="V341" s="33">
        <f>LOWER(M341)</f>
        <v/>
      </c>
      <c r="W341" s="33">
        <f>IF(COUNTIFS($A$2:$A$1001,A341,$C$2:$C$1001,C341)&gt;1,"Duplicate","Unique")</f>
        <v/>
      </c>
      <c r="X341" s="33">
        <f>YEAR(T341)</f>
        <v/>
      </c>
      <c r="Y341" s="33">
        <f>IF(B341&lt;6.5,"&lt;6.5",IF(B341&lt;7,"6.5–6.9",IF(B341&lt;7.5,"7.0–7.4",IF(B341&lt;8,"7.5–7.9","8.0+"))))</f>
        <v/>
      </c>
      <c r="Z341" s="33">
        <f>IF(F341="","Blank",F341)</f>
        <v/>
      </c>
    </row>
    <row r="342" ht="15" customHeight="1" s="34">
      <c r="A342" s="33" t="inlineStr">
        <is>
          <t>M 6.7 - 126 km SSW of Kokopo, Papua New Guinea</t>
        </is>
      </c>
      <c r="B342" s="33" t="n">
        <v>6.7</v>
      </c>
      <c r="C342" s="33" t="inlineStr">
        <is>
          <t>30/04/2015 10:45</t>
        </is>
      </c>
      <c r="D342" s="33" t="n">
        <v>5</v>
      </c>
      <c r="E342" s="33" t="n">
        <v>6</v>
      </c>
      <c r="F342" s="33" t="inlineStr">
        <is>
          <t>green</t>
        </is>
      </c>
      <c r="G342" s="33" t="n">
        <v>1</v>
      </c>
      <c r="H342" s="33" t="n">
        <v>692</v>
      </c>
      <c r="I342" s="33" t="inlineStr">
        <is>
          <t>us</t>
        </is>
      </c>
      <c r="J342" s="33" t="n">
        <v>0</v>
      </c>
      <c r="K342" s="33" t="n">
        <v>1.239</v>
      </c>
      <c r="L342" s="33" t="n">
        <v>12</v>
      </c>
      <c r="M342" s="33" t="inlineStr">
        <is>
          <t>mww</t>
        </is>
      </c>
      <c r="N342" s="33" t="n">
        <v>31</v>
      </c>
      <c r="O342" s="33" t="n">
        <v>-5.375</v>
      </c>
      <c r="P342" s="33" t="n">
        <v>151.771</v>
      </c>
      <c r="Q342" s="33" t="inlineStr">
        <is>
          <t>Kokopo, Papua New Guinea</t>
        </is>
      </c>
      <c r="S342" s="33" t="inlineStr">
        <is>
          <t>Papua New Guinea</t>
        </is>
      </c>
      <c r="T342" s="36">
        <f>DATE(MID(C342,7,4),MID(C342,4,2),MID(C342,1,2))+TIME(MID(C342,12,2),MID(C342,15,2),0)</f>
        <v/>
      </c>
      <c r="U342" s="33">
        <f>IF(ISNUMBER(VALUE(MID(A342,7,1))),"Distance-prefix pattern","Named-region pattern")</f>
        <v/>
      </c>
      <c r="V342" s="33">
        <f>LOWER(M342)</f>
        <v/>
      </c>
      <c r="W342" s="33">
        <f>IF(COUNTIFS($A$2:$A$1001,A342,$C$2:$C$1001,C342)&gt;1,"Duplicate","Unique")</f>
        <v/>
      </c>
      <c r="X342" s="33">
        <f>YEAR(T342)</f>
        <v/>
      </c>
      <c r="Y342" s="33">
        <f>IF(B342&lt;6.5,"&lt;6.5",IF(B342&lt;7,"6.5–6.9",IF(B342&lt;7.5,"7.0–7.4",IF(B342&lt;8,"7.5–7.9","8.0+"))))</f>
        <v/>
      </c>
      <c r="Z342" s="33">
        <f>IF(F342="","Blank",F342)</f>
        <v/>
      </c>
    </row>
    <row r="343" ht="15" customHeight="1" s="34">
      <c r="A343" s="33" t="inlineStr">
        <is>
          <t>M 6.7 - 21 km SSE of Kod?ri??, Nepal</t>
        </is>
      </c>
      <c r="B343" s="33" t="n">
        <v>6.7</v>
      </c>
      <c r="C343" s="33" t="inlineStr">
        <is>
          <t>26/04/2015 07:09</t>
        </is>
      </c>
      <c r="D343" s="33" t="n">
        <v>7</v>
      </c>
      <c r="E343" s="33" t="n">
        <v>7</v>
      </c>
      <c r="F343" s="33" t="inlineStr">
        <is>
          <t>yellow</t>
        </is>
      </c>
      <c r="G343" s="33" t="n">
        <v>0</v>
      </c>
      <c r="H343" s="33" t="n">
        <v>1016</v>
      </c>
      <c r="I343" s="33" t="inlineStr">
        <is>
          <t>us</t>
        </is>
      </c>
      <c r="J343" s="33" t="n">
        <v>0</v>
      </c>
      <c r="K343" s="33" t="n">
        <v>0.727</v>
      </c>
      <c r="L343" s="33" t="n">
        <v>13</v>
      </c>
      <c r="M343" s="33" t="inlineStr">
        <is>
          <t>mww</t>
        </is>
      </c>
      <c r="N343" s="33" t="n">
        <v>22.91</v>
      </c>
      <c r="O343" s="33" t="n">
        <v>27.7711</v>
      </c>
      <c r="P343" s="33" t="n">
        <v>86.01730000000001</v>
      </c>
      <c r="Q343" s="33" t="inlineStr">
        <is>
          <t>Kod?ri??, Nepal</t>
        </is>
      </c>
      <c r="R343" s="33" t="inlineStr">
        <is>
          <t>Asia</t>
        </is>
      </c>
      <c r="S343" s="33" t="inlineStr">
        <is>
          <t>Nepal</t>
        </is>
      </c>
      <c r="T343" s="36">
        <f>DATE(MID(C343,7,4),MID(C343,4,2),MID(C343,1,2))+TIME(MID(C343,12,2),MID(C343,15,2),0)</f>
        <v/>
      </c>
      <c r="U343" s="33">
        <f>IF(ISNUMBER(VALUE(MID(A343,7,1))),"Distance-prefix pattern","Named-region pattern")</f>
        <v/>
      </c>
      <c r="V343" s="33">
        <f>LOWER(M343)</f>
        <v/>
      </c>
      <c r="W343" s="33">
        <f>IF(COUNTIFS($A$2:$A$1001,A343,$C$2:$C$1001,C343)&gt;1,"Duplicate","Unique")</f>
        <v/>
      </c>
      <c r="X343" s="33">
        <f>YEAR(T343)</f>
        <v/>
      </c>
      <c r="Y343" s="33">
        <f>IF(B343&lt;6.5,"&lt;6.5",IF(B343&lt;7,"6.5–6.9",IF(B343&lt;7.5,"7.0–7.4",IF(B343&lt;8,"7.5–7.9","8.0+"))))</f>
        <v/>
      </c>
      <c r="Z343" s="33">
        <f>IF(F343="","Blank",F343)</f>
        <v/>
      </c>
    </row>
    <row r="344" ht="15" customHeight="1" s="34">
      <c r="A344" s="33" t="inlineStr">
        <is>
          <t>M 6.6 - 71 km NNE of Bharatpur, Nepal</t>
        </is>
      </c>
      <c r="B344" s="33" t="n">
        <v>6.6</v>
      </c>
      <c r="C344" s="33" t="inlineStr">
        <is>
          <t>25/04/2015 06:45</t>
        </is>
      </c>
      <c r="D344" s="33" t="n">
        <v>8</v>
      </c>
      <c r="E344" s="33" t="n">
        <v>7</v>
      </c>
      <c r="F344" s="33" t="inlineStr">
        <is>
          <t>yellow</t>
        </is>
      </c>
      <c r="G344" s="33" t="n">
        <v>0</v>
      </c>
      <c r="H344" s="33" t="n">
        <v>733</v>
      </c>
      <c r="I344" s="33" t="inlineStr">
        <is>
          <t>us</t>
        </is>
      </c>
      <c r="J344" s="33" t="n">
        <v>0</v>
      </c>
      <c r="K344" s="33" t="n">
        <v>1.778</v>
      </c>
      <c r="L344" s="33" t="n">
        <v>16</v>
      </c>
      <c r="M344" s="33" t="inlineStr">
        <is>
          <t>mww</t>
        </is>
      </c>
      <c r="N344" s="33" t="n">
        <v>10</v>
      </c>
      <c r="O344" s="33" t="n">
        <v>28.2244</v>
      </c>
      <c r="P344" s="33" t="n">
        <v>84.8216</v>
      </c>
      <c r="Q344" s="33" t="inlineStr">
        <is>
          <t>Bharatpur, Nepal</t>
        </is>
      </c>
      <c r="R344" s="33" t="inlineStr">
        <is>
          <t>Asia</t>
        </is>
      </c>
      <c r="S344" s="33" t="inlineStr">
        <is>
          <t>Nepal</t>
        </is>
      </c>
      <c r="T344" s="36">
        <f>DATE(MID(C344,7,4),MID(C344,4,2),MID(C344,1,2))+TIME(MID(C344,12,2),MID(C344,15,2),0)</f>
        <v/>
      </c>
      <c r="U344" s="33">
        <f>IF(ISNUMBER(VALUE(MID(A344,7,1))),"Distance-prefix pattern","Named-region pattern")</f>
        <v/>
      </c>
      <c r="V344" s="33">
        <f>LOWER(M344)</f>
        <v/>
      </c>
      <c r="W344" s="33">
        <f>IF(COUNTIFS($A$2:$A$1001,A344,$C$2:$C$1001,C344)&gt;1,"Duplicate","Unique")</f>
        <v/>
      </c>
      <c r="X344" s="33">
        <f>YEAR(T344)</f>
        <v/>
      </c>
      <c r="Y344" s="33">
        <f>IF(B344&lt;6.5,"&lt;6.5",IF(B344&lt;7,"6.5–6.9",IF(B344&lt;7.5,"7.0–7.4",IF(B344&lt;8,"7.5–7.9","8.0+"))))</f>
        <v/>
      </c>
      <c r="Z344" s="33">
        <f>IF(F344="","Blank",F344)</f>
        <v/>
      </c>
    </row>
    <row r="345" ht="15" customHeight="1" s="34">
      <c r="A345" s="33" t="inlineStr">
        <is>
          <t>M 7.8 - 67 km NNE of Bharatpur, Nepal</t>
        </is>
      </c>
      <c r="B345" s="33" t="n">
        <v>7.8</v>
      </c>
      <c r="C345" s="33" t="inlineStr">
        <is>
          <t>25/04/2015 06:11</t>
        </is>
      </c>
      <c r="D345" s="33" t="n">
        <v>8</v>
      </c>
      <c r="E345" s="33" t="n">
        <v>9</v>
      </c>
      <c r="F345" s="33" t="inlineStr">
        <is>
          <t>red</t>
        </is>
      </c>
      <c r="G345" s="33" t="n">
        <v>0</v>
      </c>
      <c r="H345" s="33" t="n">
        <v>2820</v>
      </c>
      <c r="I345" s="33" t="inlineStr">
        <is>
          <t>us</t>
        </is>
      </c>
      <c r="J345" s="33" t="n">
        <v>0</v>
      </c>
      <c r="K345" s="33" t="n">
        <v>1.857</v>
      </c>
      <c r="L345" s="33" t="n">
        <v>12</v>
      </c>
      <c r="M345" s="33" t="inlineStr">
        <is>
          <t>mww</t>
        </is>
      </c>
      <c r="N345" s="33" t="n">
        <v>8.220000000000001</v>
      </c>
      <c r="O345" s="33" t="n">
        <v>28.2305</v>
      </c>
      <c r="P345" s="33" t="n">
        <v>84.73139999999999</v>
      </c>
      <c r="Q345" s="33" t="inlineStr">
        <is>
          <t>Bharatpur, Nepal</t>
        </is>
      </c>
      <c r="R345" s="33" t="inlineStr">
        <is>
          <t>Asia</t>
        </is>
      </c>
      <c r="S345" s="33" t="inlineStr">
        <is>
          <t>Nepal</t>
        </is>
      </c>
      <c r="T345" s="36">
        <f>DATE(MID(C345,7,4),MID(C345,4,2),MID(C345,1,2))+TIME(MID(C345,12,2),MID(C345,15,2),0)</f>
        <v/>
      </c>
      <c r="U345" s="33">
        <f>IF(ISNUMBER(VALUE(MID(A345,7,1))),"Distance-prefix pattern","Named-region pattern")</f>
        <v/>
      </c>
      <c r="V345" s="33">
        <f>LOWER(M345)</f>
        <v/>
      </c>
      <c r="W345" s="33">
        <f>IF(COUNTIFS($A$2:$A$1001,A345,$C$2:$C$1001,C345)&gt;1,"Duplicate","Unique")</f>
        <v/>
      </c>
      <c r="X345" s="33">
        <f>YEAR(T345)</f>
        <v/>
      </c>
      <c r="Y345" s="33">
        <f>IF(B345&lt;6.5,"&lt;6.5",IF(B345&lt;7,"6.5–6.9",IF(B345&lt;7.5,"7.0–7.4",IF(B345&lt;8,"7.5–7.9","8.0+"))))</f>
        <v/>
      </c>
      <c r="Z345" s="33">
        <f>IF(F345="","Blank",F345)</f>
        <v/>
      </c>
    </row>
    <row r="346" ht="15" customHeight="1" s="34">
      <c r="A346" s="33" t="inlineStr">
        <is>
          <t>M 6.5 - 181 km SSW of Alo, Wallis and Futuna</t>
        </is>
      </c>
      <c r="B346" s="33" t="n">
        <v>6.5</v>
      </c>
      <c r="C346" s="33" t="inlineStr">
        <is>
          <t>17/04/2015 15:52</t>
        </is>
      </c>
      <c r="D346" s="33" t="n">
        <v>0</v>
      </c>
      <c r="E346" s="33" t="n">
        <v>5</v>
      </c>
      <c r="F346" s="33" t="inlineStr">
        <is>
          <t>green</t>
        </is>
      </c>
      <c r="G346" s="33" t="n">
        <v>1</v>
      </c>
      <c r="H346" s="33" t="n">
        <v>650</v>
      </c>
      <c r="I346" s="33" t="inlineStr">
        <is>
          <t>us</t>
        </is>
      </c>
      <c r="J346" s="33" t="n">
        <v>0</v>
      </c>
      <c r="K346" s="33" t="n">
        <v>3.702</v>
      </c>
      <c r="L346" s="33" t="n">
        <v>42</v>
      </c>
      <c r="M346" s="33" t="inlineStr">
        <is>
          <t>mww</t>
        </is>
      </c>
      <c r="N346" s="33" t="n">
        <v>10</v>
      </c>
      <c r="O346" s="33" t="n">
        <v>-15.8815</v>
      </c>
      <c r="P346" s="33" t="n">
        <v>-178.6</v>
      </c>
      <c r="Q346" s="33" t="inlineStr">
        <is>
          <t>Alo, Wallis and Futuna</t>
        </is>
      </c>
      <c r="T346" s="36">
        <f>DATE(MID(C346,7,4),MID(C346,4,2),MID(C346,1,2))+TIME(MID(C346,12,2),MID(C346,15,2),0)</f>
        <v/>
      </c>
      <c r="U346" s="33">
        <f>IF(ISNUMBER(VALUE(MID(A346,7,1))),"Distance-prefix pattern","Named-region pattern")</f>
        <v/>
      </c>
      <c r="V346" s="33">
        <f>LOWER(M346)</f>
        <v/>
      </c>
      <c r="W346" s="33">
        <f>IF(COUNTIFS($A$2:$A$1001,A346,$C$2:$C$1001,C346)&gt;1,"Duplicate","Unique")</f>
        <v/>
      </c>
      <c r="X346" s="33">
        <f>YEAR(T346)</f>
        <v/>
      </c>
      <c r="Y346" s="33">
        <f>IF(B346&lt;6.5,"&lt;6.5",IF(B346&lt;7,"6.5–6.9",IF(B346&lt;7.5,"7.0–7.4",IF(B346&lt;8,"7.5–7.9","8.0+"))))</f>
        <v/>
      </c>
      <c r="Z346" s="33">
        <f>IF(F346="","Blank",F346)</f>
        <v/>
      </c>
    </row>
    <row r="347" ht="15" customHeight="1" s="34">
      <c r="A347" s="33" t="inlineStr">
        <is>
          <t>M 6.5 - 96 km ENE of Hihifo, Tonga</t>
        </is>
      </c>
      <c r="B347" s="33" t="n">
        <v>6.5</v>
      </c>
      <c r="C347" s="33" t="inlineStr">
        <is>
          <t>30/03/2015 08:48</t>
        </is>
      </c>
      <c r="D347" s="33" t="n">
        <v>2</v>
      </c>
      <c r="E347" s="33" t="n">
        <v>5</v>
      </c>
      <c r="F347" s="33" t="inlineStr">
        <is>
          <t>green</t>
        </is>
      </c>
      <c r="G347" s="33" t="n">
        <v>1</v>
      </c>
      <c r="H347" s="33" t="n">
        <v>650</v>
      </c>
      <c r="I347" s="33" t="inlineStr">
        <is>
          <t>us</t>
        </is>
      </c>
      <c r="J347" s="33" t="n">
        <v>0</v>
      </c>
      <c r="K347" s="33" t="n">
        <v>4.629</v>
      </c>
      <c r="L347" s="33" t="n">
        <v>36</v>
      </c>
      <c r="M347" s="33" t="inlineStr">
        <is>
          <t>mww</t>
        </is>
      </c>
      <c r="N347" s="33" t="n">
        <v>11</v>
      </c>
      <c r="O347" s="33" t="n">
        <v>-15.4994</v>
      </c>
      <c r="P347" s="33" t="n">
        <v>-173.029</v>
      </c>
      <c r="Q347" s="33" t="inlineStr">
        <is>
          <t>Hihifo, Tonga</t>
        </is>
      </c>
      <c r="T347" s="36">
        <f>DATE(MID(C347,7,4),MID(C347,4,2),MID(C347,1,2))+TIME(MID(C347,12,2),MID(C347,15,2),0)</f>
        <v/>
      </c>
      <c r="U347" s="33">
        <f>IF(ISNUMBER(VALUE(MID(A347,7,1))),"Distance-prefix pattern","Named-region pattern")</f>
        <v/>
      </c>
      <c r="V347" s="33">
        <f>LOWER(M347)</f>
        <v/>
      </c>
      <c r="W347" s="33">
        <f>IF(COUNTIFS($A$2:$A$1001,A347,$C$2:$C$1001,C347)&gt;1,"Duplicate","Unique")</f>
        <v/>
      </c>
      <c r="X347" s="33">
        <f>YEAR(T347)</f>
        <v/>
      </c>
      <c r="Y347" s="33">
        <f>IF(B347&lt;6.5,"&lt;6.5",IF(B347&lt;7,"6.5–6.9",IF(B347&lt;7.5,"7.0–7.4",IF(B347&lt;8,"7.5–7.9","8.0+"))))</f>
        <v/>
      </c>
      <c r="Z347" s="33">
        <f>IF(F347="","Blank",F347)</f>
        <v/>
      </c>
    </row>
    <row r="348" ht="15" customHeight="1" s="34">
      <c r="A348" s="33" t="inlineStr">
        <is>
          <t>M 7.5 - 53 km SE of Kokopo, Papua New Guinea</t>
        </is>
      </c>
      <c r="B348" s="33" t="n">
        <v>7.5</v>
      </c>
      <c r="C348" s="33" t="inlineStr">
        <is>
          <t>29/03/2015 23:48</t>
        </is>
      </c>
      <c r="D348" s="33" t="n">
        <v>6</v>
      </c>
      <c r="E348" s="33" t="n">
        <v>7</v>
      </c>
      <c r="F348" s="33" t="inlineStr">
        <is>
          <t>green</t>
        </is>
      </c>
      <c r="G348" s="33" t="n">
        <v>1</v>
      </c>
      <c r="H348" s="33" t="n">
        <v>872</v>
      </c>
      <c r="I348" s="33" t="inlineStr">
        <is>
          <t>us</t>
        </is>
      </c>
      <c r="J348" s="33" t="n">
        <v>0</v>
      </c>
      <c r="K348" s="33" t="n">
        <v>0.666</v>
      </c>
      <c r="L348" s="33" t="n">
        <v>19</v>
      </c>
      <c r="M348" s="33" t="inlineStr">
        <is>
          <t>mww</t>
        </is>
      </c>
      <c r="N348" s="33" t="n">
        <v>41</v>
      </c>
      <c r="O348" s="33" t="n">
        <v>-4.7294</v>
      </c>
      <c r="P348" s="33" t="n">
        <v>152.562</v>
      </c>
      <c r="Q348" s="33" t="inlineStr">
        <is>
          <t>Kokopo, Papua New Guinea</t>
        </is>
      </c>
      <c r="S348" s="33" t="inlineStr">
        <is>
          <t>Papua New Guinea</t>
        </is>
      </c>
      <c r="T348" s="36">
        <f>DATE(MID(C348,7,4),MID(C348,4,2),MID(C348,1,2))+TIME(MID(C348,12,2),MID(C348,15,2),0)</f>
        <v/>
      </c>
      <c r="U348" s="33">
        <f>IF(ISNUMBER(VALUE(MID(A348,7,1))),"Distance-prefix pattern","Named-region pattern")</f>
        <v/>
      </c>
      <c r="V348" s="33">
        <f>LOWER(M348)</f>
        <v/>
      </c>
      <c r="W348" s="33">
        <f>IF(COUNTIFS($A$2:$A$1001,A348,$C$2:$C$1001,C348)&gt;1,"Duplicate","Unique")</f>
        <v/>
      </c>
      <c r="X348" s="33">
        <f>YEAR(T348)</f>
        <v/>
      </c>
      <c r="Y348" s="33">
        <f>IF(B348&lt;6.5,"&lt;6.5",IF(B348&lt;7,"6.5–6.9",IF(B348&lt;7.5,"7.0–7.4",IF(B348&lt;8,"7.5–7.9","8.0+"))))</f>
        <v/>
      </c>
      <c r="Z348" s="33">
        <f>IF(F348="","Blank",F348)</f>
        <v/>
      </c>
    </row>
    <row r="349" ht="15" customHeight="1" s="34">
      <c r="A349" s="33" t="inlineStr">
        <is>
          <t>M 7.0 - 150 km NNE of Maumere, Indonesia</t>
        </is>
      </c>
      <c r="B349" s="33" t="n">
        <v>7</v>
      </c>
      <c r="C349" s="33" t="inlineStr">
        <is>
          <t>27/02/2015 13:45</t>
        </is>
      </c>
      <c r="D349" s="33" t="n">
        <v>4</v>
      </c>
      <c r="E349" s="33" t="n">
        <v>6</v>
      </c>
      <c r="F349" s="33" t="inlineStr">
        <is>
          <t>green</t>
        </is>
      </c>
      <c r="G349" s="33" t="n">
        <v>0</v>
      </c>
      <c r="H349" s="33" t="n">
        <v>760</v>
      </c>
      <c r="I349" s="33" t="inlineStr">
        <is>
          <t>us</t>
        </is>
      </c>
      <c r="J349" s="33" t="n">
        <v>0</v>
      </c>
      <c r="K349" s="33" t="n">
        <v>1.362</v>
      </c>
      <c r="L349" s="33" t="n">
        <v>12</v>
      </c>
      <c r="M349" s="33" t="inlineStr">
        <is>
          <t>mww</t>
        </is>
      </c>
      <c r="N349" s="33" t="n">
        <v>552.0599999999999</v>
      </c>
      <c r="O349" s="33" t="n">
        <v>-7.2968</v>
      </c>
      <c r="P349" s="33" t="n">
        <v>122.535</v>
      </c>
      <c r="Q349" s="33" t="inlineStr">
        <is>
          <t>Maumere, Indonesia</t>
        </is>
      </c>
      <c r="S349" s="33" t="inlineStr">
        <is>
          <t>Indonesia</t>
        </is>
      </c>
      <c r="T349" s="36">
        <f>DATE(MID(C349,7,4),MID(C349,4,2),MID(C349,1,2))+TIME(MID(C349,12,2),MID(C349,15,2),0)</f>
        <v/>
      </c>
      <c r="U349" s="33">
        <f>IF(ISNUMBER(VALUE(MID(A349,7,1))),"Distance-prefix pattern","Named-region pattern")</f>
        <v/>
      </c>
      <c r="V349" s="33">
        <f>LOWER(M349)</f>
        <v/>
      </c>
      <c r="W349" s="33">
        <f>IF(COUNTIFS($A$2:$A$1001,A349,$C$2:$C$1001,C349)&gt;1,"Duplicate","Unique")</f>
        <v/>
      </c>
      <c r="X349" s="33">
        <f>YEAR(T349)</f>
        <v/>
      </c>
      <c r="Y349" s="33">
        <f>IF(B349&lt;6.5,"&lt;6.5",IF(B349&lt;7,"6.5–6.9",IF(B349&lt;7.5,"7.0–7.4",IF(B349&lt;8,"7.5–7.9","8.0+"))))</f>
        <v/>
      </c>
      <c r="Z349" s="33">
        <f>IF(F349="","Blank",F349)</f>
        <v/>
      </c>
    </row>
    <row r="350" ht="15" customHeight="1" s="34">
      <c r="A350" s="33" t="inlineStr">
        <is>
          <t>M 6.7 - 83 km ENE of Miyako, Japan</t>
        </is>
      </c>
      <c r="B350" s="33" t="n">
        <v>6.7</v>
      </c>
      <c r="C350" s="33" t="inlineStr">
        <is>
          <t>16/02/2015 23:06</t>
        </is>
      </c>
      <c r="D350" s="33" t="n">
        <v>5</v>
      </c>
      <c r="E350" s="33" t="n">
        <v>5</v>
      </c>
      <c r="F350" s="33" t="inlineStr">
        <is>
          <t>green</t>
        </is>
      </c>
      <c r="G350" s="33" t="n">
        <v>1</v>
      </c>
      <c r="H350" s="33" t="n">
        <v>714</v>
      </c>
      <c r="I350" s="33" t="inlineStr">
        <is>
          <t>us</t>
        </is>
      </c>
      <c r="J350" s="33" t="n">
        <v>0</v>
      </c>
      <c r="K350" s="33" t="n">
        <v>1.925</v>
      </c>
      <c r="L350" s="33" t="n">
        <v>20</v>
      </c>
      <c r="M350" s="33" t="inlineStr">
        <is>
          <t>mww</t>
        </is>
      </c>
      <c r="N350" s="33" t="n">
        <v>23</v>
      </c>
      <c r="O350" s="33" t="n">
        <v>39.8558</v>
      </c>
      <c r="P350" s="33" t="n">
        <v>142.881</v>
      </c>
      <c r="Q350" s="33" t="inlineStr">
        <is>
          <t>Miyako, Japan</t>
        </is>
      </c>
      <c r="T350" s="36">
        <f>DATE(MID(C350,7,4),MID(C350,4,2),MID(C350,1,2))+TIME(MID(C350,12,2),MID(C350,15,2),0)</f>
        <v/>
      </c>
      <c r="U350" s="33">
        <f>IF(ISNUMBER(VALUE(MID(A350,7,1))),"Distance-prefix pattern","Named-region pattern")</f>
        <v/>
      </c>
      <c r="V350" s="33">
        <f>LOWER(M350)</f>
        <v/>
      </c>
      <c r="W350" s="33">
        <f>IF(COUNTIFS($A$2:$A$1001,A350,$C$2:$C$1001,C350)&gt;1,"Duplicate","Unique")</f>
        <v/>
      </c>
      <c r="X350" s="33">
        <f>YEAR(T350)</f>
        <v/>
      </c>
      <c r="Y350" s="33">
        <f>IF(B350&lt;6.5,"&lt;6.5",IF(B350&lt;7,"6.5–6.9",IF(B350&lt;7.5,"7.0–7.4",IF(B350&lt;8,"7.5–7.9","8.0+"))))</f>
        <v/>
      </c>
      <c r="Z350" s="33">
        <f>IF(F350="","Blank",F350)</f>
        <v/>
      </c>
    </row>
    <row r="351" ht="15" customHeight="1" s="34">
      <c r="A351" s="33" t="inlineStr">
        <is>
          <t>M 6.7 - 103 km W of El Aguilar, Argentina</t>
        </is>
      </c>
      <c r="B351" s="33" t="n">
        <v>6.7</v>
      </c>
      <c r="C351" s="33" t="inlineStr">
        <is>
          <t>11/02/2015 18:57</t>
        </is>
      </c>
      <c r="D351" s="33" t="n">
        <v>4</v>
      </c>
      <c r="E351" s="33" t="n">
        <v>6</v>
      </c>
      <c r="F351" s="33" t="inlineStr">
        <is>
          <t>green</t>
        </is>
      </c>
      <c r="G351" s="33" t="n">
        <v>1</v>
      </c>
      <c r="H351" s="33" t="n">
        <v>700</v>
      </c>
      <c r="I351" s="33" t="inlineStr">
        <is>
          <t>us</t>
        </is>
      </c>
      <c r="J351" s="33" t="n">
        <v>0</v>
      </c>
      <c r="K351" s="33" t="n">
        <v>2.11</v>
      </c>
      <c r="L351" s="33" t="n">
        <v>16</v>
      </c>
      <c r="M351" s="33" t="inlineStr">
        <is>
          <t>mww</t>
        </is>
      </c>
      <c r="N351" s="33" t="n">
        <v>223</v>
      </c>
      <c r="O351" s="33" t="n">
        <v>-23.1125</v>
      </c>
      <c r="P351" s="33" t="n">
        <v>-66.688</v>
      </c>
      <c r="Q351" s="33" t="inlineStr">
        <is>
          <t>El Aguilar, Argentina</t>
        </is>
      </c>
      <c r="R351" s="33" t="inlineStr">
        <is>
          <t>South America</t>
        </is>
      </c>
      <c r="S351" s="33" t="inlineStr">
        <is>
          <t>Argentina</t>
        </is>
      </c>
      <c r="T351" s="36">
        <f>DATE(MID(C351,7,4),MID(C351,4,2),MID(C351,1,2))+TIME(MID(C351,12,2),MID(C351,15,2),0)</f>
        <v/>
      </c>
      <c r="U351" s="33">
        <f>IF(ISNUMBER(VALUE(MID(A351,7,1))),"Distance-prefix pattern","Named-region pattern")</f>
        <v/>
      </c>
      <c r="V351" s="33">
        <f>LOWER(M351)</f>
        <v/>
      </c>
      <c r="W351" s="33">
        <f>IF(COUNTIFS($A$2:$A$1001,A351,$C$2:$C$1001,C351)&gt;1,"Duplicate","Unique")</f>
        <v/>
      </c>
      <c r="X351" s="33">
        <f>YEAR(T351)</f>
        <v/>
      </c>
      <c r="Y351" s="33">
        <f>IF(B351&lt;6.5,"&lt;6.5",IF(B351&lt;7,"6.5–6.9",IF(B351&lt;7.5,"7.0–7.4",IF(B351&lt;8,"7.5–7.9","8.0+"))))</f>
        <v/>
      </c>
      <c r="Z351" s="33">
        <f>IF(F351="","Blank",F351)</f>
        <v/>
      </c>
    </row>
    <row r="352" ht="15" customHeight="1" s="34">
      <c r="A352" s="33" t="inlineStr">
        <is>
          <t>M 6.8 - 81 km NNE of Port-Vila, Vanuatu</t>
        </is>
      </c>
      <c r="B352" s="33" t="n">
        <v>6.8</v>
      </c>
      <c r="C352" s="33" t="inlineStr">
        <is>
          <t>23/01/2015 03:47</t>
        </is>
      </c>
      <c r="D352" s="33" t="n">
        <v>1</v>
      </c>
      <c r="E352" s="33" t="n">
        <v>4</v>
      </c>
      <c r="F352" s="33" t="inlineStr">
        <is>
          <t>green</t>
        </is>
      </c>
      <c r="G352" s="33" t="n">
        <v>1</v>
      </c>
      <c r="H352" s="33" t="n">
        <v>711</v>
      </c>
      <c r="I352" s="33" t="inlineStr">
        <is>
          <t>us</t>
        </is>
      </c>
      <c r="J352" s="33" t="n">
        <v>0</v>
      </c>
      <c r="K352" s="33" t="n">
        <v>2.019</v>
      </c>
      <c r="L352" s="33" t="n">
        <v>13</v>
      </c>
      <c r="M352" s="33" t="inlineStr">
        <is>
          <t>mww</t>
        </is>
      </c>
      <c r="N352" s="33" t="n">
        <v>219.96</v>
      </c>
      <c r="O352" s="33" t="n">
        <v>-17.0309</v>
      </c>
      <c r="P352" s="33" t="n">
        <v>168.52</v>
      </c>
      <c r="Q352" s="33" t="inlineStr">
        <is>
          <t>Port-Vila, Vanuatu</t>
        </is>
      </c>
      <c r="S352" s="33" t="inlineStr">
        <is>
          <t>Vanuatu</t>
        </is>
      </c>
      <c r="T352" s="36">
        <f>DATE(MID(C352,7,4),MID(C352,4,2),MID(C352,1,2))+TIME(MID(C352,12,2),MID(C352,15,2),0)</f>
        <v/>
      </c>
      <c r="U352" s="33">
        <f>IF(ISNUMBER(VALUE(MID(A352,7,1))),"Distance-prefix pattern","Named-region pattern")</f>
        <v/>
      </c>
      <c r="V352" s="33">
        <f>LOWER(M352)</f>
        <v/>
      </c>
      <c r="W352" s="33">
        <f>IF(COUNTIFS($A$2:$A$1001,A352,$C$2:$C$1001,C352)&gt;1,"Duplicate","Unique")</f>
        <v/>
      </c>
      <c r="X352" s="33">
        <f>YEAR(T352)</f>
        <v/>
      </c>
      <c r="Y352" s="33">
        <f>IF(B352&lt;6.5,"&lt;6.5",IF(B352&lt;7,"6.5–6.9",IF(B352&lt;7.5,"7.0–7.4",IF(B352&lt;8,"7.5–7.9","8.0+"))))</f>
        <v/>
      </c>
      <c r="Z352" s="33">
        <f>IF(F352="","Blank",F352)</f>
        <v/>
      </c>
    </row>
    <row r="353" ht="15" customHeight="1" s="34">
      <c r="A353" s="33" t="inlineStr">
        <is>
          <t>M 6.5 - 236 km S of Punta de Burica, Panama</t>
        </is>
      </c>
      <c r="B353" s="33" t="n">
        <v>6.5</v>
      </c>
      <c r="C353" s="33" t="inlineStr">
        <is>
          <t>07/01/2015 05:07</t>
        </is>
      </c>
      <c r="D353" s="33" t="n">
        <v>1</v>
      </c>
      <c r="E353" s="33" t="n">
        <v>4</v>
      </c>
      <c r="F353" s="33" t="inlineStr">
        <is>
          <t>green</t>
        </is>
      </c>
      <c r="G353" s="33" t="n">
        <v>1</v>
      </c>
      <c r="H353" s="33" t="n">
        <v>650</v>
      </c>
      <c r="I353" s="33" t="inlineStr">
        <is>
          <t>us</t>
        </is>
      </c>
      <c r="J353" s="33" t="n">
        <v>0</v>
      </c>
      <c r="K353" s="33" t="n">
        <v>4.318</v>
      </c>
      <c r="L353" s="33" t="n">
        <v>61</v>
      </c>
      <c r="M353" s="33" t="inlineStr">
        <is>
          <t>mww</t>
        </is>
      </c>
      <c r="N353" s="33" t="n">
        <v>8</v>
      </c>
      <c r="O353" s="33" t="n">
        <v>5.9045</v>
      </c>
      <c r="P353" s="33" t="n">
        <v>-82.6576</v>
      </c>
      <c r="Q353" s="33" t="inlineStr">
        <is>
          <t>Punta de Burica, Panama</t>
        </is>
      </c>
      <c r="T353" s="36">
        <f>DATE(MID(C353,7,4),MID(C353,4,2),MID(C353,1,2))+TIME(MID(C353,12,2),MID(C353,15,2),0)</f>
        <v/>
      </c>
      <c r="U353" s="33">
        <f>IF(ISNUMBER(VALUE(MID(A353,7,1))),"Distance-prefix pattern","Named-region pattern")</f>
        <v/>
      </c>
      <c r="V353" s="33">
        <f>LOWER(M353)</f>
        <v/>
      </c>
      <c r="W353" s="33">
        <f>IF(COUNTIFS($A$2:$A$1001,A353,$C$2:$C$1001,C353)&gt;1,"Duplicate","Unique")</f>
        <v/>
      </c>
      <c r="X353" s="33">
        <f>YEAR(T353)</f>
        <v/>
      </c>
      <c r="Y353" s="33">
        <f>IF(B353&lt;6.5,"&lt;6.5",IF(B353&lt;7,"6.5–6.9",IF(B353&lt;7.5,"7.0–7.4",IF(B353&lt;8,"7.5–7.9","8.0+"))))</f>
        <v/>
      </c>
      <c r="Z353" s="33">
        <f>IF(F353="","Blank",F353)</f>
        <v/>
      </c>
    </row>
    <row r="354" ht="15" customHeight="1" s="34">
      <c r="A354" s="33" t="inlineStr">
        <is>
          <t>M 6.6 - 22 km ESE of Punta de Burica, Panama</t>
        </is>
      </c>
      <c r="B354" s="33" t="n">
        <v>6.6</v>
      </c>
      <c r="C354" s="33" t="inlineStr">
        <is>
          <t>08/12/2014 08:54</t>
        </is>
      </c>
      <c r="D354" s="33" t="n">
        <v>7</v>
      </c>
      <c r="E354" s="33" t="n">
        <v>6</v>
      </c>
      <c r="F354" s="33" t="inlineStr">
        <is>
          <t>green</t>
        </is>
      </c>
      <c r="G354" s="33" t="n">
        <v>1</v>
      </c>
      <c r="H354" s="33" t="n">
        <v>709</v>
      </c>
      <c r="I354" s="33" t="inlineStr">
        <is>
          <t>us</t>
        </is>
      </c>
      <c r="J354" s="33" t="n">
        <v>0</v>
      </c>
      <c r="K354" s="33" t="n">
        <v>2.485</v>
      </c>
      <c r="L354" s="33" t="n">
        <v>43</v>
      </c>
      <c r="M354" s="33" t="inlineStr">
        <is>
          <t>mww</t>
        </is>
      </c>
      <c r="N354" s="33" t="n">
        <v>20</v>
      </c>
      <c r="O354" s="33" t="n">
        <v>7.9401</v>
      </c>
      <c r="P354" s="33" t="n">
        <v>-82.6865</v>
      </c>
      <c r="Q354" s="33" t="inlineStr">
        <is>
          <t>Punta de Burica, Panama</t>
        </is>
      </c>
      <c r="S354" s="33" t="inlineStr">
        <is>
          <t>Panama</t>
        </is>
      </c>
      <c r="T354" s="36">
        <f>DATE(MID(C354,7,4),MID(C354,4,2),MID(C354,1,2))+TIME(MID(C354,12,2),MID(C354,15,2),0)</f>
        <v/>
      </c>
      <c r="U354" s="33">
        <f>IF(ISNUMBER(VALUE(MID(A354,7,1))),"Distance-prefix pattern","Named-region pattern")</f>
        <v/>
      </c>
      <c r="V354" s="33">
        <f>LOWER(M354)</f>
        <v/>
      </c>
      <c r="W354" s="33">
        <f>IF(COUNTIFS($A$2:$A$1001,A354,$C$2:$C$1001,C354)&gt;1,"Duplicate","Unique")</f>
        <v/>
      </c>
      <c r="X354" s="33">
        <f>YEAR(T354)</f>
        <v/>
      </c>
      <c r="Y354" s="33">
        <f>IF(B354&lt;6.5,"&lt;6.5",IF(B354&lt;7,"6.5–6.9",IF(B354&lt;7.5,"7.0–7.4",IF(B354&lt;8,"7.5–7.9","8.0+"))))</f>
        <v/>
      </c>
      <c r="Z354" s="33">
        <f>IF(F354="","Blank",F354)</f>
        <v/>
      </c>
    </row>
    <row r="355" ht="15" customHeight="1" s="34">
      <c r="A355" s="33" t="inlineStr">
        <is>
          <t>M 6.6 - 115 km W of Panguna, Papua New Guinea</t>
        </is>
      </c>
      <c r="B355" s="33" t="n">
        <v>6.6</v>
      </c>
      <c r="C355" s="33" t="inlineStr">
        <is>
          <t>07/12/2014 01:22</t>
        </is>
      </c>
      <c r="D355" s="33" t="n">
        <v>1</v>
      </c>
      <c r="E355" s="33" t="n">
        <v>5</v>
      </c>
      <c r="F355" s="33" t="inlineStr">
        <is>
          <t>green</t>
        </is>
      </c>
      <c r="G355" s="33" t="n">
        <v>1</v>
      </c>
      <c r="H355" s="33" t="n">
        <v>670</v>
      </c>
      <c r="I355" s="33" t="inlineStr">
        <is>
          <t>us</t>
        </is>
      </c>
      <c r="J355" s="33" t="n">
        <v>0</v>
      </c>
      <c r="K355" s="33" t="n">
        <v>3.246</v>
      </c>
      <c r="L355" s="33" t="n">
        <v>12</v>
      </c>
      <c r="M355" s="33" t="inlineStr">
        <is>
          <t>mww</t>
        </is>
      </c>
      <c r="N355" s="33" t="n">
        <v>23</v>
      </c>
      <c r="O355" s="33" t="n">
        <v>-6.5108</v>
      </c>
      <c r="P355" s="33" t="n">
        <v>154.46</v>
      </c>
      <c r="Q355" s="33" t="inlineStr">
        <is>
          <t>Panguna, Papua New Guinea</t>
        </is>
      </c>
      <c r="T355" s="36">
        <f>DATE(MID(C355,7,4),MID(C355,4,2),MID(C355,1,2))+TIME(MID(C355,12,2),MID(C355,15,2),0)</f>
        <v/>
      </c>
      <c r="U355" s="33">
        <f>IF(ISNUMBER(VALUE(MID(A355,7,1))),"Distance-prefix pattern","Named-region pattern")</f>
        <v/>
      </c>
      <c r="V355" s="33">
        <f>LOWER(M355)</f>
        <v/>
      </c>
      <c r="W355" s="33">
        <f>IF(COUNTIFS($A$2:$A$1001,A355,$C$2:$C$1001,C355)&gt;1,"Duplicate","Unique")</f>
        <v/>
      </c>
      <c r="X355" s="33">
        <f>YEAR(T355)</f>
        <v/>
      </c>
      <c r="Y355" s="33">
        <f>IF(B355&lt;6.5,"&lt;6.5",IF(B355&lt;7,"6.5–6.9",IF(B355&lt;7.5,"7.0–7.4",IF(B355&lt;8,"7.5–7.9","8.0+"))))</f>
        <v/>
      </c>
      <c r="Z355" s="33">
        <f>IF(F355="","Blank",F355)</f>
        <v/>
      </c>
    </row>
    <row r="356" ht="15" customHeight="1" s="34">
      <c r="A356" s="33" t="inlineStr">
        <is>
          <t>M 6.6 - 106 km WSW of Sangay, Philippines</t>
        </is>
      </c>
      <c r="B356" s="33" t="n">
        <v>6.6</v>
      </c>
      <c r="C356" s="33" t="inlineStr">
        <is>
          <t>02/12/2014 05:11</t>
        </is>
      </c>
      <c r="D356" s="33" t="n">
        <v>1</v>
      </c>
      <c r="E356" s="33" t="n">
        <v>3</v>
      </c>
      <c r="F356" s="33" t="inlineStr">
        <is>
          <t>green</t>
        </is>
      </c>
      <c r="G356" s="33" t="n">
        <v>0</v>
      </c>
      <c r="H356" s="33" t="n">
        <v>670</v>
      </c>
      <c r="I356" s="33" t="inlineStr">
        <is>
          <t>us</t>
        </is>
      </c>
      <c r="J356" s="33" t="n">
        <v>0</v>
      </c>
      <c r="K356" s="33" t="n">
        <v>2.6</v>
      </c>
      <c r="L356" s="33" t="n">
        <v>9</v>
      </c>
      <c r="M356" s="33" t="inlineStr">
        <is>
          <t>mww</t>
        </is>
      </c>
      <c r="N356" s="33" t="n">
        <v>614</v>
      </c>
      <c r="O356" s="33" t="n">
        <v>6.1572</v>
      </c>
      <c r="P356" s="33" t="n">
        <v>123.126</v>
      </c>
      <c r="Q356" s="33" t="inlineStr">
        <is>
          <t>Sangay, Philippines</t>
        </is>
      </c>
      <c r="S356" s="33" t="inlineStr">
        <is>
          <t>Philippines</t>
        </is>
      </c>
      <c r="T356" s="36">
        <f>DATE(MID(C356,7,4),MID(C356,4,2),MID(C356,1,2))+TIME(MID(C356,12,2),MID(C356,15,2),0)</f>
        <v/>
      </c>
      <c r="U356" s="33">
        <f>IF(ISNUMBER(VALUE(MID(A356,7,1))),"Distance-prefix pattern","Named-region pattern")</f>
        <v/>
      </c>
      <c r="V356" s="33">
        <f>LOWER(M356)</f>
        <v/>
      </c>
      <c r="W356" s="33">
        <f>IF(COUNTIFS($A$2:$A$1001,A356,$C$2:$C$1001,C356)&gt;1,"Duplicate","Unique")</f>
        <v/>
      </c>
      <c r="X356" s="33">
        <f>YEAR(T356)</f>
        <v/>
      </c>
      <c r="Y356" s="33">
        <f>IF(B356&lt;6.5,"&lt;6.5",IF(B356&lt;7,"6.5–6.9",IF(B356&lt;7.5,"7.0–7.4",IF(B356&lt;8,"7.5–7.9","8.0+"))))</f>
        <v/>
      </c>
      <c r="Z356" s="33">
        <f>IF(F356="","Blank",F356)</f>
        <v/>
      </c>
    </row>
    <row r="357" ht="15" customHeight="1" s="34">
      <c r="A357" s="33" t="inlineStr">
        <is>
          <t>M 6.8 - 157 km NW of Ternate, Indonesia</t>
        </is>
      </c>
      <c r="B357" s="33" t="n">
        <v>6.8</v>
      </c>
      <c r="C357" s="33" t="inlineStr">
        <is>
          <t>26/11/2014 14:33</t>
        </is>
      </c>
      <c r="D357" s="33" t="n">
        <v>6</v>
      </c>
      <c r="E357" s="33" t="n">
        <v>5</v>
      </c>
      <c r="F357" s="33" t="inlineStr">
        <is>
          <t>green</t>
        </is>
      </c>
      <c r="G357" s="33" t="n">
        <v>1</v>
      </c>
      <c r="H357" s="33" t="n">
        <v>713</v>
      </c>
      <c r="I357" s="33" t="inlineStr">
        <is>
          <t>us</t>
        </is>
      </c>
      <c r="J357" s="33" t="n">
        <v>0</v>
      </c>
      <c r="K357" s="33" t="n">
        <v>1.421</v>
      </c>
      <c r="L357" s="33" t="n">
        <v>19</v>
      </c>
      <c r="M357" s="33" t="inlineStr">
        <is>
          <t>mww</t>
        </is>
      </c>
      <c r="N357" s="33" t="n">
        <v>39</v>
      </c>
      <c r="O357" s="33" t="n">
        <v>1.9604</v>
      </c>
      <c r="P357" s="33" t="n">
        <v>126.575</v>
      </c>
      <c r="Q357" s="33" t="inlineStr">
        <is>
          <t>Ternate, Indonesia</t>
        </is>
      </c>
      <c r="S357" s="33" t="inlineStr">
        <is>
          <t>Indonesia</t>
        </is>
      </c>
      <c r="T357" s="36">
        <f>DATE(MID(C357,7,4),MID(C357,4,2),MID(C357,1,2))+TIME(MID(C357,12,2),MID(C357,15,2),0)</f>
        <v/>
      </c>
      <c r="U357" s="33">
        <f>IF(ISNUMBER(VALUE(MID(A357,7,1))),"Distance-prefix pattern","Named-region pattern")</f>
        <v/>
      </c>
      <c r="V357" s="33">
        <f>LOWER(M357)</f>
        <v/>
      </c>
      <c r="W357" s="33">
        <f>IF(COUNTIFS($A$2:$A$1001,A357,$C$2:$C$1001,C357)&gt;1,"Duplicate","Unique")</f>
        <v/>
      </c>
      <c r="X357" s="33">
        <f>YEAR(T357)</f>
        <v/>
      </c>
      <c r="Y357" s="33">
        <f>IF(B357&lt;6.5,"&lt;6.5",IF(B357&lt;7,"6.5–6.9",IF(B357&lt;7.5,"7.0–7.4",IF(B357&lt;8,"7.5–7.9","8.0+"))))</f>
        <v/>
      </c>
      <c r="Z357" s="33">
        <f>IF(F357="","Blank",F357)</f>
        <v/>
      </c>
    </row>
    <row r="358" ht="15" customHeight="1" s="34">
      <c r="A358" s="33" t="inlineStr">
        <is>
          <t>M 6.5 - 123 km WNW of Tobelo, Indonesia</t>
        </is>
      </c>
      <c r="B358" s="33" t="n">
        <v>6.5</v>
      </c>
      <c r="C358" s="33" t="inlineStr">
        <is>
          <t>21/11/2014 10:10</t>
        </is>
      </c>
      <c r="D358" s="33" t="n">
        <v>5</v>
      </c>
      <c r="E358" s="33" t="n">
        <v>5</v>
      </c>
      <c r="F358" s="33" t="inlineStr">
        <is>
          <t>green</t>
        </is>
      </c>
      <c r="G358" s="33" t="n">
        <v>1</v>
      </c>
      <c r="H358" s="33" t="n">
        <v>652</v>
      </c>
      <c r="I358" s="33" t="inlineStr">
        <is>
          <t>us</t>
        </is>
      </c>
      <c r="J358" s="33" t="n">
        <v>0</v>
      </c>
      <c r="K358" s="33" t="n">
        <v>1.549</v>
      </c>
      <c r="L358" s="33" t="n">
        <v>9</v>
      </c>
      <c r="M358" s="33" t="inlineStr">
        <is>
          <t>mww</t>
        </is>
      </c>
      <c r="N358" s="33" t="n">
        <v>35</v>
      </c>
      <c r="O358" s="33" t="n">
        <v>2.2999</v>
      </c>
      <c r="P358" s="33" t="n">
        <v>127.056</v>
      </c>
      <c r="Q358" s="33" t="inlineStr">
        <is>
          <t>Tobelo, Indonesia</t>
        </is>
      </c>
      <c r="S358" s="33" t="inlineStr">
        <is>
          <t>Indonesia</t>
        </is>
      </c>
      <c r="T358" s="36">
        <f>DATE(MID(C358,7,4),MID(C358,4,2),MID(C358,1,2))+TIME(MID(C358,12,2),MID(C358,15,2),0)</f>
        <v/>
      </c>
      <c r="U358" s="33">
        <f>IF(ISNUMBER(VALUE(MID(A358,7,1))),"Distance-prefix pattern","Named-region pattern")</f>
        <v/>
      </c>
      <c r="V358" s="33">
        <f>LOWER(M358)</f>
        <v/>
      </c>
      <c r="W358" s="33">
        <f>IF(COUNTIFS($A$2:$A$1001,A358,$C$2:$C$1001,C358)&gt;1,"Duplicate","Unique")</f>
        <v/>
      </c>
      <c r="X358" s="33">
        <f>YEAR(T358)</f>
        <v/>
      </c>
      <c r="Y358" s="33">
        <f>IF(B358&lt;6.5,"&lt;6.5",IF(B358&lt;7,"6.5–6.9",IF(B358&lt;7.5,"7.0–7.4",IF(B358&lt;8,"7.5–7.9","8.0+"))))</f>
        <v/>
      </c>
      <c r="Z358" s="33">
        <f>IF(F358="","Blank",F358)</f>
        <v/>
      </c>
    </row>
    <row r="359" ht="15" customHeight="1" s="34">
      <c r="A359" s="33" t="inlineStr">
        <is>
          <t>M 6.7 - 183 km NE of Gisborne, New Zealand</t>
        </is>
      </c>
      <c r="B359" s="33" t="n">
        <v>6.7</v>
      </c>
      <c r="C359" s="33" t="inlineStr">
        <is>
          <t>16/11/2014 22:33</t>
        </is>
      </c>
      <c r="D359" s="33" t="n">
        <v>7</v>
      </c>
      <c r="E359" s="33" t="n">
        <v>4</v>
      </c>
      <c r="F359" s="33" t="inlineStr">
        <is>
          <t>green</t>
        </is>
      </c>
      <c r="G359" s="33" t="n">
        <v>1</v>
      </c>
      <c r="H359" s="33" t="n">
        <v>698</v>
      </c>
      <c r="I359" s="33" t="inlineStr">
        <is>
          <t>us</t>
        </is>
      </c>
      <c r="J359" s="33" t="n">
        <v>0</v>
      </c>
      <c r="K359" s="33" t="n">
        <v>1.079</v>
      </c>
      <c r="L359" s="33" t="n">
        <v>25</v>
      </c>
      <c r="M359" s="33" t="inlineStr">
        <is>
          <t>mww</t>
        </is>
      </c>
      <c r="N359" s="33" t="n">
        <v>22</v>
      </c>
      <c r="O359" s="33" t="n">
        <v>-37.6478</v>
      </c>
      <c r="P359" s="33" t="n">
        <v>179.662</v>
      </c>
      <c r="Q359" s="33" t="inlineStr">
        <is>
          <t>Gisborne, New Zealand</t>
        </is>
      </c>
      <c r="T359" s="36">
        <f>DATE(MID(C359,7,4),MID(C359,4,2),MID(C359,1,2))+TIME(MID(C359,12,2),MID(C359,15,2),0)</f>
        <v/>
      </c>
      <c r="U359" s="33">
        <f>IF(ISNUMBER(VALUE(MID(A359,7,1))),"Distance-prefix pattern","Named-region pattern")</f>
        <v/>
      </c>
      <c r="V359" s="33">
        <f>LOWER(M359)</f>
        <v/>
      </c>
      <c r="W359" s="33">
        <f>IF(COUNTIFS($A$2:$A$1001,A359,$C$2:$C$1001,C359)&gt;1,"Duplicate","Unique")</f>
        <v/>
      </c>
      <c r="X359" s="33">
        <f>YEAR(T359)</f>
        <v/>
      </c>
      <c r="Y359" s="33">
        <f>IF(B359&lt;6.5,"&lt;6.5",IF(B359&lt;7,"6.5–6.9",IF(B359&lt;7.5,"7.0–7.4",IF(B359&lt;8,"7.5–7.9","8.0+"))))</f>
        <v/>
      </c>
      <c r="Z359" s="33">
        <f>IF(F359="","Blank",F359)</f>
        <v/>
      </c>
    </row>
    <row r="360" ht="15" customHeight="1" s="34">
      <c r="A360" s="33" t="inlineStr">
        <is>
          <t>M 7.1 - 155 km NW of Ternate, Indonesia</t>
        </is>
      </c>
      <c r="B360" s="33" t="n">
        <v>7.1</v>
      </c>
      <c r="C360" s="33" t="inlineStr">
        <is>
          <t>15/11/2014 02:31</t>
        </is>
      </c>
      <c r="D360" s="33" t="n">
        <v>4</v>
      </c>
      <c r="E360" s="33" t="n">
        <v>6</v>
      </c>
      <c r="F360" s="33" t="inlineStr">
        <is>
          <t>green</t>
        </is>
      </c>
      <c r="G360" s="33" t="n">
        <v>1</v>
      </c>
      <c r="H360" s="33" t="n">
        <v>779</v>
      </c>
      <c r="I360" s="33" t="inlineStr">
        <is>
          <t>us</t>
        </is>
      </c>
      <c r="J360" s="33" t="n">
        <v>0</v>
      </c>
      <c r="K360" s="33" t="n">
        <v>1.397</v>
      </c>
      <c r="L360" s="33" t="n">
        <v>18</v>
      </c>
      <c r="M360" s="33" t="inlineStr">
        <is>
          <t>mww</t>
        </is>
      </c>
      <c r="N360" s="33" t="n">
        <v>45</v>
      </c>
      <c r="O360" s="33" t="n">
        <v>1.8929</v>
      </c>
      <c r="P360" s="33" t="n">
        <v>126.522</v>
      </c>
      <c r="Q360" s="33" t="inlineStr">
        <is>
          <t>Ternate, Indonesia</t>
        </is>
      </c>
      <c r="S360" s="33" t="inlineStr">
        <is>
          <t>Indonesia</t>
        </is>
      </c>
      <c r="T360" s="36">
        <f>DATE(MID(C360,7,4),MID(C360,4,2),MID(C360,1,2))+TIME(MID(C360,12,2),MID(C360,15,2),0)</f>
        <v/>
      </c>
      <c r="U360" s="33">
        <f>IF(ISNUMBER(VALUE(MID(A360,7,1))),"Distance-prefix pattern","Named-region pattern")</f>
        <v/>
      </c>
      <c r="V360" s="33">
        <f>LOWER(M360)</f>
        <v/>
      </c>
      <c r="W360" s="33">
        <f>IF(COUNTIFS($A$2:$A$1001,A360,$C$2:$C$1001,C360)&gt;1,"Duplicate","Unique")</f>
        <v/>
      </c>
      <c r="X360" s="33">
        <f>YEAR(T360)</f>
        <v/>
      </c>
      <c r="Y360" s="33">
        <f>IF(B360&lt;6.5,"&lt;6.5",IF(B360&lt;7,"6.5–6.9",IF(B360&lt;7.5,"7.0–7.4",IF(B360&lt;8,"7.5–7.9","8.0+"))))</f>
        <v/>
      </c>
      <c r="Z360" s="33">
        <f>IF(F360="","Blank",F360)</f>
        <v/>
      </c>
    </row>
    <row r="361" ht="15" customHeight="1" s="34">
      <c r="A361" s="33" t="inlineStr">
        <is>
          <t>M 6.6 - 76 km NE of Finschhafen, Papua New Guinea</t>
        </is>
      </c>
      <c r="B361" s="33" t="n">
        <v>6.6</v>
      </c>
      <c r="C361" s="33" t="inlineStr">
        <is>
          <t>07/11/2014 03:33</t>
        </is>
      </c>
      <c r="D361" s="33" t="n">
        <v>2</v>
      </c>
      <c r="E361" s="33" t="n">
        <v>6</v>
      </c>
      <c r="F361" s="33" t="inlineStr">
        <is>
          <t>green</t>
        </is>
      </c>
      <c r="G361" s="33" t="n">
        <v>1</v>
      </c>
      <c r="H361" s="33" t="n">
        <v>671</v>
      </c>
      <c r="I361" s="33" t="inlineStr">
        <is>
          <t>us</t>
        </is>
      </c>
      <c r="J361" s="33" t="n">
        <v>0</v>
      </c>
      <c r="K361" s="33" t="n">
        <v>3.557</v>
      </c>
      <c r="L361" s="33" t="n">
        <v>13</v>
      </c>
      <c r="M361" s="33" t="inlineStr">
        <is>
          <t>mww</t>
        </is>
      </c>
      <c r="N361" s="33" t="n">
        <v>53.19</v>
      </c>
      <c r="O361" s="33" t="n">
        <v>-5.9873</v>
      </c>
      <c r="P361" s="33" t="n">
        <v>148.232</v>
      </c>
      <c r="Q361" s="33" t="inlineStr">
        <is>
          <t>Finschhafen, Papua New Guinea</t>
        </is>
      </c>
      <c r="S361" s="33" t="inlineStr">
        <is>
          <t>Papua New Guinea</t>
        </is>
      </c>
      <c r="T361" s="36">
        <f>DATE(MID(C361,7,4),MID(C361,4,2),MID(C361,1,2))+TIME(MID(C361,12,2),MID(C361,15,2),0)</f>
        <v/>
      </c>
      <c r="U361" s="33">
        <f>IF(ISNUMBER(VALUE(MID(A361,7,1))),"Distance-prefix pattern","Named-region pattern")</f>
        <v/>
      </c>
      <c r="V361" s="33">
        <f>LOWER(M361)</f>
        <v/>
      </c>
      <c r="W361" s="33">
        <f>IF(COUNTIFS($A$2:$A$1001,A361,$C$2:$C$1001,C361)&gt;1,"Duplicate","Unique")</f>
        <v/>
      </c>
      <c r="X361" s="33">
        <f>YEAR(T361)</f>
        <v/>
      </c>
      <c r="Y361" s="33">
        <f>IF(B361&lt;6.5,"&lt;6.5",IF(B361&lt;7,"6.5–6.9",IF(B361&lt;7.5,"7.0–7.4",IF(B361&lt;8,"7.5–7.9","8.0+"))))</f>
        <v/>
      </c>
      <c r="Z361" s="33">
        <f>IF(F361="","Blank",F361)</f>
        <v/>
      </c>
    </row>
    <row r="362" ht="15" customHeight="1" s="34">
      <c r="A362" s="33" t="inlineStr">
        <is>
          <t>M 7.1 - Fiji region</t>
        </is>
      </c>
      <c r="B362" s="33" t="n">
        <v>7.1</v>
      </c>
      <c r="C362" s="33" t="inlineStr">
        <is>
          <t>01/11/2014 18:57</t>
        </is>
      </c>
      <c r="D362" s="33" t="n">
        <v>3</v>
      </c>
      <c r="E362" s="33" t="n">
        <v>6</v>
      </c>
      <c r="F362" s="33" t="inlineStr">
        <is>
          <t>green</t>
        </is>
      </c>
      <c r="G362" s="33" t="n">
        <v>1</v>
      </c>
      <c r="H362" s="33" t="n">
        <v>776</v>
      </c>
      <c r="I362" s="33" t="inlineStr">
        <is>
          <t>us</t>
        </is>
      </c>
      <c r="J362" s="33" t="n">
        <v>0</v>
      </c>
      <c r="K362" s="33" t="n">
        <v>4.415</v>
      </c>
      <c r="L362" s="33" t="n">
        <v>13</v>
      </c>
      <c r="M362" s="33" t="inlineStr">
        <is>
          <t>mww</t>
        </is>
      </c>
      <c r="N362" s="33" t="n">
        <v>434</v>
      </c>
      <c r="O362" s="33" t="n">
        <v>-19.6903</v>
      </c>
      <c r="P362" s="33" t="n">
        <v>-177.759</v>
      </c>
      <c r="Q362" s="33" t="inlineStr">
        <is>
          <t>Fiji region</t>
        </is>
      </c>
      <c r="T362" s="36">
        <f>DATE(MID(C362,7,4),MID(C362,4,2),MID(C362,1,2))+TIME(MID(C362,12,2),MID(C362,15,2),0)</f>
        <v/>
      </c>
      <c r="U362" s="33">
        <f>IF(ISNUMBER(VALUE(MID(A362,7,1))),"Distance-prefix pattern","Named-region pattern")</f>
        <v/>
      </c>
      <c r="V362" s="33">
        <f>LOWER(M362)</f>
        <v/>
      </c>
      <c r="W362" s="33">
        <f>IF(COUNTIFS($A$2:$A$1001,A362,$C$2:$C$1001,C362)&gt;1,"Duplicate","Unique")</f>
        <v/>
      </c>
      <c r="X362" s="33">
        <f>YEAR(T362)</f>
        <v/>
      </c>
      <c r="Y362" s="33">
        <f>IF(B362&lt;6.5,"&lt;6.5",IF(B362&lt;7,"6.5–6.9",IF(B362&lt;7.5,"7.0–7.4",IF(B362&lt;8,"7.5–7.9","8.0+"))))</f>
        <v/>
      </c>
      <c r="Z362" s="33">
        <f>IF(F362="","Blank",F362)</f>
        <v/>
      </c>
    </row>
    <row r="363" ht="15" customHeight="1" s="34">
      <c r="A363" s="33" t="inlineStr">
        <is>
          <t>M 7.3 - 74 km S of Intipucá, El Salvador</t>
        </is>
      </c>
      <c r="B363" s="33" t="n">
        <v>7.3</v>
      </c>
      <c r="C363" s="33" t="inlineStr">
        <is>
          <t>14/10/2014 03:51</t>
        </is>
      </c>
      <c r="D363" s="33" t="n">
        <v>8</v>
      </c>
      <c r="E363" s="33" t="n">
        <v>6</v>
      </c>
      <c r="F363" s="33" t="inlineStr">
        <is>
          <t>yellow</t>
        </is>
      </c>
      <c r="G363" s="33" t="n">
        <v>1</v>
      </c>
      <c r="H363" s="33" t="n">
        <v>982</v>
      </c>
      <c r="I363" s="33" t="inlineStr">
        <is>
          <t>us</t>
        </is>
      </c>
      <c r="J363" s="33" t="n">
        <v>0</v>
      </c>
      <c r="K363" s="33" t="n">
        <v>1.078</v>
      </c>
      <c r="L363" s="33" t="n">
        <v>18</v>
      </c>
      <c r="M363" s="33" t="inlineStr">
        <is>
          <t>mww</t>
        </is>
      </c>
      <c r="N363" s="33" t="n">
        <v>40</v>
      </c>
      <c r="O363" s="33" t="n">
        <v>12.5262</v>
      </c>
      <c r="P363" s="33" t="n">
        <v>-88.1225</v>
      </c>
      <c r="Q363" s="33" t="inlineStr">
        <is>
          <t>Intipucá, El Salvador</t>
        </is>
      </c>
      <c r="T363" s="36">
        <f>DATE(MID(C363,7,4),MID(C363,4,2),MID(C363,1,2))+TIME(MID(C363,12,2),MID(C363,15,2),0)</f>
        <v/>
      </c>
      <c r="U363" s="33">
        <f>IF(ISNUMBER(VALUE(MID(A363,7,1))),"Distance-prefix pattern","Named-region pattern")</f>
        <v/>
      </c>
      <c r="V363" s="33">
        <f>LOWER(M363)</f>
        <v/>
      </c>
      <c r="W363" s="33">
        <f>IF(COUNTIFS($A$2:$A$1001,A363,$C$2:$C$1001,C363)&gt;1,"Duplicate","Unique")</f>
        <v/>
      </c>
      <c r="X363" s="33">
        <f>YEAR(T363)</f>
        <v/>
      </c>
      <c r="Y363" s="33">
        <f>IF(B363&lt;6.5,"&lt;6.5",IF(B363&lt;7,"6.5–6.9",IF(B363&lt;7.5,"7.0–7.4",IF(B363&lt;8,"7.5–7.9","8.0+"))))</f>
        <v/>
      </c>
      <c r="Z363" s="33">
        <f>IF(F363="","Blank",F363)</f>
        <v/>
      </c>
    </row>
    <row r="364" ht="15" customHeight="1" s="34">
      <c r="A364" s="33" t="inlineStr">
        <is>
          <t>M 6.7 - 43 km NW of Piti Village, Guam</t>
        </is>
      </c>
      <c r="B364" s="33" t="n">
        <v>6.7</v>
      </c>
      <c r="C364" s="33" t="inlineStr">
        <is>
          <t>17/09/2014 06:14</t>
        </is>
      </c>
      <c r="D364" s="33" t="n">
        <v>5</v>
      </c>
      <c r="E364" s="33" t="n">
        <v>5</v>
      </c>
      <c r="F364" s="33" t="inlineStr">
        <is>
          <t>green</t>
        </is>
      </c>
      <c r="G364" s="33" t="n">
        <v>1</v>
      </c>
      <c r="H364" s="33" t="n">
        <v>724</v>
      </c>
      <c r="I364" s="33" t="inlineStr">
        <is>
          <t>us</t>
        </is>
      </c>
      <c r="J364" s="33" t="n">
        <v>0</v>
      </c>
      <c r="K364" s="33" t="n">
        <v>0.46</v>
      </c>
      <c r="L364" s="33" t="n">
        <v>11</v>
      </c>
      <c r="M364" s="33" t="inlineStr">
        <is>
          <t>mww</t>
        </is>
      </c>
      <c r="N364" s="33" t="n">
        <v>130</v>
      </c>
      <c r="O364" s="33" t="n">
        <v>13.7641</v>
      </c>
      <c r="P364" s="33" t="n">
        <v>144.429</v>
      </c>
      <c r="Q364" s="33" t="inlineStr">
        <is>
          <t>Piti Village, Guam</t>
        </is>
      </c>
      <c r="T364" s="36">
        <f>DATE(MID(C364,7,4),MID(C364,4,2),MID(C364,1,2))+TIME(MID(C364,12,2),MID(C364,15,2),0)</f>
        <v/>
      </c>
      <c r="U364" s="33">
        <f>IF(ISNUMBER(VALUE(MID(A364,7,1))),"Distance-prefix pattern","Named-region pattern")</f>
        <v/>
      </c>
      <c r="V364" s="33">
        <f>LOWER(M364)</f>
        <v/>
      </c>
      <c r="W364" s="33">
        <f>IF(COUNTIFS($A$2:$A$1001,A364,$C$2:$C$1001,C364)&gt;1,"Duplicate","Unique")</f>
        <v/>
      </c>
      <c r="X364" s="33">
        <f>YEAR(T364)</f>
        <v/>
      </c>
      <c r="Y364" s="33">
        <f>IF(B364&lt;6.5,"&lt;6.5",IF(B364&lt;7,"6.5–6.9",IF(B364&lt;7.5,"7.0–7.4",IF(B364&lt;8,"7.5–7.9","8.0+"))))</f>
        <v/>
      </c>
      <c r="Z364" s="33">
        <f>IF(F364="","Blank",F364)</f>
        <v/>
      </c>
    </row>
    <row r="365" ht="15" customHeight="1" s="34">
      <c r="A365" s="33" t="inlineStr">
        <is>
          <t>M 6.8 - 38 km NW of Aniso, Peru</t>
        </is>
      </c>
      <c r="B365" s="33" t="n">
        <v>6.8</v>
      </c>
      <c r="C365" s="33" t="inlineStr">
        <is>
          <t>24/08/2014 23:21</t>
        </is>
      </c>
      <c r="D365" s="33" t="n">
        <v>6</v>
      </c>
      <c r="E365" s="33" t="n">
        <v>6</v>
      </c>
      <c r="F365" s="33" t="inlineStr">
        <is>
          <t>green</t>
        </is>
      </c>
      <c r="G365" s="33" t="n">
        <v>1</v>
      </c>
      <c r="H365" s="33" t="n">
        <v>741</v>
      </c>
      <c r="I365" s="33" t="inlineStr">
        <is>
          <t>us</t>
        </is>
      </c>
      <c r="J365" s="33" t="n">
        <v>0</v>
      </c>
      <c r="K365" s="33" t="n">
        <v>4.107</v>
      </c>
      <c r="L365" s="33" t="n">
        <v>18</v>
      </c>
      <c r="M365" s="33" t="inlineStr">
        <is>
          <t>mww</t>
        </is>
      </c>
      <c r="N365" s="33" t="n">
        <v>101</v>
      </c>
      <c r="O365" s="33" t="n">
        <v>-14.598</v>
      </c>
      <c r="P365" s="33" t="n">
        <v>-73.5714</v>
      </c>
      <c r="Q365" s="33" t="inlineStr">
        <is>
          <t>Aniso, Peru</t>
        </is>
      </c>
      <c r="R365" s="33" t="inlineStr">
        <is>
          <t>South America</t>
        </is>
      </c>
      <c r="S365" s="33" t="inlineStr">
        <is>
          <t>Peru</t>
        </is>
      </c>
      <c r="T365" s="36">
        <f>DATE(MID(C365,7,4),MID(C365,4,2),MID(C365,1,2))+TIME(MID(C365,12,2),MID(C365,15,2),0)</f>
        <v/>
      </c>
      <c r="U365" s="33">
        <f>IF(ISNUMBER(VALUE(MID(A365,7,1))),"Distance-prefix pattern","Named-region pattern")</f>
        <v/>
      </c>
      <c r="V365" s="33">
        <f>LOWER(M365)</f>
        <v/>
      </c>
      <c r="W365" s="33">
        <f>IF(COUNTIFS($A$2:$A$1001,A365,$C$2:$C$1001,C365)&gt;1,"Duplicate","Unique")</f>
        <v/>
      </c>
      <c r="X365" s="33">
        <f>YEAR(T365)</f>
        <v/>
      </c>
      <c r="Y365" s="33">
        <f>IF(B365&lt;6.5,"&lt;6.5",IF(B365&lt;7,"6.5–6.9",IF(B365&lt;7.5,"7.0–7.4",IF(B365&lt;8,"7.5–7.9","8.0+"))))</f>
        <v/>
      </c>
      <c r="Z365" s="33">
        <f>IF(F365="","Blank",F365)</f>
        <v/>
      </c>
    </row>
    <row r="366" ht="15" customHeight="1" s="34">
      <c r="A366" s="33" t="inlineStr">
        <is>
          <t>M 6.9 - Federated States of Micronesia region</t>
        </is>
      </c>
      <c r="B366" s="33" t="n">
        <v>6.9</v>
      </c>
      <c r="C366" s="33" t="inlineStr">
        <is>
          <t>03/08/2014 00:22</t>
        </is>
      </c>
      <c r="D366" s="33" t="n">
        <v>0</v>
      </c>
      <c r="E366" s="33" t="n">
        <v>4</v>
      </c>
      <c r="F366" s="33" t="inlineStr">
        <is>
          <t>green</t>
        </is>
      </c>
      <c r="G366" s="33" t="n">
        <v>1</v>
      </c>
      <c r="H366" s="33" t="n">
        <v>732</v>
      </c>
      <c r="I366" s="33" t="inlineStr">
        <is>
          <t>us</t>
        </is>
      </c>
      <c r="J366" s="33" t="n">
        <v>0</v>
      </c>
      <c r="K366" s="33" t="n">
        <v>6.393</v>
      </c>
      <c r="L366" s="33" t="n">
        <v>12</v>
      </c>
      <c r="M366" s="33" t="inlineStr">
        <is>
          <t>mww</t>
        </is>
      </c>
      <c r="N366" s="33" t="n">
        <v>13</v>
      </c>
      <c r="O366" s="33" t="n">
        <v>0.8295</v>
      </c>
      <c r="P366" s="33" t="n">
        <v>146.169</v>
      </c>
      <c r="Q366" s="33" t="inlineStr">
        <is>
          <t>Micronesia region</t>
        </is>
      </c>
      <c r="T366" s="36">
        <f>DATE(MID(C366,7,4),MID(C366,4,2),MID(C366,1,2))+TIME(MID(C366,12,2),MID(C366,15,2),0)</f>
        <v/>
      </c>
      <c r="U366" s="33">
        <f>IF(ISNUMBER(VALUE(MID(A366,7,1))),"Distance-prefix pattern","Named-region pattern")</f>
        <v/>
      </c>
      <c r="V366" s="33">
        <f>LOWER(M366)</f>
        <v/>
      </c>
      <c r="W366" s="33">
        <f>IF(COUNTIFS($A$2:$A$1001,A366,$C$2:$C$1001,C366)&gt;1,"Duplicate","Unique")</f>
        <v/>
      </c>
      <c r="X366" s="33">
        <f>YEAR(T366)</f>
        <v/>
      </c>
      <c r="Y366" s="33">
        <f>IF(B366&lt;6.5,"&lt;6.5",IF(B366&lt;7,"6.5–6.9",IF(B366&lt;7.5,"7.0–7.4",IF(B366&lt;8,"7.5–7.9","8.0+"))))</f>
        <v/>
      </c>
      <c r="Z366" s="33">
        <f>IF(F366="","Blank",F366)</f>
        <v/>
      </c>
    </row>
    <row r="367" ht="15" customHeight="1" s="34">
      <c r="A367" s="33" t="inlineStr">
        <is>
          <t>M 6.9 - Fiji region</t>
        </is>
      </c>
      <c r="B367" s="33" t="n">
        <v>6.9</v>
      </c>
      <c r="C367" s="33" t="inlineStr">
        <is>
          <t>21/07/2014 14:54</t>
        </is>
      </c>
      <c r="D367" s="33" t="n">
        <v>0</v>
      </c>
      <c r="E367" s="33" t="n">
        <v>6</v>
      </c>
      <c r="F367" s="33" t="inlineStr">
        <is>
          <t>green</t>
        </is>
      </c>
      <c r="G367" s="33" t="n">
        <v>1</v>
      </c>
      <c r="H367" s="33" t="n">
        <v>732</v>
      </c>
      <c r="I367" s="33" t="inlineStr">
        <is>
          <t>us</t>
        </is>
      </c>
      <c r="J367" s="33" t="n">
        <v>0</v>
      </c>
      <c r="K367" s="33" t="n">
        <v>3.934</v>
      </c>
      <c r="L367" s="33" t="n">
        <v>15</v>
      </c>
      <c r="M367" s="33" t="inlineStr">
        <is>
          <t>mww</t>
        </is>
      </c>
      <c r="N367" s="33" t="n">
        <v>615.42</v>
      </c>
      <c r="O367" s="33" t="n">
        <v>-19.8015</v>
      </c>
      <c r="P367" s="33" t="n">
        <v>-178.4</v>
      </c>
      <c r="Q367" s="33" t="inlineStr">
        <is>
          <t>Fiji region</t>
        </is>
      </c>
      <c r="S367" s="33" t="inlineStr">
        <is>
          <t>Fiji</t>
        </is>
      </c>
      <c r="T367" s="36">
        <f>DATE(MID(C367,7,4),MID(C367,4,2),MID(C367,1,2))+TIME(MID(C367,12,2),MID(C367,15,2),0)</f>
        <v/>
      </c>
      <c r="U367" s="33">
        <f>IF(ISNUMBER(VALUE(MID(A367,7,1))),"Distance-prefix pattern","Named-region pattern")</f>
        <v/>
      </c>
      <c r="V367" s="33">
        <f>LOWER(M367)</f>
        <v/>
      </c>
      <c r="W367" s="33">
        <f>IF(COUNTIFS($A$2:$A$1001,A367,$C$2:$C$1001,C367)&gt;1,"Duplicate","Unique")</f>
        <v/>
      </c>
      <c r="X367" s="33">
        <f>YEAR(T367)</f>
        <v/>
      </c>
      <c r="Y367" s="33">
        <f>IF(B367&lt;6.5,"&lt;6.5",IF(B367&lt;7,"6.5–6.9",IF(B367&lt;7.5,"7.0–7.4",IF(B367&lt;8,"7.5–7.9","8.0+"))))</f>
        <v/>
      </c>
      <c r="Z367" s="33">
        <f>IF(F367="","Blank",F367)</f>
        <v/>
      </c>
    </row>
    <row r="368" ht="15" customHeight="1" s="34">
      <c r="A368" s="33" t="inlineStr">
        <is>
          <t>M 6.5 - 139 km ESE of Namie, Japan</t>
        </is>
      </c>
      <c r="B368" s="33" t="n">
        <v>6.5</v>
      </c>
      <c r="C368" s="33" t="inlineStr">
        <is>
          <t>11/07/2014 19:22</t>
        </is>
      </c>
      <c r="D368" s="33" t="n">
        <v>5</v>
      </c>
      <c r="E368" s="33" t="n">
        <v>4</v>
      </c>
      <c r="F368" s="33" t="inlineStr">
        <is>
          <t>green</t>
        </is>
      </c>
      <c r="G368" s="33" t="n">
        <v>1</v>
      </c>
      <c r="H368" s="33" t="n">
        <v>706</v>
      </c>
      <c r="I368" s="33" t="inlineStr">
        <is>
          <t>us</t>
        </is>
      </c>
      <c r="J368" s="33" t="n">
        <v>0</v>
      </c>
      <c r="K368" s="33" t="n">
        <v>2.421</v>
      </c>
      <c r="L368" s="33" t="n">
        <v>9</v>
      </c>
      <c r="M368" s="33" t="inlineStr">
        <is>
          <t>mww</t>
        </is>
      </c>
      <c r="N368" s="33" t="n">
        <v>20</v>
      </c>
      <c r="O368" s="33" t="n">
        <v>37.0052</v>
      </c>
      <c r="P368" s="33" t="n">
        <v>142.452</v>
      </c>
      <c r="Q368" s="33" t="inlineStr">
        <is>
          <t>Namie, Japan</t>
        </is>
      </c>
      <c r="T368" s="36">
        <f>DATE(MID(C368,7,4),MID(C368,4,2),MID(C368,1,2))+TIME(MID(C368,12,2),MID(C368,15,2),0)</f>
        <v/>
      </c>
      <c r="U368" s="33">
        <f>IF(ISNUMBER(VALUE(MID(A368,7,1))),"Distance-prefix pattern","Named-region pattern")</f>
        <v/>
      </c>
      <c r="V368" s="33">
        <f>LOWER(M368)</f>
        <v/>
      </c>
      <c r="W368" s="33">
        <f>IF(COUNTIFS($A$2:$A$1001,A368,$C$2:$C$1001,C368)&gt;1,"Duplicate","Unique")</f>
        <v/>
      </c>
      <c r="X368" s="33">
        <f>YEAR(T368)</f>
        <v/>
      </c>
      <c r="Y368" s="33">
        <f>IF(B368&lt;6.5,"&lt;6.5",IF(B368&lt;7,"6.5–6.9",IF(B368&lt;7.5,"7.0–7.4",IF(B368&lt;8,"7.5–7.9","8.0+"))))</f>
        <v/>
      </c>
      <c r="Z368" s="33">
        <f>IF(F368="","Blank",F368)</f>
        <v/>
      </c>
    </row>
    <row r="369" ht="15" customHeight="1" s="34">
      <c r="A369" s="33" t="inlineStr">
        <is>
          <t>M 6.9 - 4 km W of Puerto Madero, Mexico</t>
        </is>
      </c>
      <c r="B369" s="33" t="n">
        <v>6.9</v>
      </c>
      <c r="C369" s="33" t="inlineStr">
        <is>
          <t>07/07/2014 11:23</t>
        </is>
      </c>
      <c r="D369" s="33" t="n">
        <v>8</v>
      </c>
      <c r="E369" s="33" t="n">
        <v>7</v>
      </c>
      <c r="F369" s="33" t="inlineStr">
        <is>
          <t>orange</t>
        </is>
      </c>
      <c r="G369" s="33" t="n">
        <v>1</v>
      </c>
      <c r="H369" s="33" t="n">
        <v>1079</v>
      </c>
      <c r="I369" s="33" t="inlineStr">
        <is>
          <t>us</t>
        </is>
      </c>
      <c r="J369" s="33" t="n">
        <v>0</v>
      </c>
      <c r="K369" s="33" t="n">
        <v>0.263</v>
      </c>
      <c r="L369" s="33" t="n">
        <v>51</v>
      </c>
      <c r="M369" s="33" t="inlineStr">
        <is>
          <t>mww</t>
        </is>
      </c>
      <c r="N369" s="33" t="n">
        <v>53</v>
      </c>
      <c r="O369" s="33" t="n">
        <v>14.724</v>
      </c>
      <c r="P369" s="33" t="n">
        <v>-92.4614</v>
      </c>
      <c r="Q369" s="33" t="inlineStr">
        <is>
          <t>Puerto Madero, Mexico</t>
        </is>
      </c>
      <c r="S369" s="33" t="inlineStr">
        <is>
          <t>Mexico</t>
        </is>
      </c>
      <c r="T369" s="36">
        <f>DATE(MID(C369,7,4),MID(C369,4,2),MID(C369,1,2))+TIME(MID(C369,12,2),MID(C369,15,2),0)</f>
        <v/>
      </c>
      <c r="U369" s="33">
        <f>IF(ISNUMBER(VALUE(MID(A369,7,1))),"Distance-prefix pattern","Named-region pattern")</f>
        <v/>
      </c>
      <c r="V369" s="33">
        <f>LOWER(M369)</f>
        <v/>
      </c>
      <c r="W369" s="33">
        <f>IF(COUNTIFS($A$2:$A$1001,A369,$C$2:$C$1001,C369)&gt;1,"Duplicate","Unique")</f>
        <v/>
      </c>
      <c r="X369" s="33">
        <f>YEAR(T369)</f>
        <v/>
      </c>
      <c r="Y369" s="33">
        <f>IF(B369&lt;6.5,"&lt;6.5",IF(B369&lt;7,"6.5–6.9",IF(B369&lt;7.5,"7.0–7.4",IF(B369&lt;8,"7.5–7.9","8.0+"))))</f>
        <v/>
      </c>
      <c r="Z369" s="33">
        <f>IF(F369="","Blank",F369)</f>
        <v/>
      </c>
    </row>
    <row r="370" ht="15" customHeight="1" s="34">
      <c r="A370" s="33" t="inlineStr">
        <is>
          <t>M 6.5 - 217 km SSE of Kokopo, Papua New Guinea</t>
        </is>
      </c>
      <c r="B370" s="33" t="n">
        <v>6.5</v>
      </c>
      <c r="C370" s="33" t="inlineStr">
        <is>
          <t>04/07/2014 15:00</t>
        </is>
      </c>
      <c r="D370" s="33" t="n">
        <v>0</v>
      </c>
      <c r="E370" s="33" t="n">
        <v>4</v>
      </c>
      <c r="F370" s="33" t="inlineStr">
        <is>
          <t>green</t>
        </is>
      </c>
      <c r="G370" s="33" t="n">
        <v>1</v>
      </c>
      <c r="H370" s="33" t="n">
        <v>650</v>
      </c>
      <c r="I370" s="33" t="inlineStr">
        <is>
          <t>us</t>
        </is>
      </c>
      <c r="J370" s="33" t="n">
        <v>0</v>
      </c>
      <c r="K370" s="33" t="n">
        <v>2.124</v>
      </c>
      <c r="L370" s="33" t="n">
        <v>15</v>
      </c>
      <c r="M370" s="33" t="inlineStr">
        <is>
          <t>mww</t>
        </is>
      </c>
      <c r="N370" s="33" t="n">
        <v>20</v>
      </c>
      <c r="O370" s="33" t="n">
        <v>-6.2304</v>
      </c>
      <c r="P370" s="33" t="n">
        <v>152.807</v>
      </c>
      <c r="Q370" s="33" t="inlineStr">
        <is>
          <t>Kokopo, Papua New Guinea</t>
        </is>
      </c>
      <c r="T370" s="36">
        <f>DATE(MID(C370,7,4),MID(C370,4,2),MID(C370,1,2))+TIME(MID(C370,12,2),MID(C370,15,2),0)</f>
        <v/>
      </c>
      <c r="U370" s="33">
        <f>IF(ISNUMBER(VALUE(MID(A370,7,1))),"Distance-prefix pattern","Named-region pattern")</f>
        <v/>
      </c>
      <c r="V370" s="33">
        <f>LOWER(M370)</f>
        <v/>
      </c>
      <c r="W370" s="33">
        <f>IF(COUNTIFS($A$2:$A$1001,A370,$C$2:$C$1001,C370)&gt;1,"Duplicate","Unique")</f>
        <v/>
      </c>
      <c r="X370" s="33">
        <f>YEAR(T370)</f>
        <v/>
      </c>
      <c r="Y370" s="33">
        <f>IF(B370&lt;6.5,"&lt;6.5",IF(B370&lt;7,"6.5–6.9",IF(B370&lt;7.5,"7.0–7.4",IF(B370&lt;8,"7.5–7.9","8.0+"))))</f>
        <v/>
      </c>
      <c r="Z370" s="33">
        <f>IF(F370="","Blank",F370)</f>
        <v/>
      </c>
    </row>
    <row r="371" ht="15" customHeight="1" s="34">
      <c r="A371" s="33" t="inlineStr">
        <is>
          <t>M 6.7 - 201 km SSE of Mata-Utu, Wallis and Futuna</t>
        </is>
      </c>
      <c r="B371" s="33" t="n">
        <v>6.7</v>
      </c>
      <c r="C371" s="33" t="inlineStr">
        <is>
          <t>29/06/2014 17:15</t>
        </is>
      </c>
      <c r="D371" s="33" t="n">
        <v>0</v>
      </c>
      <c r="E371" s="33" t="n">
        <v>5</v>
      </c>
      <c r="F371" s="33" t="inlineStr">
        <is>
          <t>green</t>
        </is>
      </c>
      <c r="G371" s="33" t="n">
        <v>1</v>
      </c>
      <c r="H371" s="33" t="n">
        <v>691</v>
      </c>
      <c r="I371" s="33" t="inlineStr">
        <is>
          <t>us</t>
        </is>
      </c>
      <c r="J371" s="33" t="n">
        <v>0</v>
      </c>
      <c r="K371" s="33" t="n">
        <v>6.713</v>
      </c>
      <c r="L371" s="33" t="n">
        <v>45</v>
      </c>
      <c r="M371" s="33" t="inlineStr">
        <is>
          <t>mww</t>
        </is>
      </c>
      <c r="N371" s="33" t="n">
        <v>18</v>
      </c>
      <c r="O371" s="33" t="n">
        <v>-14.9831</v>
      </c>
      <c r="P371" s="33" t="n">
        <v>-175.51</v>
      </c>
      <c r="Q371" s="33" t="inlineStr">
        <is>
          <t>Mata-Utu, Wallis and Futuna</t>
        </is>
      </c>
      <c r="T371" s="36">
        <f>DATE(MID(C371,7,4),MID(C371,4,2),MID(C371,1,2))+TIME(MID(C371,12,2),MID(C371,15,2),0)</f>
        <v/>
      </c>
      <c r="U371" s="33">
        <f>IF(ISNUMBER(VALUE(MID(A371,7,1))),"Distance-prefix pattern","Named-region pattern")</f>
        <v/>
      </c>
      <c r="V371" s="33">
        <f>LOWER(M371)</f>
        <v/>
      </c>
      <c r="W371" s="33">
        <f>IF(COUNTIFS($A$2:$A$1001,A371,$C$2:$C$1001,C371)&gt;1,"Duplicate","Unique")</f>
        <v/>
      </c>
      <c r="X371" s="33">
        <f>YEAR(T371)</f>
        <v/>
      </c>
      <c r="Y371" s="33">
        <f>IF(B371&lt;6.5,"&lt;6.5",IF(B371&lt;7,"6.5–6.9",IF(B371&lt;7.5,"7.0–7.4",IF(B371&lt;8,"7.5–7.9","8.0+"))))</f>
        <v/>
      </c>
      <c r="Z371" s="33">
        <f>IF(F371="","Blank",F371)</f>
        <v/>
      </c>
    </row>
    <row r="372" ht="15" customHeight="1" s="34">
      <c r="A372" s="33" t="inlineStr">
        <is>
          <t>M 6.9 - South Sandwich Islands region</t>
        </is>
      </c>
      <c r="B372" s="33" t="n">
        <v>6.9</v>
      </c>
      <c r="C372" s="33" t="inlineStr">
        <is>
          <t>29/06/2014 07:52</t>
        </is>
      </c>
      <c r="D372" s="33" t="n">
        <v>0</v>
      </c>
      <c r="E372" s="33" t="n">
        <v>5</v>
      </c>
      <c r="F372" s="33" t="inlineStr">
        <is>
          <t>green</t>
        </is>
      </c>
      <c r="G372" s="33" t="n">
        <v>1</v>
      </c>
      <c r="H372" s="33" t="n">
        <v>732</v>
      </c>
      <c r="I372" s="33" t="inlineStr">
        <is>
          <t>us</t>
        </is>
      </c>
      <c r="J372" s="33" t="n">
        <v>0</v>
      </c>
      <c r="K372" s="33" t="n">
        <v>4.838</v>
      </c>
      <c r="L372" s="33" t="n">
        <v>25</v>
      </c>
      <c r="M372" s="33" t="inlineStr">
        <is>
          <t>mww</t>
        </is>
      </c>
      <c r="N372" s="33" t="n">
        <v>8</v>
      </c>
      <c r="O372" s="33" t="n">
        <v>-55.4703</v>
      </c>
      <c r="P372" s="33" t="n">
        <v>-28.3669</v>
      </c>
      <c r="Q372" s="33" t="inlineStr">
        <is>
          <t>South Sandwich Islands region</t>
        </is>
      </c>
      <c r="T372" s="36">
        <f>DATE(MID(C372,7,4),MID(C372,4,2),MID(C372,1,2))+TIME(MID(C372,12,2),MID(C372,15,2),0)</f>
        <v/>
      </c>
      <c r="U372" s="33">
        <f>IF(ISNUMBER(VALUE(MID(A372,7,1))),"Distance-prefix pattern","Named-region pattern")</f>
        <v/>
      </c>
      <c r="V372" s="33">
        <f>LOWER(M372)</f>
        <v/>
      </c>
      <c r="W372" s="33">
        <f>IF(COUNTIFS($A$2:$A$1001,A372,$C$2:$C$1001,C372)&gt;1,"Duplicate","Unique")</f>
        <v/>
      </c>
      <c r="X372" s="33">
        <f>YEAR(T372)</f>
        <v/>
      </c>
      <c r="Y372" s="33">
        <f>IF(B372&lt;6.5,"&lt;6.5",IF(B372&lt;7,"6.5–6.9",IF(B372&lt;7.5,"7.0–7.4",IF(B372&lt;8,"7.5–7.9","8.0+"))))</f>
        <v/>
      </c>
      <c r="Z372" s="33">
        <f>IF(F372="","Blank",F372)</f>
        <v/>
      </c>
    </row>
    <row r="373" ht="15" customHeight="1" s="34">
      <c r="A373" s="33" t="inlineStr">
        <is>
          <t>M 7.9 - Rat Islands, Aleutian Islands, Alaska</t>
        </is>
      </c>
      <c r="B373" s="33" t="n">
        <v>7.9</v>
      </c>
      <c r="C373" s="33" t="inlineStr">
        <is>
          <t>23/06/2014 20:53</t>
        </is>
      </c>
      <c r="D373" s="33" t="n">
        <v>6</v>
      </c>
      <c r="E373" s="33" t="n">
        <v>8</v>
      </c>
      <c r="F373" s="33" t="inlineStr">
        <is>
          <t>green</t>
        </is>
      </c>
      <c r="G373" s="33" t="n">
        <v>1</v>
      </c>
      <c r="H373" s="33" t="n">
        <v>963</v>
      </c>
      <c r="I373" s="33" t="inlineStr">
        <is>
          <t>us</t>
        </is>
      </c>
      <c r="J373" s="33" t="n">
        <v>0</v>
      </c>
      <c r="K373" s="33" t="n">
        <v>0.133</v>
      </c>
      <c r="L373" s="33" t="n">
        <v>22</v>
      </c>
      <c r="M373" s="33" t="inlineStr">
        <is>
          <t>mww</t>
        </is>
      </c>
      <c r="N373" s="33" t="n">
        <v>109</v>
      </c>
      <c r="O373" s="33" t="n">
        <v>51.8486</v>
      </c>
      <c r="P373" s="33" t="n">
        <v>178.735</v>
      </c>
      <c r="Q373" s="33" t="inlineStr">
        <is>
          <t>Rat Islands, Aleutian Islands, Alaska</t>
        </is>
      </c>
      <c r="R373" s="33" t="inlineStr">
        <is>
          <t>North America</t>
        </is>
      </c>
      <c r="S373" s="33" t="inlineStr">
        <is>
          <t>United States of America</t>
        </is>
      </c>
      <c r="T373" s="36">
        <f>DATE(MID(C373,7,4),MID(C373,4,2),MID(C373,1,2))+TIME(MID(C373,12,2),MID(C373,15,2),0)</f>
        <v/>
      </c>
      <c r="U373" s="33">
        <f>IF(ISNUMBER(VALUE(MID(A373,7,1))),"Distance-prefix pattern","Named-region pattern")</f>
        <v/>
      </c>
      <c r="V373" s="33">
        <f>LOWER(M373)</f>
        <v/>
      </c>
      <c r="W373" s="33">
        <f>IF(COUNTIFS($A$2:$A$1001,A373,$C$2:$C$1001,C373)&gt;1,"Duplicate","Unique")</f>
        <v/>
      </c>
      <c r="X373" s="33">
        <f>YEAR(T373)</f>
        <v/>
      </c>
      <c r="Y373" s="33">
        <f>IF(B373&lt;6.5,"&lt;6.5",IF(B373&lt;7,"6.5–6.9",IF(B373&lt;7.5,"7.0–7.4",IF(B373&lt;8,"7.5–7.9","8.0+"))))</f>
        <v/>
      </c>
      <c r="Z373" s="33">
        <f>IF(F373="","Blank",F373)</f>
        <v/>
      </c>
    </row>
    <row r="374" ht="15" customHeight="1" s="34">
      <c r="A374" s="33" t="inlineStr">
        <is>
          <t>M 6.7 - Kermadec Islands, New Zealand</t>
        </is>
      </c>
      <c r="B374" s="33" t="n">
        <v>6.7</v>
      </c>
      <c r="C374" s="33" t="inlineStr">
        <is>
          <t>23/06/2014 20:06</t>
        </is>
      </c>
      <c r="D374" s="33" t="n">
        <v>0</v>
      </c>
      <c r="E374" s="33" t="n">
        <v>5</v>
      </c>
      <c r="F374" s="33" t="inlineStr">
        <is>
          <t>green</t>
        </is>
      </c>
      <c r="G374" s="33" t="n">
        <v>0</v>
      </c>
      <c r="H374" s="33" t="n">
        <v>691</v>
      </c>
      <c r="I374" s="33" t="inlineStr">
        <is>
          <t>us</t>
        </is>
      </c>
      <c r="J374" s="33" t="n">
        <v>0</v>
      </c>
      <c r="K374" s="33" t="n">
        <v>0.748</v>
      </c>
      <c r="L374" s="33" t="n">
        <v>43</v>
      </c>
      <c r="M374" s="33" t="inlineStr">
        <is>
          <t>mwc</t>
        </is>
      </c>
      <c r="N374" s="33" t="n">
        <v>26.59</v>
      </c>
      <c r="O374" s="33" t="n">
        <v>-29.9414</v>
      </c>
      <c r="P374" s="33" t="n">
        <v>-177.607</v>
      </c>
      <c r="Q374" s="33" t="inlineStr">
        <is>
          <t>Kermadec Islands, New Zealand</t>
        </is>
      </c>
      <c r="T374" s="36">
        <f>DATE(MID(C374,7,4),MID(C374,4,2),MID(C374,1,2))+TIME(MID(C374,12,2),MID(C374,15,2),0)</f>
        <v/>
      </c>
      <c r="U374" s="33">
        <f>IF(ISNUMBER(VALUE(MID(A374,7,1))),"Distance-prefix pattern","Named-region pattern")</f>
        <v/>
      </c>
      <c r="V374" s="33">
        <f>LOWER(M374)</f>
        <v/>
      </c>
      <c r="W374" s="33">
        <f>IF(COUNTIFS($A$2:$A$1001,A374,$C$2:$C$1001,C374)&gt;1,"Duplicate","Unique")</f>
        <v/>
      </c>
      <c r="X374" s="33">
        <f>YEAR(T374)</f>
        <v/>
      </c>
      <c r="Y374" s="33">
        <f>IF(B374&lt;6.5,"&lt;6.5",IF(B374&lt;7,"6.5–6.9",IF(B374&lt;7.5,"7.0–7.4",IF(B374&lt;8,"7.5–7.9","8.0+"))))</f>
        <v/>
      </c>
      <c r="Z374" s="33">
        <f>IF(F374="","Blank",F374)</f>
        <v/>
      </c>
    </row>
    <row r="375" ht="15" customHeight="1" s="34">
      <c r="A375" s="33" t="inlineStr">
        <is>
          <t>M 6.5 - Kermadec Islands, New Zealand</t>
        </is>
      </c>
      <c r="B375" s="33" t="n">
        <v>6.5</v>
      </c>
      <c r="C375" s="33" t="inlineStr">
        <is>
          <t>23/06/2014 19:21</t>
        </is>
      </c>
      <c r="D375" s="33" t="n">
        <v>0</v>
      </c>
      <c r="E375" s="33" t="n">
        <v>5</v>
      </c>
      <c r="F375" s="33" t="inlineStr">
        <is>
          <t>green</t>
        </is>
      </c>
      <c r="G375" s="33" t="n">
        <v>0</v>
      </c>
      <c r="H375" s="33" t="n">
        <v>650</v>
      </c>
      <c r="I375" s="33" t="inlineStr">
        <is>
          <t>us</t>
        </is>
      </c>
      <c r="J375" s="33" t="n">
        <v>0</v>
      </c>
      <c r="K375" s="33" t="n">
        <v>0.778</v>
      </c>
      <c r="L375" s="33" t="n">
        <v>30</v>
      </c>
      <c r="M375" s="33" t="inlineStr">
        <is>
          <t>mwc</t>
        </is>
      </c>
      <c r="N375" s="33" t="n">
        <v>10</v>
      </c>
      <c r="O375" s="33" t="n">
        <v>-29.9379</v>
      </c>
      <c r="P375" s="33" t="n">
        <v>-177.516</v>
      </c>
      <c r="Q375" s="33" t="inlineStr">
        <is>
          <t>Kermadec Islands, New Zealand</t>
        </is>
      </c>
      <c r="T375" s="36">
        <f>DATE(MID(C375,7,4),MID(C375,4,2),MID(C375,1,2))+TIME(MID(C375,12,2),MID(C375,15,2),0)</f>
        <v/>
      </c>
      <c r="U375" s="33">
        <f>IF(ISNUMBER(VALUE(MID(A375,7,1))),"Distance-prefix pattern","Named-region pattern")</f>
        <v/>
      </c>
      <c r="V375" s="33">
        <f>LOWER(M375)</f>
        <v/>
      </c>
      <c r="W375" s="33">
        <f>IF(COUNTIFS($A$2:$A$1001,A375,$C$2:$C$1001,C375)&gt;1,"Duplicate","Unique")</f>
        <v/>
      </c>
      <c r="X375" s="33">
        <f>YEAR(T375)</f>
        <v/>
      </c>
      <c r="Y375" s="33">
        <f>IF(B375&lt;6.5,"&lt;6.5",IF(B375&lt;7,"6.5–6.9",IF(B375&lt;7.5,"7.0–7.4",IF(B375&lt;8,"7.5–7.9","8.0+"))))</f>
        <v/>
      </c>
      <c r="Z375" s="33">
        <f>IF(F375="","Blank",F375)</f>
        <v/>
      </c>
    </row>
    <row r="376" ht="15" customHeight="1" s="34">
      <c r="A376" s="33" t="inlineStr">
        <is>
          <t>M 6.9 - Kermadec Islands, New Zealand</t>
        </is>
      </c>
      <c r="B376" s="33" t="n">
        <v>6.9</v>
      </c>
      <c r="C376" s="33" t="inlineStr">
        <is>
          <t>23/06/2014 19:19</t>
        </is>
      </c>
      <c r="D376" s="33" t="n">
        <v>0</v>
      </c>
      <c r="E376" s="33" t="n">
        <v>5</v>
      </c>
      <c r="F376" s="33" t="inlineStr">
        <is>
          <t>green</t>
        </is>
      </c>
      <c r="G376" s="33" t="n">
        <v>1</v>
      </c>
      <c r="H376" s="33" t="n">
        <v>732</v>
      </c>
      <c r="I376" s="33" t="inlineStr">
        <is>
          <t>us</t>
        </is>
      </c>
      <c r="J376" s="33" t="n">
        <v>0</v>
      </c>
      <c r="K376" s="33" t="n">
        <v>0.751</v>
      </c>
      <c r="L376" s="33" t="n">
        <v>35</v>
      </c>
      <c r="M376" s="33" t="inlineStr">
        <is>
          <t>mww</t>
        </is>
      </c>
      <c r="N376" s="33" t="n">
        <v>20</v>
      </c>
      <c r="O376" s="33" t="n">
        <v>-29.9772</v>
      </c>
      <c r="P376" s="33" t="n">
        <v>-177.725</v>
      </c>
      <c r="Q376" s="33" t="inlineStr">
        <is>
          <t>Kermadec Islands, New Zealand</t>
        </is>
      </c>
      <c r="T376" s="36">
        <f>DATE(MID(C376,7,4),MID(C376,4,2),MID(C376,1,2))+TIME(MID(C376,12,2),MID(C376,15,2),0)</f>
        <v/>
      </c>
      <c r="U376" s="33">
        <f>IF(ISNUMBER(VALUE(MID(A376,7,1))),"Distance-prefix pattern","Named-region pattern")</f>
        <v/>
      </c>
      <c r="V376" s="33">
        <f>LOWER(M376)</f>
        <v/>
      </c>
      <c r="W376" s="33">
        <f>IF(COUNTIFS($A$2:$A$1001,A376,$C$2:$C$1001,C376)&gt;1,"Duplicate","Unique")</f>
        <v/>
      </c>
      <c r="X376" s="33">
        <f>YEAR(T376)</f>
        <v/>
      </c>
      <c r="Y376" s="33">
        <f>IF(B376&lt;6.5,"&lt;6.5",IF(B376&lt;7,"6.5–6.9",IF(B376&lt;7.5,"7.0–7.4",IF(B376&lt;8,"7.5–7.9","8.0+"))))</f>
        <v/>
      </c>
      <c r="Z376" s="33">
        <f>IF(F376="","Blank",F376)</f>
        <v/>
      </c>
    </row>
    <row r="377" ht="15" customHeight="1" s="34">
      <c r="A377" s="33" t="inlineStr">
        <is>
          <t>M 6.9 - 21 km SSW of Kamariótissa, Greece</t>
        </is>
      </c>
      <c r="B377" s="33" t="n">
        <v>6.9</v>
      </c>
      <c r="C377" s="33" t="inlineStr">
        <is>
          <t>24/05/2014 09:25</t>
        </is>
      </c>
      <c r="D377" s="33" t="n">
        <v>9</v>
      </c>
      <c r="E377" s="33" t="n">
        <v>7</v>
      </c>
      <c r="F377" s="33" t="inlineStr">
        <is>
          <t>green</t>
        </is>
      </c>
      <c r="G377" s="33" t="n">
        <v>0</v>
      </c>
      <c r="H377" s="33" t="n">
        <v>951</v>
      </c>
      <c r="I377" s="33" t="inlineStr">
        <is>
          <t>us</t>
        </is>
      </c>
      <c r="J377" s="33" t="n">
        <v>0</v>
      </c>
      <c r="K377" s="33" t="n">
        <v>0.402</v>
      </c>
      <c r="L377" s="33" t="n">
        <v>25</v>
      </c>
      <c r="M377" s="33" t="inlineStr">
        <is>
          <t>mww</t>
        </is>
      </c>
      <c r="N377" s="33" t="n">
        <v>6.43</v>
      </c>
      <c r="O377" s="33" t="n">
        <v>40.2893</v>
      </c>
      <c r="P377" s="33" t="n">
        <v>25.3889</v>
      </c>
      <c r="Q377" s="33" t="inlineStr">
        <is>
          <t>Kamariótissa, Greece</t>
        </is>
      </c>
      <c r="R377" s="33" t="inlineStr">
        <is>
          <t>Europe</t>
        </is>
      </c>
      <c r="S377" s="33" t="inlineStr">
        <is>
          <t>Greece</t>
        </is>
      </c>
      <c r="T377" s="36">
        <f>DATE(MID(C377,7,4),MID(C377,4,2),MID(C377,1,2))+TIME(MID(C377,12,2),MID(C377,15,2),0)</f>
        <v/>
      </c>
      <c r="U377" s="33">
        <f>IF(ISNUMBER(VALUE(MID(A377,7,1))),"Distance-prefix pattern","Named-region pattern")</f>
        <v/>
      </c>
      <c r="V377" s="33">
        <f>LOWER(M377)</f>
        <v/>
      </c>
      <c r="W377" s="33">
        <f>IF(COUNTIFS($A$2:$A$1001,A377,$C$2:$C$1001,C377)&gt;1,"Duplicate","Unique")</f>
        <v/>
      </c>
      <c r="X377" s="33">
        <f>YEAR(T377)</f>
        <v/>
      </c>
      <c r="Y377" s="33">
        <f>IF(B377&lt;6.5,"&lt;6.5",IF(B377&lt;7,"6.5–6.9",IF(B377&lt;7.5,"7.0–7.4",IF(B377&lt;8,"7.5–7.9","8.0+"))))</f>
        <v/>
      </c>
      <c r="Z377" s="33">
        <f>IF(F377="","Blank",F377)</f>
        <v/>
      </c>
    </row>
    <row r="378" ht="15" customHeight="1" s="34">
      <c r="A378" s="33" t="inlineStr">
        <is>
          <t>M 6.5 - 110 km SE of Punta de Burica, Panama</t>
        </is>
      </c>
      <c r="B378" s="33" t="n">
        <v>6.5</v>
      </c>
      <c r="C378" s="33" t="inlineStr">
        <is>
          <t>13/05/2014 06:35</t>
        </is>
      </c>
      <c r="D378" s="33" t="n">
        <v>7</v>
      </c>
      <c r="E378" s="33" t="n">
        <v>5</v>
      </c>
      <c r="F378" s="33" t="inlineStr">
        <is>
          <t>green</t>
        </is>
      </c>
      <c r="G378" s="33" t="n">
        <v>1</v>
      </c>
      <c r="H378" s="33" t="n">
        <v>694</v>
      </c>
      <c r="I378" s="33" t="inlineStr">
        <is>
          <t>us</t>
        </is>
      </c>
      <c r="J378" s="33" t="n">
        <v>0</v>
      </c>
      <c r="K378" s="33" t="n">
        <v>3.121</v>
      </c>
      <c r="L378" s="33" t="n">
        <v>33</v>
      </c>
      <c r="M378" s="33" t="inlineStr">
        <is>
          <t>mww</t>
        </is>
      </c>
      <c r="N378" s="33" t="n">
        <v>10</v>
      </c>
      <c r="O378" s="33" t="n">
        <v>7.2096</v>
      </c>
      <c r="P378" s="33" t="n">
        <v>-82.3045</v>
      </c>
      <c r="Q378" s="33" t="inlineStr">
        <is>
          <t>Punta de Burica, Panama</t>
        </is>
      </c>
      <c r="T378" s="36">
        <f>DATE(MID(C378,7,4),MID(C378,4,2),MID(C378,1,2))+TIME(MID(C378,12,2),MID(C378,15,2),0)</f>
        <v/>
      </c>
      <c r="U378" s="33">
        <f>IF(ISNUMBER(VALUE(MID(A378,7,1))),"Distance-prefix pattern","Named-region pattern")</f>
        <v/>
      </c>
      <c r="V378" s="33">
        <f>LOWER(M378)</f>
        <v/>
      </c>
      <c r="W378" s="33">
        <f>IF(COUNTIFS($A$2:$A$1001,A378,$C$2:$C$1001,C378)&gt;1,"Duplicate","Unique")</f>
        <v/>
      </c>
      <c r="X378" s="33">
        <f>YEAR(T378)</f>
        <v/>
      </c>
      <c r="Y378" s="33">
        <f>IF(B378&lt;6.5,"&lt;6.5",IF(B378&lt;7,"6.5–6.9",IF(B378&lt;7.5,"7.0–7.4",IF(B378&lt;8,"7.5–7.9","8.0+"))))</f>
        <v/>
      </c>
      <c r="Z378" s="33">
        <f>IF(F378="","Blank",F378)</f>
        <v/>
      </c>
    </row>
    <row r="379" ht="15" customHeight="1" s="34">
      <c r="A379" s="33" t="inlineStr">
        <is>
          <t>M 6.6 - 239 km SSE of Isangel, Vanuatu</t>
        </is>
      </c>
      <c r="B379" s="33" t="n">
        <v>6.6</v>
      </c>
      <c r="C379" s="33" t="inlineStr">
        <is>
          <t>01/05/2014 06:36</t>
        </is>
      </c>
      <c r="D379" s="33" t="n">
        <v>0</v>
      </c>
      <c r="E379" s="33" t="n">
        <v>5</v>
      </c>
      <c r="F379" s="33" t="inlineStr">
        <is>
          <t>green</t>
        </is>
      </c>
      <c r="G379" s="33" t="n">
        <v>1</v>
      </c>
      <c r="H379" s="33" t="n">
        <v>670</v>
      </c>
      <c r="I379" s="33" t="inlineStr">
        <is>
          <t>us</t>
        </is>
      </c>
      <c r="J379" s="33" t="n">
        <v>0</v>
      </c>
      <c r="K379" s="33" t="n">
        <v>3.34</v>
      </c>
      <c r="L379" s="33" t="n">
        <v>10</v>
      </c>
      <c r="M379" s="33" t="inlineStr">
        <is>
          <t>mww</t>
        </is>
      </c>
      <c r="N379" s="33" t="n">
        <v>106</v>
      </c>
      <c r="O379" s="33" t="n">
        <v>-21.4542</v>
      </c>
      <c r="P379" s="33" t="n">
        <v>170.355</v>
      </c>
      <c r="Q379" s="33" t="inlineStr">
        <is>
          <t>Isangel, Vanuatu</t>
        </is>
      </c>
      <c r="T379" s="36">
        <f>DATE(MID(C379,7,4),MID(C379,4,2),MID(C379,1,2))+TIME(MID(C379,12,2),MID(C379,15,2),0)</f>
        <v/>
      </c>
      <c r="U379" s="33">
        <f>IF(ISNUMBER(VALUE(MID(A379,7,1))),"Distance-prefix pattern","Named-region pattern")</f>
        <v/>
      </c>
      <c r="V379" s="33">
        <f>LOWER(M379)</f>
        <v/>
      </c>
      <c r="W379" s="33">
        <f>IF(COUNTIFS($A$2:$A$1001,A379,$C$2:$C$1001,C379)&gt;1,"Duplicate","Unique")</f>
        <v/>
      </c>
      <c r="X379" s="33">
        <f>YEAR(T379)</f>
        <v/>
      </c>
      <c r="Y379" s="33">
        <f>IF(B379&lt;6.5,"&lt;6.5",IF(B379&lt;7,"6.5–6.9",IF(B379&lt;7.5,"7.0–7.4",IF(B379&lt;8,"7.5–7.9","8.0+"))))</f>
        <v/>
      </c>
      <c r="Z379" s="33">
        <f>IF(F379="","Blank",F379)</f>
        <v/>
      </c>
    </row>
    <row r="380" ht="15" customHeight="1" s="34">
      <c r="A380" s="33" t="inlineStr">
        <is>
          <t>M 6.5 - 107 km WSW of Vernon, Canada</t>
        </is>
      </c>
      <c r="B380" s="33" t="n">
        <v>6.5</v>
      </c>
      <c r="C380" s="33" t="inlineStr">
        <is>
          <t>24/04/2014 03:10</t>
        </is>
      </c>
      <c r="D380" s="33" t="n">
        <v>4</v>
      </c>
      <c r="E380" s="33" t="n">
        <v>6</v>
      </c>
      <c r="F380" s="33" t="inlineStr">
        <is>
          <t>green</t>
        </is>
      </c>
      <c r="G380" s="33" t="n">
        <v>1</v>
      </c>
      <c r="H380" s="33" t="n">
        <v>838</v>
      </c>
      <c r="I380" s="33" t="inlineStr">
        <is>
          <t>us</t>
        </is>
      </c>
      <c r="J380" s="33" t="n">
        <v>0</v>
      </c>
      <c r="K380" s="33" t="n">
        <v>0</v>
      </c>
      <c r="L380" s="33" t="n">
        <v>0</v>
      </c>
      <c r="M380" s="33" t="inlineStr">
        <is>
          <t>mww</t>
        </is>
      </c>
      <c r="N380" s="33" t="n">
        <v>10</v>
      </c>
      <c r="O380" s="33" t="n">
        <v>49.6388</v>
      </c>
      <c r="P380" s="33" t="n">
        <v>-127.732</v>
      </c>
      <c r="Q380" s="33" t="inlineStr">
        <is>
          <t>Vernon, Canada</t>
        </is>
      </c>
      <c r="T380" s="36">
        <f>DATE(MID(C380,7,4),MID(C380,4,2),MID(C380,1,2))+TIME(MID(C380,12,2),MID(C380,15,2),0)</f>
        <v/>
      </c>
      <c r="U380" s="33">
        <f>IF(ISNUMBER(VALUE(MID(A380,7,1))),"Distance-prefix pattern","Named-region pattern")</f>
        <v/>
      </c>
      <c r="V380" s="33">
        <f>LOWER(M380)</f>
        <v/>
      </c>
      <c r="W380" s="33">
        <f>IF(COUNTIFS($A$2:$A$1001,A380,$C$2:$C$1001,C380)&gt;1,"Duplicate","Unique")</f>
        <v/>
      </c>
      <c r="X380" s="33">
        <f>YEAR(T380)</f>
        <v/>
      </c>
      <c r="Y380" s="33">
        <f>IF(B380&lt;6.5,"&lt;6.5",IF(B380&lt;7,"6.5–6.9",IF(B380&lt;7.5,"7.0–7.4",IF(B380&lt;8,"7.5–7.9","8.0+"))))</f>
        <v/>
      </c>
      <c r="Z380" s="33">
        <f>IF(F380="","Blank",F380)</f>
        <v/>
      </c>
    </row>
    <row r="381" ht="15" customHeight="1" s="34">
      <c r="A381" s="33" t="inlineStr">
        <is>
          <t>M 7.5 - 70 km SW of Panguna, Papua New Guinea</t>
        </is>
      </c>
      <c r="B381" s="33" t="n">
        <v>7.5</v>
      </c>
      <c r="C381" s="33" t="inlineStr">
        <is>
          <t>19/04/2014 13:28</t>
        </is>
      </c>
      <c r="D381" s="33" t="n">
        <v>0</v>
      </c>
      <c r="E381" s="33" t="n">
        <v>6</v>
      </c>
      <c r="F381" s="33" t="inlineStr">
        <is>
          <t>green</t>
        </is>
      </c>
      <c r="G381" s="33" t="n">
        <v>1</v>
      </c>
      <c r="H381" s="33" t="n">
        <v>865</v>
      </c>
      <c r="I381" s="33" t="inlineStr">
        <is>
          <t>us</t>
        </is>
      </c>
      <c r="J381" s="33" t="n">
        <v>0</v>
      </c>
      <c r="K381" s="33" t="n">
        <v>3.82</v>
      </c>
      <c r="L381" s="33" t="n">
        <v>16</v>
      </c>
      <c r="M381" s="33" t="inlineStr">
        <is>
          <t>mww</t>
        </is>
      </c>
      <c r="N381" s="33" t="n">
        <v>43.37</v>
      </c>
      <c r="O381" s="33" t="n">
        <v>-6.7547</v>
      </c>
      <c r="P381" s="33" t="n">
        <v>155.024</v>
      </c>
      <c r="Q381" s="33" t="inlineStr">
        <is>
          <t>Panguna, Papua New Guinea</t>
        </is>
      </c>
      <c r="T381" s="36">
        <f>DATE(MID(C381,7,4),MID(C381,4,2),MID(C381,1,2))+TIME(MID(C381,12,2),MID(C381,15,2),0)</f>
        <v/>
      </c>
      <c r="U381" s="33">
        <f>IF(ISNUMBER(VALUE(MID(A381,7,1))),"Distance-prefix pattern","Named-region pattern")</f>
        <v/>
      </c>
      <c r="V381" s="33">
        <f>LOWER(M381)</f>
        <v/>
      </c>
      <c r="W381" s="33">
        <f>IF(COUNTIFS($A$2:$A$1001,A381,$C$2:$C$1001,C381)&gt;1,"Duplicate","Unique")</f>
        <v/>
      </c>
      <c r="X381" s="33">
        <f>YEAR(T381)</f>
        <v/>
      </c>
      <c r="Y381" s="33">
        <f>IF(B381&lt;6.5,"&lt;6.5",IF(B381&lt;7,"6.5–6.9",IF(B381&lt;7.5,"7.0–7.4",IF(B381&lt;8,"7.5–7.9","8.0+"))))</f>
        <v/>
      </c>
      <c r="Z381" s="33">
        <f>IF(F381="","Blank",F381)</f>
        <v/>
      </c>
    </row>
    <row r="382" ht="15" customHeight="1" s="34">
      <c r="A382" s="33" t="inlineStr">
        <is>
          <t>M 6.6 - 57 km SW of Panguna, Papua New Guinea</t>
        </is>
      </c>
      <c r="B382" s="33" t="n">
        <v>6.6</v>
      </c>
      <c r="C382" s="33" t="inlineStr">
        <is>
          <t>19/04/2014 01:04</t>
        </is>
      </c>
      <c r="D382" s="33" t="n">
        <v>0</v>
      </c>
      <c r="E382" s="33" t="n">
        <v>6</v>
      </c>
      <c r="F382" s="33" t="inlineStr">
        <is>
          <t>green</t>
        </is>
      </c>
      <c r="G382" s="33" t="n">
        <v>1</v>
      </c>
      <c r="H382" s="33" t="n">
        <v>670</v>
      </c>
      <c r="I382" s="33" t="inlineStr">
        <is>
          <t>us</t>
        </is>
      </c>
      <c r="J382" s="33" t="n">
        <v>0</v>
      </c>
      <c r="K382" s="33" t="n">
        <v>3.803</v>
      </c>
      <c r="L382" s="33" t="n">
        <v>11</v>
      </c>
      <c r="M382" s="33" t="inlineStr">
        <is>
          <t>mww</t>
        </is>
      </c>
      <c r="N382" s="33" t="n">
        <v>29</v>
      </c>
      <c r="O382" s="33" t="n">
        <v>-6.6558</v>
      </c>
      <c r="P382" s="33" t="n">
        <v>155.087</v>
      </c>
      <c r="Q382" s="33" t="inlineStr">
        <is>
          <t>Panguna, Papua New Guinea</t>
        </is>
      </c>
      <c r="S382" s="33" t="inlineStr">
        <is>
          <t>Papua New Guinea</t>
        </is>
      </c>
      <c r="T382" s="36">
        <f>DATE(MID(C382,7,4),MID(C382,4,2),MID(C382,1,2))+TIME(MID(C382,12,2),MID(C382,15,2),0)</f>
        <v/>
      </c>
      <c r="U382" s="33">
        <f>IF(ISNUMBER(VALUE(MID(A382,7,1))),"Distance-prefix pattern","Named-region pattern")</f>
        <v/>
      </c>
      <c r="V382" s="33">
        <f>LOWER(M382)</f>
        <v/>
      </c>
      <c r="W382" s="33">
        <f>IF(COUNTIFS($A$2:$A$1001,A382,$C$2:$C$1001,C382)&gt;1,"Duplicate","Unique")</f>
        <v/>
      </c>
      <c r="X382" s="33">
        <f>YEAR(T382)</f>
        <v/>
      </c>
      <c r="Y382" s="33">
        <f>IF(B382&lt;6.5,"&lt;6.5",IF(B382&lt;7,"6.5–6.9",IF(B382&lt;7.5,"7.0–7.4",IF(B382&lt;8,"7.5–7.9","8.0+"))))</f>
        <v/>
      </c>
      <c r="Z382" s="33">
        <f>IF(F382="","Blank",F382)</f>
        <v/>
      </c>
    </row>
    <row r="383" ht="15" customHeight="1" s="34">
      <c r="A383" s="33" t="inlineStr">
        <is>
          <t>M 7.2 - 9 km ENE of Coyuquilla Norte, Mexico</t>
        </is>
      </c>
      <c r="B383" s="33" t="n">
        <v>7.2</v>
      </c>
      <c r="C383" s="33" t="inlineStr">
        <is>
          <t>18/04/2014 14:27</t>
        </is>
      </c>
      <c r="D383" s="33" t="n">
        <v>8</v>
      </c>
      <c r="E383" s="33" t="n">
        <v>7</v>
      </c>
      <c r="F383" s="33" t="inlineStr">
        <is>
          <t>yellow</t>
        </is>
      </c>
      <c r="G383" s="33" t="n">
        <v>1</v>
      </c>
      <c r="H383" s="33" t="n">
        <v>1017</v>
      </c>
      <c r="I383" s="33" t="inlineStr">
        <is>
          <t>us</t>
        </is>
      </c>
      <c r="J383" s="33" t="n">
        <v>0</v>
      </c>
      <c r="K383" s="33" t="n">
        <v>2.25</v>
      </c>
      <c r="L383" s="33" t="n">
        <v>46</v>
      </c>
      <c r="M383" s="33" t="inlineStr">
        <is>
          <t>mww</t>
        </is>
      </c>
      <c r="N383" s="33" t="n">
        <v>24</v>
      </c>
      <c r="O383" s="33" t="n">
        <v>17.397</v>
      </c>
      <c r="P383" s="33" t="n">
        <v>-100.972</v>
      </c>
      <c r="Q383" s="33" t="inlineStr">
        <is>
          <t>Coyuquilla Norte, Mexico</t>
        </is>
      </c>
      <c r="R383" s="33" t="inlineStr">
        <is>
          <t>North America</t>
        </is>
      </c>
      <c r="S383" s="33" t="inlineStr">
        <is>
          <t>Mexico</t>
        </is>
      </c>
      <c r="T383" s="36">
        <f>DATE(MID(C383,7,4),MID(C383,4,2),MID(C383,1,2))+TIME(MID(C383,12,2),MID(C383,15,2),0)</f>
        <v/>
      </c>
      <c r="U383" s="33">
        <f>IF(ISNUMBER(VALUE(MID(A383,7,1))),"Distance-prefix pattern","Named-region pattern")</f>
        <v/>
      </c>
      <c r="V383" s="33">
        <f>LOWER(M383)</f>
        <v/>
      </c>
      <c r="W383" s="33">
        <f>IF(COUNTIFS($A$2:$A$1001,A383,$C$2:$C$1001,C383)&gt;1,"Duplicate","Unique")</f>
        <v/>
      </c>
      <c r="X383" s="33">
        <f>YEAR(T383)</f>
        <v/>
      </c>
      <c r="Y383" s="33">
        <f>IF(B383&lt;6.5,"&lt;6.5",IF(B383&lt;7,"6.5–6.9",IF(B383&lt;7.5,"7.0–7.4",IF(B383&lt;8,"7.5–7.9","8.0+"))))</f>
        <v/>
      </c>
      <c r="Z383" s="33">
        <f>IF(F383="","Blank",F383)</f>
        <v/>
      </c>
    </row>
    <row r="384" ht="15" customHeight="1" s="34">
      <c r="A384" s="33" t="inlineStr">
        <is>
          <t>M 6.6 - 75 km S of Kirakira, Solomon Islands</t>
        </is>
      </c>
      <c r="B384" s="33" t="n">
        <v>6.6</v>
      </c>
      <c r="C384" s="33" t="inlineStr">
        <is>
          <t>13/04/2014 13:24</t>
        </is>
      </c>
      <c r="D384" s="33" t="n">
        <v>0</v>
      </c>
      <c r="E384" s="33" t="n">
        <v>6</v>
      </c>
      <c r="F384" s="33" t="inlineStr">
        <is>
          <t>green</t>
        </is>
      </c>
      <c r="G384" s="33" t="n">
        <v>0</v>
      </c>
      <c r="H384" s="33" t="n">
        <v>670</v>
      </c>
      <c r="I384" s="33" t="inlineStr">
        <is>
          <t>us</t>
        </is>
      </c>
      <c r="J384" s="33" t="n">
        <v>0</v>
      </c>
      <c r="K384" s="33" t="n">
        <v>2.666</v>
      </c>
      <c r="L384" s="33" t="n">
        <v>22</v>
      </c>
      <c r="M384" s="33" t="inlineStr">
        <is>
          <t>mww</t>
        </is>
      </c>
      <c r="N384" s="33" t="n">
        <v>10</v>
      </c>
      <c r="O384" s="33" t="n">
        <v>-11.1284</v>
      </c>
      <c r="P384" s="33" t="n">
        <v>162.052</v>
      </c>
      <c r="Q384" s="33" t="inlineStr">
        <is>
          <t>Kirakira, Solomon Islands</t>
        </is>
      </c>
      <c r="T384" s="36">
        <f>DATE(MID(C384,7,4),MID(C384,4,2),MID(C384,1,2))+TIME(MID(C384,12,2),MID(C384,15,2),0)</f>
        <v/>
      </c>
      <c r="U384" s="33">
        <f>IF(ISNUMBER(VALUE(MID(A384,7,1))),"Distance-prefix pattern","Named-region pattern")</f>
        <v/>
      </c>
      <c r="V384" s="33">
        <f>LOWER(M384)</f>
        <v/>
      </c>
      <c r="W384" s="33">
        <f>IF(COUNTIFS($A$2:$A$1001,A384,$C$2:$C$1001,C384)&gt;1,"Duplicate","Unique")</f>
        <v/>
      </c>
      <c r="X384" s="33">
        <f>YEAR(T384)</f>
        <v/>
      </c>
      <c r="Y384" s="33">
        <f>IF(B384&lt;6.5,"&lt;6.5",IF(B384&lt;7,"6.5–6.9",IF(B384&lt;7.5,"7.0–7.4",IF(B384&lt;8,"7.5–7.9","8.0+"))))</f>
        <v/>
      </c>
      <c r="Z384" s="33">
        <f>IF(F384="","Blank",F384)</f>
        <v/>
      </c>
    </row>
    <row r="385" ht="15" customHeight="1" s="34">
      <c r="A385" s="33" t="inlineStr">
        <is>
          <t>M 7.4 - 112 km S of Kirakira, Solomon Islands</t>
        </is>
      </c>
      <c r="B385" s="33" t="n">
        <v>7.4</v>
      </c>
      <c r="C385" s="33" t="inlineStr">
        <is>
          <t>13/04/2014 12:36</t>
        </is>
      </c>
      <c r="D385" s="33" t="n">
        <v>0</v>
      </c>
      <c r="E385" s="33" t="n">
        <v>6</v>
      </c>
      <c r="F385" s="33" t="inlineStr">
        <is>
          <t>green</t>
        </is>
      </c>
      <c r="G385" s="33" t="n">
        <v>1</v>
      </c>
      <c r="H385" s="33" t="n">
        <v>842</v>
      </c>
      <c r="I385" s="33" t="inlineStr">
        <is>
          <t>us</t>
        </is>
      </c>
      <c r="J385" s="33" t="n">
        <v>0</v>
      </c>
      <c r="K385" s="33" t="n">
        <v>2.885</v>
      </c>
      <c r="L385" s="33" t="n">
        <v>17</v>
      </c>
      <c r="M385" s="33" t="inlineStr">
        <is>
          <t>mww</t>
        </is>
      </c>
      <c r="N385" s="33" t="n">
        <v>39</v>
      </c>
      <c r="O385" s="33" t="n">
        <v>-11.4633</v>
      </c>
      <c r="P385" s="33" t="n">
        <v>162.051</v>
      </c>
      <c r="Q385" s="33" t="inlineStr">
        <is>
          <t>Kirakira, Solomon Islands</t>
        </is>
      </c>
      <c r="T385" s="36">
        <f>DATE(MID(C385,7,4),MID(C385,4,2),MID(C385,1,2))+TIME(MID(C385,12,2),MID(C385,15,2),0)</f>
        <v/>
      </c>
      <c r="U385" s="33">
        <f>IF(ISNUMBER(VALUE(MID(A385,7,1))),"Distance-prefix pattern","Named-region pattern")</f>
        <v/>
      </c>
      <c r="V385" s="33">
        <f>LOWER(M385)</f>
        <v/>
      </c>
      <c r="W385" s="33">
        <f>IF(COUNTIFS($A$2:$A$1001,A385,$C$2:$C$1001,C385)&gt;1,"Duplicate","Unique")</f>
        <v/>
      </c>
      <c r="X385" s="33">
        <f>YEAR(T385)</f>
        <v/>
      </c>
      <c r="Y385" s="33">
        <f>IF(B385&lt;6.5,"&lt;6.5",IF(B385&lt;7,"6.5–6.9",IF(B385&lt;7.5,"7.0–7.4",IF(B385&lt;8,"7.5–7.9","8.0+"))))</f>
        <v/>
      </c>
      <c r="Z385" s="33">
        <f>IF(F385="","Blank",F385)</f>
        <v/>
      </c>
    </row>
    <row r="386" ht="15" customHeight="1" s="34">
      <c r="A386" s="33" t="inlineStr">
        <is>
          <t>M 7.6 - 93 km SSE of Kirakira, Solomon Islands</t>
        </is>
      </c>
      <c r="B386" s="33" t="n">
        <v>7.6</v>
      </c>
      <c r="C386" s="33" t="inlineStr">
        <is>
          <t>12/04/2014 20:14</t>
        </is>
      </c>
      <c r="D386" s="33" t="n">
        <v>0</v>
      </c>
      <c r="E386" s="33" t="n">
        <v>7</v>
      </c>
      <c r="F386" s="33" t="inlineStr">
        <is>
          <t>green</t>
        </is>
      </c>
      <c r="G386" s="33" t="n">
        <v>1</v>
      </c>
      <c r="H386" s="33" t="n">
        <v>889</v>
      </c>
      <c r="I386" s="33" t="inlineStr">
        <is>
          <t>us</t>
        </is>
      </c>
      <c r="J386" s="33" t="n">
        <v>0</v>
      </c>
      <c r="K386" s="33" t="n">
        <v>2.828</v>
      </c>
      <c r="L386" s="33" t="n">
        <v>13</v>
      </c>
      <c r="M386" s="33" t="inlineStr">
        <is>
          <t>mww</t>
        </is>
      </c>
      <c r="N386" s="33" t="n">
        <v>22.56</v>
      </c>
      <c r="O386" s="33" t="n">
        <v>-11.2701</v>
      </c>
      <c r="P386" s="33" t="n">
        <v>162.148</v>
      </c>
      <c r="Q386" s="33" t="inlineStr">
        <is>
          <t>Kirakira, Solomon Islands</t>
        </is>
      </c>
      <c r="T386" s="36">
        <f>DATE(MID(C386,7,4),MID(C386,4,2),MID(C386,1,2))+TIME(MID(C386,12,2),MID(C386,15,2),0)</f>
        <v/>
      </c>
      <c r="U386" s="33">
        <f>IF(ISNUMBER(VALUE(MID(A386,7,1))),"Distance-prefix pattern","Named-region pattern")</f>
        <v/>
      </c>
      <c r="V386" s="33">
        <f>LOWER(M386)</f>
        <v/>
      </c>
      <c r="W386" s="33">
        <f>IF(COUNTIFS($A$2:$A$1001,A386,$C$2:$C$1001,C386)&gt;1,"Duplicate","Unique")</f>
        <v/>
      </c>
      <c r="X386" s="33">
        <f>YEAR(T386)</f>
        <v/>
      </c>
      <c r="Y386" s="33">
        <f>IF(B386&lt;6.5,"&lt;6.5",IF(B386&lt;7,"6.5–6.9",IF(B386&lt;7.5,"7.0–7.4",IF(B386&lt;8,"7.5–7.9","8.0+"))))</f>
        <v/>
      </c>
      <c r="Z386" s="33">
        <f>IF(F386="","Blank",F386)</f>
        <v/>
      </c>
    </row>
    <row r="387" ht="15" customHeight="1" s="34">
      <c r="A387" s="33" t="inlineStr">
        <is>
          <t>M 6.6 - 15 km N of Belén, Nicaragua</t>
        </is>
      </c>
      <c r="B387" s="33" t="n">
        <v>6.6</v>
      </c>
      <c r="C387" s="33" t="inlineStr">
        <is>
          <t>11/04/2014 20:29</t>
        </is>
      </c>
      <c r="D387" s="33" t="n">
        <v>6</v>
      </c>
      <c r="E387" s="33" t="n">
        <v>5</v>
      </c>
      <c r="F387" s="33" t="inlineStr">
        <is>
          <t>green</t>
        </is>
      </c>
      <c r="G387" s="33" t="n">
        <v>1</v>
      </c>
      <c r="H387" s="33" t="n">
        <v>677</v>
      </c>
      <c r="I387" s="33" t="inlineStr">
        <is>
          <t>us</t>
        </is>
      </c>
      <c r="J387" s="33" t="n">
        <v>0</v>
      </c>
      <c r="K387" s="33" t="n">
        <v>0.761</v>
      </c>
      <c r="L387" s="33" t="n">
        <v>20</v>
      </c>
      <c r="M387" s="33" t="inlineStr">
        <is>
          <t>mww</t>
        </is>
      </c>
      <c r="N387" s="33" t="n">
        <v>135</v>
      </c>
      <c r="O387" s="33" t="n">
        <v>11.642</v>
      </c>
      <c r="P387" s="33" t="n">
        <v>-85.8779</v>
      </c>
      <c r="Q387" s="33" t="inlineStr">
        <is>
          <t>Belén, Nicaragua</t>
        </is>
      </c>
      <c r="S387" s="33" t="inlineStr">
        <is>
          <t>Nicaragua</t>
        </is>
      </c>
      <c r="T387" s="36">
        <f>DATE(MID(C387,7,4),MID(C387,4,2),MID(C387,1,2))+TIME(MID(C387,12,2),MID(C387,15,2),0)</f>
        <v/>
      </c>
      <c r="U387" s="33">
        <f>IF(ISNUMBER(VALUE(MID(A387,7,1))),"Distance-prefix pattern","Named-region pattern")</f>
        <v/>
      </c>
      <c r="V387" s="33">
        <f>LOWER(M387)</f>
        <v/>
      </c>
      <c r="W387" s="33">
        <f>IF(COUNTIFS($A$2:$A$1001,A387,$C$2:$C$1001,C387)&gt;1,"Duplicate","Unique")</f>
        <v/>
      </c>
      <c r="X387" s="33">
        <f>YEAR(T387)</f>
        <v/>
      </c>
      <c r="Y387" s="33">
        <f>IF(B387&lt;6.5,"&lt;6.5",IF(B387&lt;7,"6.5–6.9",IF(B387&lt;7.5,"7.0–7.4",IF(B387&lt;8,"7.5–7.9","8.0+"))))</f>
        <v/>
      </c>
      <c r="Z387" s="33">
        <f>IF(F387="","Blank",F387)</f>
        <v/>
      </c>
    </row>
    <row r="388" ht="15" customHeight="1" s="34">
      <c r="A388" s="33" t="inlineStr">
        <is>
          <t>M 6.5 - 78 km SW of Panguna, Papua New Guinea</t>
        </is>
      </c>
      <c r="B388" s="33" t="n">
        <v>6.5</v>
      </c>
      <c r="C388" s="33" t="inlineStr">
        <is>
          <t>11/04/2014 08:16</t>
        </is>
      </c>
      <c r="D388" s="33" t="n">
        <v>0</v>
      </c>
      <c r="E388" s="33" t="n">
        <v>6</v>
      </c>
      <c r="F388" s="33" t="inlineStr">
        <is>
          <t>green</t>
        </is>
      </c>
      <c r="G388" s="33" t="n">
        <v>1</v>
      </c>
      <c r="H388" s="33" t="n">
        <v>650</v>
      </c>
      <c r="I388" s="33" t="inlineStr">
        <is>
          <t>us</t>
        </is>
      </c>
      <c r="J388" s="33" t="n">
        <v>0</v>
      </c>
      <c r="K388" s="33" t="n">
        <v>3.787</v>
      </c>
      <c r="L388" s="33" t="n">
        <v>16</v>
      </c>
      <c r="M388" s="33" t="inlineStr">
        <is>
          <t>mww</t>
        </is>
      </c>
      <c r="N388" s="33" t="n">
        <v>20</v>
      </c>
      <c r="O388" s="33" t="n">
        <v>-6.7878</v>
      </c>
      <c r="P388" s="33" t="n">
        <v>154.95</v>
      </c>
      <c r="Q388" s="33" t="inlineStr">
        <is>
          <t>Panguna, Papua New Guinea</t>
        </is>
      </c>
      <c r="T388" s="36">
        <f>DATE(MID(C388,7,4),MID(C388,4,2),MID(C388,1,2))+TIME(MID(C388,12,2),MID(C388,15,2),0)</f>
        <v/>
      </c>
      <c r="U388" s="33">
        <f>IF(ISNUMBER(VALUE(MID(A388,7,1))),"Distance-prefix pattern","Named-region pattern")</f>
        <v/>
      </c>
      <c r="V388" s="33">
        <f>LOWER(M388)</f>
        <v/>
      </c>
      <c r="W388" s="33">
        <f>IF(COUNTIFS($A$2:$A$1001,A388,$C$2:$C$1001,C388)&gt;1,"Duplicate","Unique")</f>
        <v/>
      </c>
      <c r="X388" s="33">
        <f>YEAR(T388)</f>
        <v/>
      </c>
      <c r="Y388" s="33">
        <f>IF(B388&lt;6.5,"&lt;6.5",IF(B388&lt;7,"6.5–6.9",IF(B388&lt;7.5,"7.0–7.4",IF(B388&lt;8,"7.5–7.9","8.0+"))))</f>
        <v/>
      </c>
      <c r="Z388" s="33">
        <f>IF(F388="","Blank",F388)</f>
        <v/>
      </c>
    </row>
    <row r="389" ht="15" customHeight="1" s="34">
      <c r="A389" s="33" t="inlineStr">
        <is>
          <t>M 7.1 - 56 km WSW of Panguna, Papua New Guinea</t>
        </is>
      </c>
      <c r="B389" s="33" t="n">
        <v>7.1</v>
      </c>
      <c r="C389" s="33" t="inlineStr">
        <is>
          <t>11/04/2014 07:07</t>
        </is>
      </c>
      <c r="D389" s="33" t="n">
        <v>0</v>
      </c>
      <c r="E389" s="33" t="n">
        <v>7</v>
      </c>
      <c r="F389" s="33" t="inlineStr">
        <is>
          <t>green</t>
        </is>
      </c>
      <c r="G389" s="33" t="n">
        <v>1</v>
      </c>
      <c r="H389" s="33" t="n">
        <v>776</v>
      </c>
      <c r="I389" s="33" t="inlineStr">
        <is>
          <t>us</t>
        </is>
      </c>
      <c r="J389" s="33" t="n">
        <v>0</v>
      </c>
      <c r="K389" s="33" t="n">
        <v>3.729</v>
      </c>
      <c r="L389" s="33" t="n">
        <v>21</v>
      </c>
      <c r="M389" s="33" t="inlineStr">
        <is>
          <t>mww</t>
        </is>
      </c>
      <c r="N389" s="33" t="n">
        <v>60.53</v>
      </c>
      <c r="O389" s="33" t="n">
        <v>-6.5858</v>
      </c>
      <c r="P389" s="33" t="n">
        <v>155.048</v>
      </c>
      <c r="Q389" s="33" t="inlineStr">
        <is>
          <t>Panguna, Papua New Guinea</t>
        </is>
      </c>
      <c r="S389" s="33" t="inlineStr">
        <is>
          <t>Papua New Guinea</t>
        </is>
      </c>
      <c r="T389" s="36">
        <f>DATE(MID(C389,7,4),MID(C389,4,2),MID(C389,1,2))+TIME(MID(C389,12,2),MID(C389,15,2),0)</f>
        <v/>
      </c>
      <c r="U389" s="33">
        <f>IF(ISNUMBER(VALUE(MID(A389,7,1))),"Distance-prefix pattern","Named-region pattern")</f>
        <v/>
      </c>
      <c r="V389" s="33">
        <f>LOWER(M389)</f>
        <v/>
      </c>
      <c r="W389" s="33">
        <f>IF(COUNTIFS($A$2:$A$1001,A389,$C$2:$C$1001,C389)&gt;1,"Duplicate","Unique")</f>
        <v/>
      </c>
      <c r="X389" s="33">
        <f>YEAR(T389)</f>
        <v/>
      </c>
      <c r="Y389" s="33">
        <f>IF(B389&lt;6.5,"&lt;6.5",IF(B389&lt;7,"6.5–6.9",IF(B389&lt;7.5,"7.0–7.4",IF(B389&lt;8,"7.5–7.9","8.0+"))))</f>
        <v/>
      </c>
      <c r="Z389" s="33">
        <f>IF(F389="","Blank",F389)</f>
        <v/>
      </c>
    </row>
    <row r="390" ht="15" customHeight="1" s="34">
      <c r="A390" s="33" t="inlineStr">
        <is>
          <t>M 7.7 - 53 km SW of Iquique, Chile</t>
        </is>
      </c>
      <c r="B390" s="33" t="n">
        <v>7.7</v>
      </c>
      <c r="C390" s="33" t="inlineStr">
        <is>
          <t>03/04/2014 02:43</t>
        </is>
      </c>
      <c r="D390" s="33" t="n">
        <v>8</v>
      </c>
      <c r="E390" s="33" t="n">
        <v>9</v>
      </c>
      <c r="F390" s="33" t="inlineStr">
        <is>
          <t>yellow</t>
        </is>
      </c>
      <c r="G390" s="33" t="n">
        <v>1</v>
      </c>
      <c r="H390" s="33" t="n">
        <v>1057</v>
      </c>
      <c r="I390" s="33" t="inlineStr">
        <is>
          <t>us</t>
        </is>
      </c>
      <c r="J390" s="33" t="n">
        <v>0</v>
      </c>
      <c r="K390" s="33" t="n">
        <v>1.029</v>
      </c>
      <c r="L390" s="33" t="n">
        <v>44</v>
      </c>
      <c r="M390" s="33" t="inlineStr">
        <is>
          <t>mww</t>
        </is>
      </c>
      <c r="N390" s="33" t="n">
        <v>22.4</v>
      </c>
      <c r="O390" s="33" t="n">
        <v>-20.5709</v>
      </c>
      <c r="P390" s="33" t="n">
        <v>-70.4931</v>
      </c>
      <c r="Q390" s="33" t="inlineStr">
        <is>
          <t>Iquique, Chile</t>
        </is>
      </c>
      <c r="T390" s="36">
        <f>DATE(MID(C390,7,4),MID(C390,4,2),MID(C390,1,2))+TIME(MID(C390,12,2),MID(C390,15,2),0)</f>
        <v/>
      </c>
      <c r="U390" s="33">
        <f>IF(ISNUMBER(VALUE(MID(A390,7,1))),"Distance-prefix pattern","Named-region pattern")</f>
        <v/>
      </c>
      <c r="V390" s="33">
        <f>LOWER(M390)</f>
        <v/>
      </c>
      <c r="W390" s="33">
        <f>IF(COUNTIFS($A$2:$A$1001,A390,$C$2:$C$1001,C390)&gt;1,"Duplicate","Unique")</f>
        <v/>
      </c>
      <c r="X390" s="33">
        <f>YEAR(T390)</f>
        <v/>
      </c>
      <c r="Y390" s="33">
        <f>IF(B390&lt;6.5,"&lt;6.5",IF(B390&lt;7,"6.5–6.9",IF(B390&lt;7.5,"7.0–7.4",IF(B390&lt;8,"7.5–7.9","8.0+"))))</f>
        <v/>
      </c>
      <c r="Z390" s="33">
        <f>IF(F390="","Blank",F390)</f>
        <v/>
      </c>
    </row>
    <row r="391" ht="15" customHeight="1" s="34">
      <c r="A391" s="33" t="inlineStr">
        <is>
          <t>M 6.5 - 45 km WSW of Iquique, Chile</t>
        </is>
      </c>
      <c r="B391" s="33" t="n">
        <v>6.5</v>
      </c>
      <c r="C391" s="33" t="inlineStr">
        <is>
          <t>03/04/2014 01:58</t>
        </is>
      </c>
      <c r="D391" s="33" t="n">
        <v>7</v>
      </c>
      <c r="E391" s="33" t="n">
        <v>7</v>
      </c>
      <c r="F391" s="33" t="inlineStr">
        <is>
          <t>green</t>
        </is>
      </c>
      <c r="G391" s="33" t="n">
        <v>0</v>
      </c>
      <c r="H391" s="33" t="n">
        <v>670</v>
      </c>
      <c r="I391" s="33" t="inlineStr">
        <is>
          <t>us</t>
        </is>
      </c>
      <c r="J391" s="33" t="n">
        <v>0</v>
      </c>
      <c r="K391" s="33" t="n">
        <v>0.828</v>
      </c>
      <c r="L391" s="33" t="n">
        <v>82</v>
      </c>
      <c r="M391" s="33" t="inlineStr">
        <is>
          <t>mww</t>
        </is>
      </c>
      <c r="N391" s="33" t="n">
        <v>24.07</v>
      </c>
      <c r="O391" s="33" t="n">
        <v>-20.3113</v>
      </c>
      <c r="P391" s="33" t="n">
        <v>-70.57559999999999</v>
      </c>
      <c r="Q391" s="33" t="inlineStr">
        <is>
          <t>Iquique, Chile</t>
        </is>
      </c>
      <c r="T391" s="36">
        <f>DATE(MID(C391,7,4),MID(C391,4,2),MID(C391,1,2))+TIME(MID(C391,12,2),MID(C391,15,2),0)</f>
        <v/>
      </c>
      <c r="U391" s="33">
        <f>IF(ISNUMBER(VALUE(MID(A391,7,1))),"Distance-prefix pattern","Named-region pattern")</f>
        <v/>
      </c>
      <c r="V391" s="33">
        <f>LOWER(M391)</f>
        <v/>
      </c>
      <c r="W391" s="33">
        <f>IF(COUNTIFS($A$2:$A$1001,A391,$C$2:$C$1001,C391)&gt;1,"Duplicate","Unique")</f>
        <v/>
      </c>
      <c r="X391" s="33">
        <f>YEAR(T391)</f>
        <v/>
      </c>
      <c r="Y391" s="33">
        <f>IF(B391&lt;6.5,"&lt;6.5",IF(B391&lt;7,"6.5–6.9",IF(B391&lt;7.5,"7.0–7.4",IF(B391&lt;8,"7.5–7.9","8.0+"))))</f>
        <v/>
      </c>
      <c r="Z391" s="33">
        <f>IF(F391="","Blank",F391)</f>
        <v/>
      </c>
    </row>
    <row r="392" ht="15" customHeight="1" s="34">
      <c r="A392" s="33" t="inlineStr">
        <is>
          <t>M 6.9 - 90 km WNW of Iquique, Chile</t>
        </is>
      </c>
      <c r="B392" s="33" t="n">
        <v>6.9</v>
      </c>
      <c r="C392" s="33" t="inlineStr">
        <is>
          <t>01/04/2014 23:57</t>
        </is>
      </c>
      <c r="D392" s="33" t="n">
        <v>0</v>
      </c>
      <c r="E392" s="33" t="n">
        <v>5</v>
      </c>
      <c r="F392" s="33" t="inlineStr">
        <is>
          <t>green</t>
        </is>
      </c>
      <c r="G392" s="33" t="n">
        <v>0</v>
      </c>
      <c r="H392" s="33" t="n">
        <v>732</v>
      </c>
      <c r="I392" s="33" t="inlineStr">
        <is>
          <t>us</t>
        </is>
      </c>
      <c r="J392" s="33" t="n">
        <v>0</v>
      </c>
      <c r="K392" s="33" t="n">
        <v>0.828</v>
      </c>
      <c r="L392" s="33" t="n">
        <v>119</v>
      </c>
      <c r="M392" s="33" t="inlineStr">
        <is>
          <t>mww</t>
        </is>
      </c>
      <c r="N392" s="33" t="n">
        <v>28.42</v>
      </c>
      <c r="O392" s="33" t="n">
        <v>-19.8927</v>
      </c>
      <c r="P392" s="33" t="n">
        <v>-70.9455</v>
      </c>
      <c r="Q392" s="33" t="inlineStr">
        <is>
          <t>Iquique, Chile</t>
        </is>
      </c>
      <c r="T392" s="36">
        <f>DATE(MID(C392,7,4),MID(C392,4,2),MID(C392,1,2))+TIME(MID(C392,12,2),MID(C392,15,2),0)</f>
        <v/>
      </c>
      <c r="U392" s="33">
        <f>IF(ISNUMBER(VALUE(MID(A392,7,1))),"Distance-prefix pattern","Named-region pattern")</f>
        <v/>
      </c>
      <c r="V392" s="33">
        <f>LOWER(M392)</f>
        <v/>
      </c>
      <c r="W392" s="33">
        <f>IF(COUNTIFS($A$2:$A$1001,A392,$C$2:$C$1001,C392)&gt;1,"Duplicate","Unique")</f>
        <v/>
      </c>
      <c r="X392" s="33">
        <f>YEAR(T392)</f>
        <v/>
      </c>
      <c r="Y392" s="33">
        <f>IF(B392&lt;6.5,"&lt;6.5",IF(B392&lt;7,"6.5–6.9",IF(B392&lt;7.5,"7.0–7.4",IF(B392&lt;8,"7.5–7.9","8.0+"))))</f>
        <v/>
      </c>
      <c r="Z392" s="33">
        <f>IF(F392="","Blank",F392)</f>
        <v/>
      </c>
    </row>
    <row r="393" ht="15" customHeight="1" s="34">
      <c r="A393" s="33" t="inlineStr">
        <is>
          <t>M 8.2 - 93 km NW of Iquique, Chile</t>
        </is>
      </c>
      <c r="B393" s="33" t="n">
        <v>8.199999999999999</v>
      </c>
      <c r="C393" s="33" t="inlineStr">
        <is>
          <t>01/04/2014 23:46</t>
        </is>
      </c>
      <c r="D393" s="33" t="n">
        <v>9</v>
      </c>
      <c r="E393" s="33" t="n">
        <v>8</v>
      </c>
      <c r="F393" s="33" t="inlineStr">
        <is>
          <t>yellow</t>
        </is>
      </c>
      <c r="G393" s="33" t="n">
        <v>1</v>
      </c>
      <c r="H393" s="33" t="n">
        <v>1332</v>
      </c>
      <c r="I393" s="33" t="inlineStr">
        <is>
          <t>us</t>
        </is>
      </c>
      <c r="J393" s="33" t="n">
        <v>0</v>
      </c>
      <c r="K393" s="33" t="n">
        <v>0.609</v>
      </c>
      <c r="L393" s="33" t="n">
        <v>23</v>
      </c>
      <c r="M393" s="33" t="inlineStr">
        <is>
          <t>mww</t>
        </is>
      </c>
      <c r="N393" s="33" t="n">
        <v>25</v>
      </c>
      <c r="O393" s="33" t="n">
        <v>-19.6097</v>
      </c>
      <c r="P393" s="33" t="n">
        <v>-70.76909999999999</v>
      </c>
      <c r="Q393" s="33" t="inlineStr">
        <is>
          <t>Iquique, Chile</t>
        </is>
      </c>
      <c r="T393" s="36">
        <f>DATE(MID(C393,7,4),MID(C393,4,2),MID(C393,1,2))+TIME(MID(C393,12,2),MID(C393,15,2),0)</f>
        <v/>
      </c>
      <c r="U393" s="33">
        <f>IF(ISNUMBER(VALUE(MID(A393,7,1))),"Distance-prefix pattern","Named-region pattern")</f>
        <v/>
      </c>
      <c r="V393" s="33">
        <f>LOWER(M393)</f>
        <v/>
      </c>
      <c r="W393" s="33">
        <f>IF(COUNTIFS($A$2:$A$1001,A393,$C$2:$C$1001,C393)&gt;1,"Duplicate","Unique")</f>
        <v/>
      </c>
      <c r="X393" s="33">
        <f>YEAR(T393)</f>
        <v/>
      </c>
      <c r="Y393" s="33">
        <f>IF(B393&lt;6.5,"&lt;6.5",IF(B393&lt;7,"6.5–6.9",IF(B393&lt;7.5,"7.0–7.4",IF(B393&lt;8,"7.5–7.9","8.0+"))))</f>
        <v/>
      </c>
      <c r="Z393" s="33">
        <f>IF(F393="","Blank",F393)</f>
        <v/>
      </c>
    </row>
    <row r="394" ht="15" customHeight="1" s="34">
      <c r="A394" s="33" t="inlineStr">
        <is>
          <t>M 6.7 - 63 km WNW of Iquique, Chile</t>
        </is>
      </c>
      <c r="B394" s="33" t="n">
        <v>6.7</v>
      </c>
      <c r="C394" s="33" t="inlineStr">
        <is>
          <t>16/03/2014 21:16</t>
        </is>
      </c>
      <c r="D394" s="33" t="n">
        <v>7</v>
      </c>
      <c r="E394" s="33" t="n">
        <v>7</v>
      </c>
      <c r="F394" s="33" t="inlineStr">
        <is>
          <t>green</t>
        </is>
      </c>
      <c r="G394" s="33" t="n">
        <v>1</v>
      </c>
      <c r="H394" s="33" t="n">
        <v>718</v>
      </c>
      <c r="I394" s="33" t="inlineStr">
        <is>
          <t>us</t>
        </is>
      </c>
      <c r="J394" s="33" t="n">
        <v>0</v>
      </c>
      <c r="K394" s="33" t="n">
        <v>1.008</v>
      </c>
      <c r="L394" s="33" t="n">
        <v>44</v>
      </c>
      <c r="M394" s="33" t="inlineStr">
        <is>
          <t>mww</t>
        </is>
      </c>
      <c r="N394" s="33" t="n">
        <v>20</v>
      </c>
      <c r="O394" s="33" t="n">
        <v>-19.9807</v>
      </c>
      <c r="P394" s="33" t="n">
        <v>-70.7022</v>
      </c>
      <c r="Q394" s="33" t="inlineStr">
        <is>
          <t>Iquique, Chile</t>
        </is>
      </c>
      <c r="T394" s="36">
        <f>DATE(MID(C394,7,4),MID(C394,4,2),MID(C394,1,2))+TIME(MID(C394,12,2),MID(C394,15,2),0)</f>
        <v/>
      </c>
      <c r="U394" s="33">
        <f>IF(ISNUMBER(VALUE(MID(A394,7,1))),"Distance-prefix pattern","Named-region pattern")</f>
        <v/>
      </c>
      <c r="V394" s="33">
        <f>LOWER(M394)</f>
        <v/>
      </c>
      <c r="W394" s="33">
        <f>IF(COUNTIFS($A$2:$A$1001,A394,$C$2:$C$1001,C394)&gt;1,"Duplicate","Unique")</f>
        <v/>
      </c>
      <c r="X394" s="33">
        <f>YEAR(T394)</f>
        <v/>
      </c>
      <c r="Y394" s="33">
        <f>IF(B394&lt;6.5,"&lt;6.5",IF(B394&lt;7,"6.5–6.9",IF(B394&lt;7.5,"7.0–7.4",IF(B394&lt;8,"7.5–7.9","8.0+"))))</f>
        <v/>
      </c>
      <c r="Z394" s="33">
        <f>IF(F394="","Blank",F394)</f>
        <v/>
      </c>
    </row>
    <row r="395" ht="15" customHeight="1" s="34">
      <c r="A395" s="33" t="inlineStr">
        <is>
          <t>M 6.8 - 77 km WNW of Indianola, California</t>
        </is>
      </c>
      <c r="B395" s="33" t="n">
        <v>6.8</v>
      </c>
      <c r="C395" s="33" t="inlineStr">
        <is>
          <t>10/03/2014 05:18</t>
        </is>
      </c>
      <c r="D395" s="33" t="n">
        <v>5</v>
      </c>
      <c r="E395" s="33" t="n">
        <v>5</v>
      </c>
      <c r="F395" s="33" t="inlineStr">
        <is>
          <t>green</t>
        </is>
      </c>
      <c r="G395" s="33" t="n">
        <v>1</v>
      </c>
      <c r="H395" s="33" t="n">
        <v>1211</v>
      </c>
      <c r="I395" s="33" t="inlineStr">
        <is>
          <t>nc</t>
        </is>
      </c>
      <c r="J395" s="33" t="n">
        <v>112</v>
      </c>
      <c r="K395" s="33" t="n">
        <v>0.6568000000000001</v>
      </c>
      <c r="L395" s="33" t="n">
        <v>229</v>
      </c>
      <c r="M395" s="33" t="inlineStr">
        <is>
          <t>mw</t>
        </is>
      </c>
      <c r="N395" s="33" t="n">
        <v>16.441</v>
      </c>
      <c r="O395" s="33" t="n">
        <v>40.8287</v>
      </c>
      <c r="P395" s="33" t="n">
        <v>-125.134</v>
      </c>
      <c r="Q395" s="33" t="inlineStr">
        <is>
          <t>Indianola, California</t>
        </is>
      </c>
      <c r="T395" s="36">
        <f>DATE(MID(C395,7,4),MID(C395,4,2),MID(C395,1,2))+TIME(MID(C395,12,2),MID(C395,15,2),0)</f>
        <v/>
      </c>
      <c r="U395" s="33">
        <f>IF(ISNUMBER(VALUE(MID(A395,7,1))),"Distance-prefix pattern","Named-region pattern")</f>
        <v/>
      </c>
      <c r="V395" s="33">
        <f>LOWER(M395)</f>
        <v/>
      </c>
      <c r="W395" s="33">
        <f>IF(COUNTIFS($A$2:$A$1001,A395,$C$2:$C$1001,C395)&gt;1,"Duplicate","Unique")</f>
        <v/>
      </c>
      <c r="X395" s="33">
        <f>YEAR(T395)</f>
        <v/>
      </c>
      <c r="Y395" s="33">
        <f>IF(B395&lt;6.5,"&lt;6.5",IF(B395&lt;7,"6.5–6.9",IF(B395&lt;7.5,"7.0–7.4",IF(B395&lt;8,"7.5–7.9","8.0+"))))</f>
        <v/>
      </c>
      <c r="Z395" s="33">
        <f>IF(F395="","Blank",F395)</f>
        <v/>
      </c>
    </row>
    <row r="396" ht="15" customHeight="1" s="34">
      <c r="A396" s="33" t="inlineStr">
        <is>
          <t>M 6.5 - 109 km NW of Nago, Japan</t>
        </is>
      </c>
      <c r="B396" s="33" t="n">
        <v>6.5</v>
      </c>
      <c r="C396" s="33" t="inlineStr">
        <is>
          <t>02/03/2014 20:11</t>
        </is>
      </c>
      <c r="D396" s="33" t="n">
        <v>4</v>
      </c>
      <c r="E396" s="33" t="n">
        <v>5</v>
      </c>
      <c r="F396" s="33" t="inlineStr">
        <is>
          <t>green</t>
        </is>
      </c>
      <c r="G396" s="33" t="n">
        <v>1</v>
      </c>
      <c r="H396" s="33" t="n">
        <v>668</v>
      </c>
      <c r="I396" s="33" t="inlineStr">
        <is>
          <t>us</t>
        </is>
      </c>
      <c r="J396" s="33" t="n">
        <v>0</v>
      </c>
      <c r="K396" s="33" t="n">
        <v>1.001</v>
      </c>
      <c r="L396" s="33" t="n">
        <v>17</v>
      </c>
      <c r="M396" s="33" t="inlineStr">
        <is>
          <t>mww</t>
        </is>
      </c>
      <c r="N396" s="33" t="n">
        <v>119</v>
      </c>
      <c r="O396" s="33" t="n">
        <v>27.4312</v>
      </c>
      <c r="P396" s="33" t="n">
        <v>127.367</v>
      </c>
      <c r="Q396" s="33" t="inlineStr">
        <is>
          <t>Nago, Japan</t>
        </is>
      </c>
      <c r="T396" s="36">
        <f>DATE(MID(C396,7,4),MID(C396,4,2),MID(C396,1,2))+TIME(MID(C396,12,2),MID(C396,15,2),0)</f>
        <v/>
      </c>
      <c r="U396" s="33">
        <f>IF(ISNUMBER(VALUE(MID(A396,7,1))),"Distance-prefix pattern","Named-region pattern")</f>
        <v/>
      </c>
      <c r="V396" s="33">
        <f>LOWER(M396)</f>
        <v/>
      </c>
      <c r="W396" s="33">
        <f>IF(COUNTIFS($A$2:$A$1001,A396,$C$2:$C$1001,C396)&gt;1,"Duplicate","Unique")</f>
        <v/>
      </c>
      <c r="X396" s="33">
        <f>YEAR(T396)</f>
        <v/>
      </c>
      <c r="Y396" s="33">
        <f>IF(B396&lt;6.5,"&lt;6.5",IF(B396&lt;7,"6.5–6.9",IF(B396&lt;7.5,"7.0–7.4",IF(B396&lt;8,"7.5–7.9","8.0+"))))</f>
        <v/>
      </c>
      <c r="Z396" s="33">
        <f>IF(F396="","Blank",F396)</f>
        <v/>
      </c>
    </row>
    <row r="397" ht="15" customHeight="1" s="34">
      <c r="A397" s="33" t="inlineStr">
        <is>
          <t>M 6.5 - 171 km NNE of Greenland, Barbados</t>
        </is>
      </c>
      <c r="B397" s="33" t="n">
        <v>6.5</v>
      </c>
      <c r="C397" s="33" t="inlineStr">
        <is>
          <t>18/02/2014 09:27</t>
        </is>
      </c>
      <c r="D397" s="33" t="n">
        <v>5</v>
      </c>
      <c r="E397" s="33" t="n">
        <v>4</v>
      </c>
      <c r="F397" s="33" t="inlineStr">
        <is>
          <t>green</t>
        </is>
      </c>
      <c r="G397" s="33" t="n">
        <v>1</v>
      </c>
      <c r="H397" s="33" t="n">
        <v>681</v>
      </c>
      <c r="I397" s="33" t="inlineStr">
        <is>
          <t>us</t>
        </is>
      </c>
      <c r="J397" s="33" t="n">
        <v>0</v>
      </c>
      <c r="K397" s="33" t="n">
        <v>1.635</v>
      </c>
      <c r="L397" s="33" t="n">
        <v>30</v>
      </c>
      <c r="M397" s="33" t="inlineStr">
        <is>
          <t>mww</t>
        </is>
      </c>
      <c r="N397" s="33" t="n">
        <v>14.83</v>
      </c>
      <c r="O397" s="33" t="n">
        <v>14.6682</v>
      </c>
      <c r="P397" s="33" t="n">
        <v>-58.9272</v>
      </c>
      <c r="Q397" s="33" t="inlineStr">
        <is>
          <t>Greenland, Barbados</t>
        </is>
      </c>
      <c r="T397" s="36">
        <f>DATE(MID(C397,7,4),MID(C397,4,2),MID(C397,1,2))+TIME(MID(C397,12,2),MID(C397,15,2),0)</f>
        <v/>
      </c>
      <c r="U397" s="33">
        <f>IF(ISNUMBER(VALUE(MID(A397,7,1))),"Distance-prefix pattern","Named-region pattern")</f>
        <v/>
      </c>
      <c r="V397" s="33">
        <f>LOWER(M397)</f>
        <v/>
      </c>
      <c r="W397" s="33">
        <f>IF(COUNTIFS($A$2:$A$1001,A397,$C$2:$C$1001,C397)&gt;1,"Duplicate","Unique")</f>
        <v/>
      </c>
      <c r="X397" s="33">
        <f>YEAR(T397)</f>
        <v/>
      </c>
      <c r="Y397" s="33">
        <f>IF(B397&lt;6.5,"&lt;6.5",IF(B397&lt;7,"6.5–6.9",IF(B397&lt;7.5,"7.0–7.4",IF(B397&lt;8,"7.5–7.9","8.0+"))))</f>
        <v/>
      </c>
      <c r="Z397" s="33">
        <f>IF(F397="","Blank",F397)</f>
        <v/>
      </c>
    </row>
    <row r="398" ht="15" customHeight="1" s="34">
      <c r="A398" s="33" t="inlineStr">
        <is>
          <t>M 6.9 - 272 km ESE of Hotan, China</t>
        </is>
      </c>
      <c r="B398" s="33" t="n">
        <v>6.9</v>
      </c>
      <c r="C398" s="33" t="inlineStr">
        <is>
          <t>12/02/2014 09:19</t>
        </is>
      </c>
      <c r="D398" s="33" t="n">
        <v>3</v>
      </c>
      <c r="E398" s="33" t="n">
        <v>8</v>
      </c>
      <c r="F398" s="33" t="inlineStr">
        <is>
          <t>yellow</t>
        </is>
      </c>
      <c r="G398" s="33" t="n">
        <v>0</v>
      </c>
      <c r="H398" s="33" t="n">
        <v>733</v>
      </c>
      <c r="I398" s="33" t="inlineStr">
        <is>
          <t>us</t>
        </is>
      </c>
      <c r="J398" s="33" t="n">
        <v>0</v>
      </c>
      <c r="K398" s="33" t="n">
        <v>7.496</v>
      </c>
      <c r="L398" s="33" t="n">
        <v>18</v>
      </c>
      <c r="M398" s="33" t="inlineStr">
        <is>
          <t>mww</t>
        </is>
      </c>
      <c r="N398" s="33" t="n">
        <v>10</v>
      </c>
      <c r="O398" s="33" t="n">
        <v>35.9053</v>
      </c>
      <c r="P398" s="33" t="n">
        <v>82.5864</v>
      </c>
      <c r="Q398" s="33" t="inlineStr">
        <is>
          <t>Hotan, China</t>
        </is>
      </c>
      <c r="R398" s="33" t="inlineStr">
        <is>
          <t>Asia</t>
        </is>
      </c>
      <c r="S398" s="33" t="inlineStr">
        <is>
          <t>People's Republic of China</t>
        </is>
      </c>
      <c r="T398" s="36">
        <f>DATE(MID(C398,7,4),MID(C398,4,2),MID(C398,1,2))+TIME(MID(C398,12,2),MID(C398,15,2),0)</f>
        <v/>
      </c>
      <c r="U398" s="33">
        <f>IF(ISNUMBER(VALUE(MID(A398,7,1))),"Distance-prefix pattern","Named-region pattern")</f>
        <v/>
      </c>
      <c r="V398" s="33">
        <f>LOWER(M398)</f>
        <v/>
      </c>
      <c r="W398" s="33">
        <f>IF(COUNTIFS($A$2:$A$1001,A398,$C$2:$C$1001,C398)&gt;1,"Duplicate","Unique")</f>
        <v/>
      </c>
      <c r="X398" s="33">
        <f>YEAR(T398)</f>
        <v/>
      </c>
      <c r="Y398" s="33">
        <f>IF(B398&lt;6.5,"&lt;6.5",IF(B398&lt;7,"6.5–6.9",IF(B398&lt;7.5,"7.0–7.4",IF(B398&lt;8,"7.5–7.9","8.0+"))))</f>
        <v/>
      </c>
      <c r="Z398" s="33">
        <f>IF(F398="","Blank",F398)</f>
        <v/>
      </c>
    </row>
    <row r="399" ht="15" customHeight="1" s="34">
      <c r="A399" s="33" t="inlineStr">
        <is>
          <t>M 6.5 - 32 km E of Port-Olry, Vanuatu</t>
        </is>
      </c>
      <c r="B399" s="33" t="n">
        <v>6.5</v>
      </c>
      <c r="C399" s="33" t="inlineStr">
        <is>
          <t>07/02/2014 08:40</t>
        </is>
      </c>
      <c r="D399" s="33" t="n">
        <v>0</v>
      </c>
      <c r="E399" s="33" t="n">
        <v>5</v>
      </c>
      <c r="F399" s="33" t="inlineStr">
        <is>
          <t>green</t>
        </is>
      </c>
      <c r="G399" s="33" t="n">
        <v>1</v>
      </c>
      <c r="H399" s="33" t="n">
        <v>650</v>
      </c>
      <c r="I399" s="33" t="inlineStr">
        <is>
          <t>us</t>
        </is>
      </c>
      <c r="J399" s="33" t="n">
        <v>0</v>
      </c>
      <c r="K399" s="33" t="n">
        <v>0.409</v>
      </c>
      <c r="L399" s="33" t="n">
        <v>20</v>
      </c>
      <c r="M399" s="33" t="inlineStr">
        <is>
          <t>mww</t>
        </is>
      </c>
      <c r="N399" s="33" t="n">
        <v>122</v>
      </c>
      <c r="O399" s="33" t="n">
        <v>-15.0691</v>
      </c>
      <c r="P399" s="33" t="n">
        <v>167.372</v>
      </c>
      <c r="Q399" s="33" t="inlineStr">
        <is>
          <t>Port-Olry, Vanuatu</t>
        </is>
      </c>
      <c r="S399" s="33" t="inlineStr">
        <is>
          <t>Vanuatu</t>
        </is>
      </c>
      <c r="T399" s="36">
        <f>DATE(MID(C399,7,4),MID(C399,4,2),MID(C399,1,2))+TIME(MID(C399,12,2),MID(C399,15,2),0)</f>
        <v/>
      </c>
      <c r="U399" s="33">
        <f>IF(ISNUMBER(VALUE(MID(A399,7,1))),"Distance-prefix pattern","Named-region pattern")</f>
        <v/>
      </c>
      <c r="V399" s="33">
        <f>LOWER(M399)</f>
        <v/>
      </c>
      <c r="W399" s="33">
        <f>IF(COUNTIFS($A$2:$A$1001,A399,$C$2:$C$1001,C399)&gt;1,"Duplicate","Unique")</f>
        <v/>
      </c>
      <c r="X399" s="33">
        <f>YEAR(T399)</f>
        <v/>
      </c>
      <c r="Y399" s="33">
        <f>IF(B399&lt;6.5,"&lt;6.5",IF(B399&lt;7,"6.5–6.9",IF(B399&lt;7.5,"7.0–7.4",IF(B399&lt;8,"7.5–7.9","8.0+"))))</f>
        <v/>
      </c>
      <c r="Z399" s="33">
        <f>IF(F399="","Blank",F399)</f>
        <v/>
      </c>
    </row>
    <row r="400" ht="15" customHeight="1" s="34">
      <c r="A400" s="33" t="inlineStr">
        <is>
          <t>M 6.5 - south of the Kermadec Islands</t>
        </is>
      </c>
      <c r="B400" s="33" t="n">
        <v>6.5</v>
      </c>
      <c r="C400" s="33" t="inlineStr">
        <is>
          <t>02/02/2014 09:26</t>
        </is>
      </c>
      <c r="D400" s="33" t="n">
        <v>0</v>
      </c>
      <c r="E400" s="33" t="n">
        <v>3</v>
      </c>
      <c r="F400" s="33" t="inlineStr">
        <is>
          <t>green</t>
        </is>
      </c>
      <c r="G400" s="33" t="n">
        <v>1</v>
      </c>
      <c r="H400" s="33" t="n">
        <v>650</v>
      </c>
      <c r="I400" s="33" t="inlineStr">
        <is>
          <t>us</t>
        </is>
      </c>
      <c r="J400" s="33" t="n">
        <v>0</v>
      </c>
      <c r="K400" s="33" t="n">
        <v>3.651</v>
      </c>
      <c r="L400" s="33" t="n">
        <v>22</v>
      </c>
      <c r="M400" s="33" t="inlineStr">
        <is>
          <t>mww</t>
        </is>
      </c>
      <c r="N400" s="33" t="n">
        <v>44.26</v>
      </c>
      <c r="O400" s="33" t="n">
        <v>-32.9076</v>
      </c>
      <c r="P400" s="33" t="n">
        <v>-177.881</v>
      </c>
      <c r="Q400" s="33" t="inlineStr">
        <is>
          <t>the Kermadec Islands</t>
        </is>
      </c>
      <c r="T400" s="36">
        <f>DATE(MID(C400,7,4),MID(C400,4,2),MID(C400,1,2))+TIME(MID(C400,12,2),MID(C400,15,2),0)</f>
        <v/>
      </c>
      <c r="U400" s="33">
        <f>IF(ISNUMBER(VALUE(MID(A400,7,1))),"Distance-prefix pattern","Named-region pattern")</f>
        <v/>
      </c>
      <c r="V400" s="33">
        <f>LOWER(M400)</f>
        <v/>
      </c>
      <c r="W400" s="33">
        <f>IF(COUNTIFS($A$2:$A$1001,A400,$C$2:$C$1001,C400)&gt;1,"Duplicate","Unique")</f>
        <v/>
      </c>
      <c r="X400" s="33">
        <f>YEAR(T400)</f>
        <v/>
      </c>
      <c r="Y400" s="33">
        <f>IF(B400&lt;6.5,"&lt;6.5",IF(B400&lt;7,"6.5–6.9",IF(B400&lt;7.5,"7.0–7.4",IF(B400&lt;8,"7.5–7.9","8.0+"))))</f>
        <v/>
      </c>
      <c r="Z400" s="33">
        <f>IF(F400="","Blank",F400)</f>
        <v/>
      </c>
    </row>
    <row r="401" ht="15" customHeight="1" s="34">
      <c r="A401" s="33" t="inlineStr">
        <is>
          <t>M 6.5 - 32 km W of Sola, Vanuatu</t>
        </is>
      </c>
      <c r="B401" s="33" t="n">
        <v>6.5</v>
      </c>
      <c r="C401" s="33" t="inlineStr">
        <is>
          <t>01/01/2014 16:03</t>
        </is>
      </c>
      <c r="D401" s="33" t="n">
        <v>0</v>
      </c>
      <c r="E401" s="33" t="n">
        <v>4</v>
      </c>
      <c r="F401" s="33" t="inlineStr">
        <is>
          <t>green</t>
        </is>
      </c>
      <c r="G401" s="33" t="n">
        <v>1</v>
      </c>
      <c r="H401" s="33" t="n">
        <v>650</v>
      </c>
      <c r="I401" s="33" t="inlineStr">
        <is>
          <t>us</t>
        </is>
      </c>
      <c r="J401" s="33" t="n">
        <v>0</v>
      </c>
      <c r="K401" s="33" t="n">
        <v>3.997</v>
      </c>
      <c r="L401" s="33" t="n">
        <v>14</v>
      </c>
      <c r="M401" s="33" t="inlineStr">
        <is>
          <t>mww</t>
        </is>
      </c>
      <c r="N401" s="33" t="n">
        <v>187</v>
      </c>
      <c r="O401" s="33" t="n">
        <v>-13.8633</v>
      </c>
      <c r="P401" s="33" t="n">
        <v>167.249</v>
      </c>
      <c r="Q401" s="33" t="inlineStr">
        <is>
          <t>Sola, Vanuatu</t>
        </is>
      </c>
      <c r="S401" s="33" t="inlineStr">
        <is>
          <t>Vanuatu</t>
        </is>
      </c>
      <c r="T401" s="36">
        <f>DATE(MID(C401,7,4),MID(C401,4,2),MID(C401,1,2))+TIME(MID(C401,12,2),MID(C401,15,2),0)</f>
        <v/>
      </c>
      <c r="U401" s="33">
        <f>IF(ISNUMBER(VALUE(MID(A401,7,1))),"Distance-prefix pattern","Named-region pattern")</f>
        <v/>
      </c>
      <c r="V401" s="33">
        <f>LOWER(M401)</f>
        <v/>
      </c>
      <c r="W401" s="33">
        <f>IF(COUNTIFS($A$2:$A$1001,A401,$C$2:$C$1001,C401)&gt;1,"Duplicate","Unique")</f>
        <v/>
      </c>
      <c r="X401" s="33">
        <f>YEAR(T401)</f>
        <v/>
      </c>
      <c r="Y401" s="33">
        <f>IF(B401&lt;6.5,"&lt;6.5",IF(B401&lt;7,"6.5–6.9",IF(B401&lt;7.5,"7.0–7.4",IF(B401&lt;8,"7.5–7.9","8.0+"))))</f>
        <v/>
      </c>
      <c r="Z401" s="33">
        <f>IF(F401="","Blank",F401)</f>
        <v/>
      </c>
    </row>
    <row r="402" ht="15" customHeight="1" s="34">
      <c r="A402" s="33" t="inlineStr">
        <is>
          <t>M 6.5 - Fiji region</t>
        </is>
      </c>
      <c r="B402" s="33" t="n">
        <v>6.5</v>
      </c>
      <c r="C402" s="33" t="inlineStr">
        <is>
          <t>23/11/2013 07:48</t>
        </is>
      </c>
      <c r="D402" s="33" t="n">
        <v>3</v>
      </c>
      <c r="E402" s="33" t="n">
        <v>4</v>
      </c>
      <c r="F402" s="33" t="inlineStr">
        <is>
          <t>green</t>
        </is>
      </c>
      <c r="G402" s="33" t="n">
        <v>0</v>
      </c>
      <c r="H402" s="33" t="n">
        <v>651</v>
      </c>
      <c r="I402" s="33" t="inlineStr">
        <is>
          <t>us</t>
        </is>
      </c>
      <c r="J402" s="33" t="n">
        <v>0</v>
      </c>
      <c r="K402" s="33" t="n">
        <v>5.194</v>
      </c>
      <c r="L402" s="33" t="n">
        <v>22</v>
      </c>
      <c r="M402" s="33" t="inlineStr">
        <is>
          <t>mww</t>
        </is>
      </c>
      <c r="N402" s="33" t="n">
        <v>371</v>
      </c>
      <c r="O402" s="33" t="n">
        <v>-17.1171</v>
      </c>
      <c r="P402" s="33" t="n">
        <v>-176.545</v>
      </c>
      <c r="Q402" s="33" t="inlineStr">
        <is>
          <t>Fiji region</t>
        </is>
      </c>
      <c r="T402" s="36">
        <f>DATE(MID(C402,7,4),MID(C402,4,2),MID(C402,1,2))+TIME(MID(C402,12,2),MID(C402,15,2),0)</f>
        <v/>
      </c>
      <c r="U402" s="33">
        <f>IF(ISNUMBER(VALUE(MID(A402,7,1))),"Distance-prefix pattern","Named-region pattern")</f>
        <v/>
      </c>
      <c r="V402" s="33">
        <f>LOWER(M402)</f>
        <v/>
      </c>
      <c r="W402" s="33">
        <f>IF(COUNTIFS($A$2:$A$1001,A402,$C$2:$C$1001,C402)&gt;1,"Duplicate","Unique")</f>
        <v/>
      </c>
      <c r="X402" s="33">
        <f>YEAR(T402)</f>
        <v/>
      </c>
      <c r="Y402" s="33">
        <f>IF(B402&lt;6.5,"&lt;6.5",IF(B402&lt;7,"6.5–6.9",IF(B402&lt;7.5,"7.0–7.4",IF(B402&lt;8,"7.5–7.9","8.0+"))))</f>
        <v/>
      </c>
      <c r="Z402" s="33">
        <f>IF(F402="","Blank",F402)</f>
        <v/>
      </c>
    </row>
    <row r="403" ht="15" customHeight="1" s="34">
      <c r="A403" s="33" t="inlineStr">
        <is>
          <t>M 7.7 - Scotia Sea</t>
        </is>
      </c>
      <c r="B403" s="33" t="n">
        <v>7.7</v>
      </c>
      <c r="C403" s="33" t="inlineStr">
        <is>
          <t>17/11/2013 09:04</t>
        </is>
      </c>
      <c r="D403" s="33" t="n">
        <v>1</v>
      </c>
      <c r="E403" s="33" t="n">
        <v>8</v>
      </c>
      <c r="F403" s="33" t="inlineStr">
        <is>
          <t>green</t>
        </is>
      </c>
      <c r="G403" s="33" t="n">
        <v>1</v>
      </c>
      <c r="H403" s="33" t="n">
        <v>912</v>
      </c>
      <c r="I403" s="33" t="inlineStr">
        <is>
          <t>us</t>
        </is>
      </c>
      <c r="J403" s="33" t="n">
        <v>0</v>
      </c>
      <c r="K403" s="33" t="n">
        <v>8.050000000000001</v>
      </c>
      <c r="L403" s="33" t="n">
        <v>23</v>
      </c>
      <c r="M403" s="33" t="inlineStr">
        <is>
          <t>mww</t>
        </is>
      </c>
      <c r="N403" s="33" t="n">
        <v>10</v>
      </c>
      <c r="O403" s="33" t="n">
        <v>-60.2738</v>
      </c>
      <c r="P403" s="33" t="n">
        <v>-46.4011</v>
      </c>
      <c r="Q403" s="33" t="inlineStr">
        <is>
          <t>Scotia Sea</t>
        </is>
      </c>
      <c r="S403" s="33" t="inlineStr">
        <is>
          <t>United Kingdom of Great Britain and Northern Ireland (the)</t>
        </is>
      </c>
      <c r="T403" s="36">
        <f>DATE(MID(C403,7,4),MID(C403,4,2),MID(C403,1,2))+TIME(MID(C403,12,2),MID(C403,15,2),0)</f>
        <v/>
      </c>
      <c r="U403" s="33">
        <f>IF(ISNUMBER(VALUE(MID(A403,7,1))),"Distance-prefix pattern","Named-region pattern")</f>
        <v/>
      </c>
      <c r="V403" s="33">
        <f>LOWER(M403)</f>
        <v/>
      </c>
      <c r="W403" s="33">
        <f>IF(COUNTIFS($A$2:$A$1001,A403,$C$2:$C$1001,C403)&gt;1,"Duplicate","Unique")</f>
        <v/>
      </c>
      <c r="X403" s="33">
        <f>YEAR(T403)</f>
        <v/>
      </c>
      <c r="Y403" s="33">
        <f>IF(B403&lt;6.5,"&lt;6.5",IF(B403&lt;7,"6.5–6.9",IF(B403&lt;7.5,"7.0–7.4",IF(B403&lt;8,"7.5–7.9","8.0+"))))</f>
        <v/>
      </c>
      <c r="Z403" s="33">
        <f>IF(F403="","Blank",F403)</f>
        <v/>
      </c>
    </row>
    <row r="404" ht="15" customHeight="1" s="34">
      <c r="A404" s="33" t="inlineStr">
        <is>
          <t>M 6.9 - Scotia Sea</t>
        </is>
      </c>
      <c r="B404" s="33" t="n">
        <v>6.9</v>
      </c>
      <c r="C404" s="33" t="inlineStr">
        <is>
          <t>16/11/2013 03:34</t>
        </is>
      </c>
      <c r="D404" s="33" t="n">
        <v>0</v>
      </c>
      <c r="E404" s="33" t="n">
        <v>5</v>
      </c>
      <c r="F404" s="33" t="inlineStr">
        <is>
          <t>green</t>
        </is>
      </c>
      <c r="G404" s="33" t="n">
        <v>1</v>
      </c>
      <c r="H404" s="33" t="n">
        <v>732</v>
      </c>
      <c r="I404" s="33" t="inlineStr">
        <is>
          <t>us</t>
        </is>
      </c>
      <c r="J404" s="33" t="n">
        <v>0</v>
      </c>
      <c r="K404" s="33" t="n">
        <v>8.284000000000001</v>
      </c>
      <c r="L404" s="33" t="n">
        <v>17</v>
      </c>
      <c r="M404" s="33" t="inlineStr">
        <is>
          <t>mww</t>
        </is>
      </c>
      <c r="N404" s="33" t="n">
        <v>9.970000000000001</v>
      </c>
      <c r="O404" s="33" t="n">
        <v>-60.2627</v>
      </c>
      <c r="P404" s="33" t="n">
        <v>-47.0621</v>
      </c>
      <c r="Q404" s="33" t="inlineStr">
        <is>
          <t>Scotia Sea</t>
        </is>
      </c>
      <c r="S404" s="33" t="inlineStr">
        <is>
          <t>United Kingdom of Great Britain and Northern Ireland (the)</t>
        </is>
      </c>
      <c r="T404" s="36">
        <f>DATE(MID(C404,7,4),MID(C404,4,2),MID(C404,1,2))+TIME(MID(C404,12,2),MID(C404,15,2),0)</f>
        <v/>
      </c>
      <c r="U404" s="33">
        <f>IF(ISNUMBER(VALUE(MID(A404,7,1))),"Distance-prefix pattern","Named-region pattern")</f>
        <v/>
      </c>
      <c r="V404" s="33">
        <f>LOWER(M404)</f>
        <v/>
      </c>
      <c r="W404" s="33">
        <f>IF(COUNTIFS($A$2:$A$1001,A404,$C$2:$C$1001,C404)&gt;1,"Duplicate","Unique")</f>
        <v/>
      </c>
      <c r="X404" s="33">
        <f>YEAR(T404)</f>
        <v/>
      </c>
      <c r="Y404" s="33">
        <f>IF(B404&lt;6.5,"&lt;6.5",IF(B404&lt;7,"6.5–6.9",IF(B404&lt;7.5,"7.0–7.4",IF(B404&lt;8,"7.5–7.9","8.0+"))))</f>
        <v/>
      </c>
      <c r="Z404" s="33">
        <f>IF(F404="","Blank",F404)</f>
        <v/>
      </c>
    </row>
    <row r="405" ht="15" customHeight="1" s="34">
      <c r="A405" s="33" t="inlineStr">
        <is>
          <t>M 6.6 - 41 km SSW of Coquimbo, Chile</t>
        </is>
      </c>
      <c r="B405" s="33" t="n">
        <v>6.6</v>
      </c>
      <c r="C405" s="33" t="inlineStr">
        <is>
          <t>31/10/2013 23:03</t>
        </is>
      </c>
      <c r="D405" s="33" t="n">
        <v>6</v>
      </c>
      <c r="E405" s="33" t="n">
        <v>7</v>
      </c>
      <c r="F405" s="33" t="inlineStr">
        <is>
          <t>green</t>
        </is>
      </c>
      <c r="G405" s="33" t="n">
        <v>1</v>
      </c>
      <c r="H405" s="33" t="n">
        <v>723</v>
      </c>
      <c r="I405" s="33" t="inlineStr">
        <is>
          <t>us</t>
        </is>
      </c>
      <c r="J405" s="33" t="n">
        <v>0</v>
      </c>
      <c r="K405" s="33" t="n">
        <v>0.636</v>
      </c>
      <c r="L405" s="33" t="n">
        <v>31</v>
      </c>
      <c r="M405" s="33" t="inlineStr">
        <is>
          <t>mww</t>
        </is>
      </c>
      <c r="N405" s="33" t="n">
        <v>27</v>
      </c>
      <c r="O405" s="33" t="n">
        <v>-30.2921</v>
      </c>
      <c r="P405" s="33" t="n">
        <v>-71.5215</v>
      </c>
      <c r="Q405" s="33" t="inlineStr">
        <is>
          <t>Coquimbo, Chile</t>
        </is>
      </c>
      <c r="R405" s="33" t="inlineStr">
        <is>
          <t>South America</t>
        </is>
      </c>
      <c r="S405" s="33" t="inlineStr">
        <is>
          <t>Chile</t>
        </is>
      </c>
      <c r="T405" s="36">
        <f>DATE(MID(C405,7,4),MID(C405,4,2),MID(C405,1,2))+TIME(MID(C405,12,2),MID(C405,15,2),0)</f>
        <v/>
      </c>
      <c r="U405" s="33">
        <f>IF(ISNUMBER(VALUE(MID(A405,7,1))),"Distance-prefix pattern","Named-region pattern")</f>
        <v/>
      </c>
      <c r="V405" s="33">
        <f>LOWER(M405)</f>
        <v/>
      </c>
      <c r="W405" s="33">
        <f>IF(COUNTIFS($A$2:$A$1001,A405,$C$2:$C$1001,C405)&gt;1,"Duplicate","Unique")</f>
        <v/>
      </c>
      <c r="X405" s="33">
        <f>YEAR(T405)</f>
        <v/>
      </c>
      <c r="Y405" s="33">
        <f>IF(B405&lt;6.5,"&lt;6.5",IF(B405&lt;7,"6.5–6.9",IF(B405&lt;7.5,"7.0–7.4",IF(B405&lt;8,"7.5–7.9","8.0+"))))</f>
        <v/>
      </c>
      <c r="Z405" s="33">
        <f>IF(F405="","Blank",F405)</f>
        <v/>
      </c>
    </row>
    <row r="406" ht="15" customHeight="1" s="34">
      <c r="A406" s="33" t="inlineStr">
        <is>
          <t>M 7.1 - off the east coast of Honshu, Japan</t>
        </is>
      </c>
      <c r="B406" s="33" t="n">
        <v>7.1</v>
      </c>
      <c r="C406" s="33" t="inlineStr">
        <is>
          <t>25/10/2013 17:10</t>
        </is>
      </c>
      <c r="D406" s="33" t="n">
        <v>6</v>
      </c>
      <c r="E406" s="33" t="n">
        <v>4</v>
      </c>
      <c r="F406" s="33" t="inlineStr">
        <is>
          <t>green</t>
        </is>
      </c>
      <c r="G406" s="33" t="n">
        <v>1</v>
      </c>
      <c r="H406" s="33" t="n">
        <v>872</v>
      </c>
      <c r="I406" s="33" t="inlineStr">
        <is>
          <t>us</t>
        </is>
      </c>
      <c r="J406" s="33" t="n">
        <v>0</v>
      </c>
      <c r="K406" s="33" t="n">
        <v>3.968</v>
      </c>
      <c r="L406" s="33" t="n">
        <v>10</v>
      </c>
      <c r="M406" s="33" t="inlineStr">
        <is>
          <t>mww</t>
        </is>
      </c>
      <c r="N406" s="33" t="n">
        <v>35</v>
      </c>
      <c r="O406" s="33" t="n">
        <v>37.1557</v>
      </c>
      <c r="P406" s="33" t="n">
        <v>144.661</v>
      </c>
      <c r="Q406" s="33" t="inlineStr">
        <is>
          <t>off the east coast of Honshu, Japan</t>
        </is>
      </c>
      <c r="T406" s="36">
        <f>DATE(MID(C406,7,4),MID(C406,4,2),MID(C406,1,2))+TIME(MID(C406,12,2),MID(C406,15,2),0)</f>
        <v/>
      </c>
      <c r="U406" s="33">
        <f>IF(ISNUMBER(VALUE(MID(A406,7,1))),"Distance-prefix pattern","Named-region pattern")</f>
        <v/>
      </c>
      <c r="V406" s="33">
        <f>LOWER(M406)</f>
        <v/>
      </c>
      <c r="W406" s="33">
        <f>IF(COUNTIFS($A$2:$A$1001,A406,$C$2:$C$1001,C406)&gt;1,"Duplicate","Unique")</f>
        <v/>
      </c>
      <c r="X406" s="33">
        <f>YEAR(T406)</f>
        <v/>
      </c>
      <c r="Y406" s="33">
        <f>IF(B406&lt;6.5,"&lt;6.5",IF(B406&lt;7,"6.5–6.9",IF(B406&lt;7.5,"7.0–7.4",IF(B406&lt;8,"7.5–7.9","8.0+"))))</f>
        <v/>
      </c>
      <c r="Z406" s="33">
        <f>IF(F406="","Blank",F406)</f>
        <v/>
      </c>
    </row>
    <row r="407" ht="15" customHeight="1" s="34">
      <c r="A407" s="33" t="inlineStr">
        <is>
          <t>M 6.6 - 98 km SW of Etchoropo, Mexico</t>
        </is>
      </c>
      <c r="B407" s="33" t="n">
        <v>6.6</v>
      </c>
      <c r="C407" s="33" t="inlineStr">
        <is>
          <t>19/10/2013 17:54</t>
        </is>
      </c>
      <c r="D407" s="33" t="n">
        <v>8</v>
      </c>
      <c r="E407" s="33" t="n">
        <v>5</v>
      </c>
      <c r="F407" s="33" t="inlineStr">
        <is>
          <t>green</t>
        </is>
      </c>
      <c r="G407" s="33" t="n">
        <v>1</v>
      </c>
      <c r="H407" s="33" t="n">
        <v>692</v>
      </c>
      <c r="I407" s="33" t="inlineStr">
        <is>
          <t>us</t>
        </is>
      </c>
      <c r="J407" s="33" t="n">
        <v>0</v>
      </c>
      <c r="K407" s="33" t="n">
        <v>1.98</v>
      </c>
      <c r="L407" s="33" t="n">
        <v>44</v>
      </c>
      <c r="M407" s="33" t="inlineStr">
        <is>
          <t>mww</t>
        </is>
      </c>
      <c r="N407" s="33" t="n">
        <v>9.449999999999999</v>
      </c>
      <c r="O407" s="33" t="n">
        <v>26.0913</v>
      </c>
      <c r="P407" s="33" t="n">
        <v>-110.321</v>
      </c>
      <c r="Q407" s="33" t="inlineStr">
        <is>
          <t>Etchoropo, Mexico</t>
        </is>
      </c>
      <c r="T407" s="36">
        <f>DATE(MID(C407,7,4),MID(C407,4,2),MID(C407,1,2))+TIME(MID(C407,12,2),MID(C407,15,2),0)</f>
        <v/>
      </c>
      <c r="U407" s="33">
        <f>IF(ISNUMBER(VALUE(MID(A407,7,1))),"Distance-prefix pattern","Named-region pattern")</f>
        <v/>
      </c>
      <c r="V407" s="33">
        <f>LOWER(M407)</f>
        <v/>
      </c>
      <c r="W407" s="33">
        <f>IF(COUNTIFS($A$2:$A$1001,A407,$C$2:$C$1001,C407)&gt;1,"Duplicate","Unique")</f>
        <v/>
      </c>
      <c r="X407" s="33">
        <f>YEAR(T407)</f>
        <v/>
      </c>
      <c r="Y407" s="33">
        <f>IF(B407&lt;6.5,"&lt;6.5",IF(B407&lt;7,"6.5–6.9",IF(B407&lt;7.5,"7.0–7.4",IF(B407&lt;8,"7.5–7.9","8.0+"))))</f>
        <v/>
      </c>
      <c r="Z407" s="33">
        <f>IF(F407="","Blank",F407)</f>
        <v/>
      </c>
    </row>
    <row r="408" ht="15" customHeight="1" s="34">
      <c r="A408" s="33" t="inlineStr">
        <is>
          <t>M 6.8 - 62 km WSW of Panguna, Papua New Guinea</t>
        </is>
      </c>
      <c r="B408" s="33" t="n">
        <v>6.8</v>
      </c>
      <c r="C408" s="33" t="inlineStr">
        <is>
          <t>16/10/2013 10:30</t>
        </is>
      </c>
      <c r="D408" s="33" t="n">
        <v>0</v>
      </c>
      <c r="E408" s="33" t="n">
        <v>6</v>
      </c>
      <c r="F408" s="33" t="inlineStr">
        <is>
          <t>green</t>
        </is>
      </c>
      <c r="G408" s="33" t="n">
        <v>1</v>
      </c>
      <c r="H408" s="33" t="n">
        <v>711</v>
      </c>
      <c r="I408" s="33" t="inlineStr">
        <is>
          <t>us</t>
        </is>
      </c>
      <c r="J408" s="33" t="n">
        <v>0</v>
      </c>
      <c r="K408" s="33" t="n">
        <v>5.79</v>
      </c>
      <c r="L408" s="33" t="n">
        <v>9</v>
      </c>
      <c r="M408" s="33" t="inlineStr">
        <is>
          <t>mww</t>
        </is>
      </c>
      <c r="N408" s="33" t="n">
        <v>35</v>
      </c>
      <c r="O408" s="33" t="n">
        <v>-6.4456</v>
      </c>
      <c r="P408" s="33" t="n">
        <v>154.931</v>
      </c>
      <c r="Q408" s="33" t="inlineStr">
        <is>
          <t>Panguna, Papua New Guinea</t>
        </is>
      </c>
      <c r="S408" s="33" t="inlineStr">
        <is>
          <t>Papua New Guinea</t>
        </is>
      </c>
      <c r="T408" s="36">
        <f>DATE(MID(C408,7,4),MID(C408,4,2),MID(C408,1,2))+TIME(MID(C408,12,2),MID(C408,15,2),0)</f>
        <v/>
      </c>
      <c r="U408" s="33">
        <f>IF(ISNUMBER(VALUE(MID(A408,7,1))),"Distance-prefix pattern","Named-region pattern")</f>
        <v/>
      </c>
      <c r="V408" s="33">
        <f>LOWER(M408)</f>
        <v/>
      </c>
      <c r="W408" s="33">
        <f>IF(COUNTIFS($A$2:$A$1001,A408,$C$2:$C$1001,C408)&gt;1,"Duplicate","Unique")</f>
        <v/>
      </c>
      <c r="X408" s="33">
        <f>YEAR(T408)</f>
        <v/>
      </c>
      <c r="Y408" s="33">
        <f>IF(B408&lt;6.5,"&lt;6.5",IF(B408&lt;7,"6.5–6.9",IF(B408&lt;7.5,"7.0–7.4",IF(B408&lt;8,"7.5–7.9","8.0+"))))</f>
        <v/>
      </c>
      <c r="Z408" s="33">
        <f>IF(F408="","Blank",F408)</f>
        <v/>
      </c>
    </row>
    <row r="409" ht="15" customHeight="1" s="34">
      <c r="A409" s="33" t="inlineStr">
        <is>
          <t>M 7.1 - 4 km SE of Sagbayan, Philippines</t>
        </is>
      </c>
      <c r="B409" s="33" t="n">
        <v>7.1</v>
      </c>
      <c r="C409" s="33" t="inlineStr">
        <is>
          <t>15/10/2013 00:12</t>
        </is>
      </c>
      <c r="D409" s="33" t="n">
        <v>9</v>
      </c>
      <c r="E409" s="33" t="n">
        <v>8</v>
      </c>
      <c r="F409" s="33" t="inlineStr">
        <is>
          <t>orange</t>
        </is>
      </c>
      <c r="G409" s="33" t="n">
        <v>1</v>
      </c>
      <c r="H409" s="33" t="n">
        <v>1092</v>
      </c>
      <c r="I409" s="33" t="inlineStr">
        <is>
          <t>us</t>
        </is>
      </c>
      <c r="J409" s="33" t="n">
        <v>0</v>
      </c>
      <c r="K409" s="33" t="n">
        <v>3.144</v>
      </c>
      <c r="L409" s="33" t="n">
        <v>12</v>
      </c>
      <c r="M409" s="33" t="inlineStr">
        <is>
          <t>mww</t>
        </is>
      </c>
      <c r="N409" s="33" t="n">
        <v>19.04</v>
      </c>
      <c r="O409" s="33" t="n">
        <v>9.8796</v>
      </c>
      <c r="P409" s="33" t="n">
        <v>124.117</v>
      </c>
      <c r="Q409" s="33" t="inlineStr">
        <is>
          <t>Sagbayan, Philippines</t>
        </is>
      </c>
      <c r="S409" s="33" t="inlineStr">
        <is>
          <t>Philippines</t>
        </is>
      </c>
      <c r="T409" s="36">
        <f>DATE(MID(C409,7,4),MID(C409,4,2),MID(C409,1,2))+TIME(MID(C409,12,2),MID(C409,15,2),0)</f>
        <v/>
      </c>
      <c r="U409" s="33">
        <f>IF(ISNUMBER(VALUE(MID(A409,7,1))),"Distance-prefix pattern","Named-region pattern")</f>
        <v/>
      </c>
      <c r="V409" s="33">
        <f>LOWER(M409)</f>
        <v/>
      </c>
      <c r="W409" s="33">
        <f>IF(COUNTIFS($A$2:$A$1001,A409,$C$2:$C$1001,C409)&gt;1,"Duplicate","Unique")</f>
        <v/>
      </c>
      <c r="X409" s="33">
        <f>YEAR(T409)</f>
        <v/>
      </c>
      <c r="Y409" s="33">
        <f>IF(B409&lt;6.5,"&lt;6.5",IF(B409&lt;7,"6.5–6.9",IF(B409&lt;7.5,"7.0–7.4",IF(B409&lt;8,"7.5–7.9","8.0+"))))</f>
        <v/>
      </c>
      <c r="Z409" s="33">
        <f>IF(F409="","Blank",F409)</f>
        <v/>
      </c>
    </row>
    <row r="410" ht="15" customHeight="1" s="34">
      <c r="A410" s="33" t="inlineStr">
        <is>
          <t>M 6.6 - 36 km W of Kíssamos, Greece</t>
        </is>
      </c>
      <c r="B410" s="33" t="n">
        <v>6.6</v>
      </c>
      <c r="C410" s="33" t="inlineStr">
        <is>
          <t>12/10/2013 13:11</t>
        </is>
      </c>
      <c r="D410" s="33" t="n">
        <v>5</v>
      </c>
      <c r="E410" s="33" t="n">
        <v>6</v>
      </c>
      <c r="F410" s="33" t="inlineStr">
        <is>
          <t>yellow</t>
        </is>
      </c>
      <c r="G410" s="33" t="n">
        <v>0</v>
      </c>
      <c r="H410" s="33" t="n">
        <v>691</v>
      </c>
      <c r="I410" s="33" t="inlineStr">
        <is>
          <t>us</t>
        </is>
      </c>
      <c r="J410" s="33" t="n">
        <v>0</v>
      </c>
      <c r="K410" s="33" t="n">
        <v>1.984</v>
      </c>
      <c r="L410" s="33" t="n">
        <v>40</v>
      </c>
      <c r="M410" s="33" t="inlineStr">
        <is>
          <t>mww</t>
        </is>
      </c>
      <c r="N410" s="33" t="n">
        <v>40</v>
      </c>
      <c r="O410" s="33" t="n">
        <v>35.5142</v>
      </c>
      <c r="P410" s="33" t="n">
        <v>23.2523</v>
      </c>
      <c r="Q410" s="33" t="inlineStr">
        <is>
          <t>Kíssamos, Greece</t>
        </is>
      </c>
      <c r="R410" s="33" t="inlineStr">
        <is>
          <t>Europe</t>
        </is>
      </c>
      <c r="T410" s="36">
        <f>DATE(MID(C410,7,4),MID(C410,4,2),MID(C410,1,2))+TIME(MID(C410,12,2),MID(C410,15,2),0)</f>
        <v/>
      </c>
      <c r="U410" s="33">
        <f>IF(ISNUMBER(VALUE(MID(A410,7,1))),"Distance-prefix pattern","Named-region pattern")</f>
        <v/>
      </c>
      <c r="V410" s="33">
        <f>LOWER(M410)</f>
        <v/>
      </c>
      <c r="W410" s="33">
        <f>IF(COUNTIFS($A$2:$A$1001,A410,$C$2:$C$1001,C410)&gt;1,"Duplicate","Unique")</f>
        <v/>
      </c>
      <c r="X410" s="33">
        <f>YEAR(T410)</f>
        <v/>
      </c>
      <c r="Y410" s="33">
        <f>IF(B410&lt;6.5,"&lt;6.5",IF(B410&lt;7,"6.5–6.9",IF(B410&lt;7.5,"7.0–7.4",IF(B410&lt;8,"7.5–7.9","8.0+"))))</f>
        <v/>
      </c>
      <c r="Z410" s="33">
        <f>IF(F410="","Blank",F410)</f>
        <v/>
      </c>
    </row>
    <row r="411" ht="15" customHeight="1" s="34">
      <c r="A411" s="33" t="inlineStr">
        <is>
          <t>M 6.7 - Sea of Okhotsk</t>
        </is>
      </c>
      <c r="B411" s="33" t="n">
        <v>6.7</v>
      </c>
      <c r="C411" s="33" t="inlineStr">
        <is>
          <t>01/10/2013 03:38</t>
        </is>
      </c>
      <c r="D411" s="33" t="n">
        <v>0</v>
      </c>
      <c r="E411" s="33" t="n">
        <v>3</v>
      </c>
      <c r="F411" s="33" t="inlineStr">
        <is>
          <t>green</t>
        </is>
      </c>
      <c r="G411" s="33" t="n">
        <v>0</v>
      </c>
      <c r="H411" s="33" t="n">
        <v>691</v>
      </c>
      <c r="I411" s="33" t="inlineStr">
        <is>
          <t>us</t>
        </is>
      </c>
      <c r="J411" s="33" t="n">
        <v>0</v>
      </c>
      <c r="K411" s="33" t="n">
        <v>2.958</v>
      </c>
      <c r="L411" s="33" t="n">
        <v>11</v>
      </c>
      <c r="M411" s="33" t="inlineStr">
        <is>
          <t>mww</t>
        </is>
      </c>
      <c r="N411" s="33" t="n">
        <v>573</v>
      </c>
      <c r="O411" s="33" t="n">
        <v>53.1995</v>
      </c>
      <c r="P411" s="33" t="n">
        <v>152.786</v>
      </c>
      <c r="Q411" s="33" t="inlineStr">
        <is>
          <t>Okhotsk</t>
        </is>
      </c>
      <c r="T411" s="36">
        <f>DATE(MID(C411,7,4),MID(C411,4,2),MID(C411,1,2))+TIME(MID(C411,12,2),MID(C411,15,2),0)</f>
        <v/>
      </c>
      <c r="U411" s="33">
        <f>IF(ISNUMBER(VALUE(MID(A411,7,1))),"Distance-prefix pattern","Named-region pattern")</f>
        <v/>
      </c>
      <c r="V411" s="33">
        <f>LOWER(M411)</f>
        <v/>
      </c>
      <c r="W411" s="33">
        <f>IF(COUNTIFS($A$2:$A$1001,A411,$C$2:$C$1001,C411)&gt;1,"Duplicate","Unique")</f>
        <v/>
      </c>
      <c r="X411" s="33">
        <f>YEAR(T411)</f>
        <v/>
      </c>
      <c r="Y411" s="33">
        <f>IF(B411&lt;6.5,"&lt;6.5",IF(B411&lt;7,"6.5–6.9",IF(B411&lt;7.5,"7.0–7.4",IF(B411&lt;8,"7.5–7.9","8.0+"))))</f>
        <v/>
      </c>
      <c r="Z411" s="33">
        <f>IF(F411="","Blank",F411)</f>
        <v/>
      </c>
    </row>
    <row r="412" ht="15" customHeight="1" s="34">
      <c r="A412" s="33" t="inlineStr">
        <is>
          <t>M 6.5 - Kermadec Islands, New Zealand</t>
        </is>
      </c>
      <c r="B412" s="33" t="n">
        <v>6.5</v>
      </c>
      <c r="C412" s="33" t="inlineStr">
        <is>
          <t>30/09/2013 05:55</t>
        </is>
      </c>
      <c r="D412" s="33" t="n">
        <v>0</v>
      </c>
      <c r="E412" s="33" t="n">
        <v>4</v>
      </c>
      <c r="F412" s="33" t="inlineStr">
        <is>
          <t>green</t>
        </is>
      </c>
      <c r="G412" s="33" t="n">
        <v>1</v>
      </c>
      <c r="H412" s="33" t="n">
        <v>650</v>
      </c>
      <c r="I412" s="33" t="inlineStr">
        <is>
          <t>us</t>
        </is>
      </c>
      <c r="J412" s="33" t="n">
        <v>0</v>
      </c>
      <c r="K412" s="33" t="n">
        <v>1.709</v>
      </c>
      <c r="L412" s="33" t="n">
        <v>21</v>
      </c>
      <c r="M412" s="33" t="inlineStr">
        <is>
          <t>mww</t>
        </is>
      </c>
      <c r="N412" s="33" t="n">
        <v>41.54</v>
      </c>
      <c r="O412" s="33" t="n">
        <v>-30.9255</v>
      </c>
      <c r="P412" s="33" t="n">
        <v>-178.323</v>
      </c>
      <c r="Q412" s="33" t="inlineStr">
        <is>
          <t>Kermadec Islands, New Zealand</t>
        </is>
      </c>
      <c r="T412" s="36">
        <f>DATE(MID(C412,7,4),MID(C412,4,2),MID(C412,1,2))+TIME(MID(C412,12,2),MID(C412,15,2),0)</f>
        <v/>
      </c>
      <c r="U412" s="33">
        <f>IF(ISNUMBER(VALUE(MID(A412,7,1))),"Distance-prefix pattern","Named-region pattern")</f>
        <v/>
      </c>
      <c r="V412" s="33">
        <f>LOWER(M412)</f>
        <v/>
      </c>
      <c r="W412" s="33">
        <f>IF(COUNTIFS($A$2:$A$1001,A412,$C$2:$C$1001,C412)&gt;1,"Duplicate","Unique")</f>
        <v/>
      </c>
      <c r="X412" s="33">
        <f>YEAR(T412)</f>
        <v/>
      </c>
      <c r="Y412" s="33">
        <f>IF(B412&lt;6.5,"&lt;6.5",IF(B412&lt;7,"6.5–6.9",IF(B412&lt;7.5,"7.0–7.4",IF(B412&lt;8,"7.5–7.9","8.0+"))))</f>
        <v/>
      </c>
      <c r="Z412" s="33">
        <f>IF(F412="","Blank",F412)</f>
        <v/>
      </c>
    </row>
    <row r="413" ht="15" customHeight="1" s="34">
      <c r="A413" s="33" t="inlineStr">
        <is>
          <t>M 6.8 - 129 km WSW of Khuzdar, Pakistan</t>
        </is>
      </c>
      <c r="B413" s="33" t="n">
        <v>6.8</v>
      </c>
      <c r="C413" s="33" t="inlineStr">
        <is>
          <t>28/09/2013 07:34</t>
        </is>
      </c>
      <c r="D413" s="33" t="n">
        <v>7</v>
      </c>
      <c r="E413" s="33" t="n">
        <v>7</v>
      </c>
      <c r="F413" s="33" t="inlineStr">
        <is>
          <t>orange</t>
        </is>
      </c>
      <c r="G413" s="33" t="n">
        <v>0</v>
      </c>
      <c r="H413" s="33" t="n">
        <v>1005</v>
      </c>
      <c r="I413" s="33" t="inlineStr">
        <is>
          <t>us</t>
        </is>
      </c>
      <c r="J413" s="33" t="n">
        <v>0</v>
      </c>
      <c r="K413" s="33" t="n">
        <v>7.359</v>
      </c>
      <c r="L413" s="33" t="n">
        <v>17</v>
      </c>
      <c r="M413" s="33" t="inlineStr">
        <is>
          <t>mww</t>
        </is>
      </c>
      <c r="N413" s="33" t="n">
        <v>12</v>
      </c>
      <c r="O413" s="33" t="n">
        <v>27.1825</v>
      </c>
      <c r="P413" s="33" t="n">
        <v>65.5052</v>
      </c>
      <c r="Q413" s="33" t="inlineStr">
        <is>
          <t>Khuzdar, Pakistan</t>
        </is>
      </c>
      <c r="R413" s="33" t="inlineStr">
        <is>
          <t>Asia</t>
        </is>
      </c>
      <c r="S413" s="33" t="inlineStr">
        <is>
          <t>Pakistan</t>
        </is>
      </c>
      <c r="T413" s="36">
        <f>DATE(MID(C413,7,4),MID(C413,4,2),MID(C413,1,2))+TIME(MID(C413,12,2),MID(C413,15,2),0)</f>
        <v/>
      </c>
      <c r="U413" s="33">
        <f>IF(ISNUMBER(VALUE(MID(A413,7,1))),"Distance-prefix pattern","Named-region pattern")</f>
        <v/>
      </c>
      <c r="V413" s="33">
        <f>LOWER(M413)</f>
        <v/>
      </c>
      <c r="W413" s="33">
        <f>IF(COUNTIFS($A$2:$A$1001,A413,$C$2:$C$1001,C413)&gt;1,"Duplicate","Unique")</f>
        <v/>
      </c>
      <c r="X413" s="33">
        <f>YEAR(T413)</f>
        <v/>
      </c>
      <c r="Y413" s="33">
        <f>IF(B413&lt;6.5,"&lt;6.5",IF(B413&lt;7,"6.5–6.9",IF(B413&lt;7.5,"7.0–7.4",IF(B413&lt;8,"7.5–7.9","8.0+"))))</f>
        <v/>
      </c>
      <c r="Z413" s="33">
        <f>IF(F413="","Blank",F413)</f>
        <v/>
      </c>
    </row>
    <row r="414" ht="15" customHeight="1" s="34">
      <c r="A414" s="33" t="inlineStr">
        <is>
          <t>M 7.1 - 16 km WSW of Atiquipa, Peru</t>
        </is>
      </c>
      <c r="B414" s="33" t="n">
        <v>7.1</v>
      </c>
      <c r="C414" s="33" t="inlineStr">
        <is>
          <t>25/09/2013 16:42</t>
        </is>
      </c>
      <c r="D414" s="33" t="n">
        <v>8</v>
      </c>
      <c r="E414" s="33" t="n">
        <v>7</v>
      </c>
      <c r="F414" s="33" t="inlineStr">
        <is>
          <t>green</t>
        </is>
      </c>
      <c r="G414" s="33" t="n">
        <v>1</v>
      </c>
      <c r="H414" s="33" t="n">
        <v>843</v>
      </c>
      <c r="I414" s="33" t="inlineStr">
        <is>
          <t>us</t>
        </is>
      </c>
      <c r="J414" s="33" t="n">
        <v>0</v>
      </c>
      <c r="K414" s="33" t="n">
        <v>4.446</v>
      </c>
      <c r="L414" s="33" t="n">
        <v>17</v>
      </c>
      <c r="M414" s="33" t="inlineStr">
        <is>
          <t>mww</t>
        </is>
      </c>
      <c r="N414" s="33" t="n">
        <v>40</v>
      </c>
      <c r="O414" s="33" t="n">
        <v>-15.8385</v>
      </c>
      <c r="P414" s="33" t="n">
        <v>-74.5112</v>
      </c>
      <c r="Q414" s="33" t="inlineStr">
        <is>
          <t>Atiquipa, Peru</t>
        </is>
      </c>
      <c r="S414" s="33" t="inlineStr">
        <is>
          <t>Peru</t>
        </is>
      </c>
      <c r="T414" s="36">
        <f>DATE(MID(C414,7,4),MID(C414,4,2),MID(C414,1,2))+TIME(MID(C414,12,2),MID(C414,15,2),0)</f>
        <v/>
      </c>
      <c r="U414" s="33">
        <f>IF(ISNUMBER(VALUE(MID(A414,7,1))),"Distance-prefix pattern","Named-region pattern")</f>
        <v/>
      </c>
      <c r="V414" s="33">
        <f>LOWER(M414)</f>
        <v/>
      </c>
      <c r="W414" s="33">
        <f>IF(COUNTIFS($A$2:$A$1001,A414,$C$2:$C$1001,C414)&gt;1,"Duplicate","Unique")</f>
        <v/>
      </c>
      <c r="X414" s="33">
        <f>YEAR(T414)</f>
        <v/>
      </c>
      <c r="Y414" s="33">
        <f>IF(B414&lt;6.5,"&lt;6.5",IF(B414&lt;7,"6.5–6.9",IF(B414&lt;7.5,"7.0–7.4",IF(B414&lt;8,"7.5–7.9","8.0+"))))</f>
        <v/>
      </c>
      <c r="Z414" s="33">
        <f>IF(F414="","Blank",F414)</f>
        <v/>
      </c>
    </row>
    <row r="415" ht="15" customHeight="1" s="34">
      <c r="A415" s="33" t="inlineStr">
        <is>
          <t>M 7.7 - 113 km NW of Bela, Pakistan</t>
        </is>
      </c>
      <c r="B415" s="33" t="n">
        <v>7.7</v>
      </c>
      <c r="C415" s="33" t="inlineStr">
        <is>
          <t>24/09/2013 11:29</t>
        </is>
      </c>
      <c r="D415" s="33" t="n">
        <v>5</v>
      </c>
      <c r="E415" s="33" t="n">
        <v>8</v>
      </c>
      <c r="F415" s="33" t="inlineStr">
        <is>
          <t>red</t>
        </is>
      </c>
      <c r="G415" s="33" t="n">
        <v>0</v>
      </c>
      <c r="H415" s="33" t="n">
        <v>2015</v>
      </c>
      <c r="I415" s="33" t="inlineStr">
        <is>
          <t>us</t>
        </is>
      </c>
      <c r="J415" s="33" t="n">
        <v>0</v>
      </c>
      <c r="K415" s="33" t="n">
        <v>7.241</v>
      </c>
      <c r="L415" s="33" t="n">
        <v>17</v>
      </c>
      <c r="M415" s="33" t="inlineStr">
        <is>
          <t>mww</t>
        </is>
      </c>
      <c r="N415" s="33" t="n">
        <v>15</v>
      </c>
      <c r="O415" s="33" t="n">
        <v>26.951</v>
      </c>
      <c r="P415" s="33" t="n">
        <v>65.5009</v>
      </c>
      <c r="Q415" s="33" t="inlineStr">
        <is>
          <t>Bela, Pakistan</t>
        </is>
      </c>
      <c r="R415" s="33" t="inlineStr">
        <is>
          <t>Asia</t>
        </is>
      </c>
      <c r="S415" s="33" t="inlineStr">
        <is>
          <t>Pakistan</t>
        </is>
      </c>
      <c r="T415" s="36">
        <f>DATE(MID(C415,7,4),MID(C415,4,2),MID(C415,1,2))+TIME(MID(C415,12,2),MID(C415,15,2),0)</f>
        <v/>
      </c>
      <c r="U415" s="33">
        <f>IF(ISNUMBER(VALUE(MID(A415,7,1))),"Distance-prefix pattern","Named-region pattern")</f>
        <v/>
      </c>
      <c r="V415" s="33">
        <f>LOWER(M415)</f>
        <v/>
      </c>
      <c r="W415" s="33">
        <f>IF(COUNTIFS($A$2:$A$1001,A415,$C$2:$C$1001,C415)&gt;1,"Duplicate","Unique")</f>
        <v/>
      </c>
      <c r="X415" s="33">
        <f>YEAR(T415)</f>
        <v/>
      </c>
      <c r="Y415" s="33">
        <f>IF(B415&lt;6.5,"&lt;6.5",IF(B415&lt;7,"6.5–6.9",IF(B415&lt;7.5,"7.0–7.4",IF(B415&lt;8,"7.5–7.9","8.0+"))))</f>
        <v/>
      </c>
      <c r="Z415" s="33">
        <f>IF(F415="","Blank",F415)</f>
        <v/>
      </c>
    </row>
    <row r="416" ht="15" customHeight="1" s="34">
      <c r="A416" s="33" t="inlineStr">
        <is>
          <t>M 6.5 - 81 km SSW of Atka, Alaska</t>
        </is>
      </c>
      <c r="B416" s="33" t="n">
        <v>6.5</v>
      </c>
      <c r="C416" s="33" t="inlineStr">
        <is>
          <t>04/09/2013 02:32</t>
        </is>
      </c>
      <c r="D416" s="33" t="n">
        <v>0</v>
      </c>
      <c r="E416" s="33" t="n">
        <v>6</v>
      </c>
      <c r="F416" s="33" t="inlineStr">
        <is>
          <t>green</t>
        </is>
      </c>
      <c r="G416" s="33" t="n">
        <v>1</v>
      </c>
      <c r="H416" s="33" t="n">
        <v>650</v>
      </c>
      <c r="I416" s="33" t="inlineStr">
        <is>
          <t>us</t>
        </is>
      </c>
      <c r="J416" s="33" t="n">
        <v>0</v>
      </c>
      <c r="K416" s="33" t="n">
        <v>0.735</v>
      </c>
      <c r="L416" s="33" t="n">
        <v>24</v>
      </c>
      <c r="M416" s="33" t="inlineStr">
        <is>
          <t>mww</t>
        </is>
      </c>
      <c r="N416" s="33" t="n">
        <v>20</v>
      </c>
      <c r="O416" s="33" t="n">
        <v>51.5573</v>
      </c>
      <c r="P416" s="33" t="n">
        <v>-174.767</v>
      </c>
      <c r="Q416" s="33" t="inlineStr">
        <is>
          <t>Atka, Alaska</t>
        </is>
      </c>
      <c r="T416" s="36">
        <f>DATE(MID(C416,7,4),MID(C416,4,2),MID(C416,1,2))+TIME(MID(C416,12,2),MID(C416,15,2),0)</f>
        <v/>
      </c>
      <c r="U416" s="33">
        <f>IF(ISNUMBER(VALUE(MID(A416,7,1))),"Distance-prefix pattern","Named-region pattern")</f>
        <v/>
      </c>
      <c r="V416" s="33">
        <f>LOWER(M416)</f>
        <v/>
      </c>
      <c r="W416" s="33">
        <f>IF(COUNTIFS($A$2:$A$1001,A416,$C$2:$C$1001,C416)&gt;1,"Duplicate","Unique")</f>
        <v/>
      </c>
      <c r="X416" s="33">
        <f>YEAR(T416)</f>
        <v/>
      </c>
      <c r="Y416" s="33">
        <f>IF(B416&lt;6.5,"&lt;6.5",IF(B416&lt;7,"6.5–6.9",IF(B416&lt;7.5,"7.0–7.4",IF(B416&lt;8,"7.5–7.9","8.0+"))))</f>
        <v/>
      </c>
      <c r="Z416" s="33">
        <f>IF(F416="","Blank",F416)</f>
        <v/>
      </c>
    </row>
    <row r="417" ht="15" customHeight="1" s="34">
      <c r="A417" s="33" t="inlineStr">
        <is>
          <t>M 6.5 - Izu Islands, Japan region</t>
        </is>
      </c>
      <c r="B417" s="33" t="n">
        <v>6.5</v>
      </c>
      <c r="C417" s="33" t="inlineStr">
        <is>
          <t>04/09/2013 00:18</t>
        </is>
      </c>
      <c r="D417" s="33" t="n">
        <v>5</v>
      </c>
      <c r="E417" s="33" t="n">
        <v>3</v>
      </c>
      <c r="F417" s="33" t="inlineStr">
        <is>
          <t>green</t>
        </is>
      </c>
      <c r="G417" s="33" t="n">
        <v>0</v>
      </c>
      <c r="H417" s="33" t="n">
        <v>739</v>
      </c>
      <c r="I417" s="33" t="inlineStr">
        <is>
          <t>us</t>
        </is>
      </c>
      <c r="J417" s="33" t="n">
        <v>0</v>
      </c>
      <c r="K417" s="33" t="n">
        <v>3.276</v>
      </c>
      <c r="L417" s="33" t="n">
        <v>26</v>
      </c>
      <c r="M417" s="33" t="inlineStr">
        <is>
          <t>mww</t>
        </is>
      </c>
      <c r="N417" s="33" t="n">
        <v>402</v>
      </c>
      <c r="O417" s="33" t="n">
        <v>29.9377</v>
      </c>
      <c r="P417" s="33" t="n">
        <v>138.833</v>
      </c>
      <c r="Q417" s="33" t="inlineStr">
        <is>
          <t>Izu Islands, Japan region</t>
        </is>
      </c>
      <c r="T417" s="36">
        <f>DATE(MID(C417,7,4),MID(C417,4,2),MID(C417,1,2))+TIME(MID(C417,12,2),MID(C417,15,2),0)</f>
        <v/>
      </c>
      <c r="U417" s="33">
        <f>IF(ISNUMBER(VALUE(MID(A417,7,1))),"Distance-prefix pattern","Named-region pattern")</f>
        <v/>
      </c>
      <c r="V417" s="33">
        <f>LOWER(M417)</f>
        <v/>
      </c>
      <c r="W417" s="33">
        <f>IF(COUNTIFS($A$2:$A$1001,A417,$C$2:$C$1001,C417)&gt;1,"Duplicate","Unique")</f>
        <v/>
      </c>
      <c r="X417" s="33">
        <f>YEAR(T417)</f>
        <v/>
      </c>
      <c r="Y417" s="33">
        <f>IF(B417&lt;6.5,"&lt;6.5",IF(B417&lt;7,"6.5–6.9",IF(B417&lt;7.5,"7.0–7.4",IF(B417&lt;8,"7.5–7.9","8.0+"))))</f>
        <v/>
      </c>
      <c r="Z417" s="33">
        <f>IF(F417="","Blank",F417)</f>
        <v/>
      </c>
    </row>
    <row r="418" ht="15" customHeight="1" s="34">
      <c r="A418" s="33" t="inlineStr">
        <is>
          <t>M 6.5 - 180 km NE of Lospalos, Timor Leste</t>
        </is>
      </c>
      <c r="B418" s="33" t="n">
        <v>6.5</v>
      </c>
      <c r="C418" s="33" t="inlineStr">
        <is>
          <t>01/09/2013 11:52</t>
        </is>
      </c>
      <c r="D418" s="33" t="n">
        <v>4</v>
      </c>
      <c r="E418" s="33" t="n">
        <v>5</v>
      </c>
      <c r="F418" s="33" t="inlineStr">
        <is>
          <t>green</t>
        </is>
      </c>
      <c r="G418" s="33" t="n">
        <v>0</v>
      </c>
      <c r="H418" s="33" t="n">
        <v>668</v>
      </c>
      <c r="I418" s="33" t="inlineStr">
        <is>
          <t>us</t>
        </is>
      </c>
      <c r="J418" s="33" t="n">
        <v>0</v>
      </c>
      <c r="K418" s="33" t="n">
        <v>3.097</v>
      </c>
      <c r="L418" s="33" t="n">
        <v>11</v>
      </c>
      <c r="M418" s="33" t="inlineStr">
        <is>
          <t>mww</t>
        </is>
      </c>
      <c r="N418" s="33" t="n">
        <v>112</v>
      </c>
      <c r="O418" s="33" t="n">
        <v>-7.44</v>
      </c>
      <c r="P418" s="33" t="n">
        <v>128.221</v>
      </c>
      <c r="Q418" s="33" t="inlineStr">
        <is>
          <t>Lospalos, Timor Leste</t>
        </is>
      </c>
      <c r="S418" s="33" t="inlineStr">
        <is>
          <t>Indonesia</t>
        </is>
      </c>
      <c r="T418" s="36">
        <f>DATE(MID(C418,7,4),MID(C418,4,2),MID(C418,1,2))+TIME(MID(C418,12,2),MID(C418,15,2),0)</f>
        <v/>
      </c>
      <c r="U418" s="33">
        <f>IF(ISNUMBER(VALUE(MID(A418,7,1))),"Distance-prefix pattern","Named-region pattern")</f>
        <v/>
      </c>
      <c r="V418" s="33">
        <f>LOWER(M418)</f>
        <v/>
      </c>
      <c r="W418" s="33">
        <f>IF(COUNTIFS($A$2:$A$1001,A418,$C$2:$C$1001,C418)&gt;1,"Duplicate","Unique")</f>
        <v/>
      </c>
      <c r="X418" s="33">
        <f>YEAR(T418)</f>
        <v/>
      </c>
      <c r="Y418" s="33">
        <f>IF(B418&lt;6.5,"&lt;6.5",IF(B418&lt;7,"6.5–6.9",IF(B418&lt;7.5,"7.0–7.4",IF(B418&lt;8,"7.5–7.9","8.0+"))))</f>
        <v/>
      </c>
      <c r="Z418" s="33">
        <f>IF(F418="","Blank",F418)</f>
        <v/>
      </c>
    </row>
    <row r="419" ht="15" customHeight="1" s="34">
      <c r="A419" s="33" t="inlineStr">
        <is>
          <t>M 7.0 - 101 km SW of Atka, Alaska</t>
        </is>
      </c>
      <c r="B419" s="33" t="n">
        <v>7</v>
      </c>
      <c r="C419" s="33" t="inlineStr">
        <is>
          <t>30/08/2013 16:25</t>
        </is>
      </c>
      <c r="D419" s="33" t="n">
        <v>5</v>
      </c>
      <c r="E419" s="33" t="n">
        <v>6</v>
      </c>
      <c r="F419" s="33" t="inlineStr">
        <is>
          <t>green</t>
        </is>
      </c>
      <c r="G419" s="33" t="n">
        <v>0</v>
      </c>
      <c r="H419" s="33" t="n">
        <v>758</v>
      </c>
      <c r="I419" s="33" t="inlineStr">
        <is>
          <t>us</t>
        </is>
      </c>
      <c r="J419" s="33" t="n">
        <v>0</v>
      </c>
      <c r="K419" s="33" t="n">
        <v>0.624</v>
      </c>
      <c r="L419" s="33" t="n">
        <v>53</v>
      </c>
      <c r="M419" s="33" t="inlineStr">
        <is>
          <t>mww</t>
        </is>
      </c>
      <c r="N419" s="33" t="n">
        <v>29</v>
      </c>
      <c r="O419" s="33" t="n">
        <v>51.537</v>
      </c>
      <c r="P419" s="33" t="n">
        <v>-175.23</v>
      </c>
      <c r="Q419" s="33" t="inlineStr">
        <is>
          <t>Atka, Alaska</t>
        </is>
      </c>
      <c r="T419" s="36">
        <f>DATE(MID(C419,7,4),MID(C419,4,2),MID(C419,1,2))+TIME(MID(C419,12,2),MID(C419,15,2),0)</f>
        <v/>
      </c>
      <c r="U419" s="33">
        <f>IF(ISNUMBER(VALUE(MID(A419,7,1))),"Distance-prefix pattern","Named-region pattern")</f>
        <v/>
      </c>
      <c r="V419" s="33">
        <f>LOWER(M419)</f>
        <v/>
      </c>
      <c r="W419" s="33">
        <f>IF(COUNTIFS($A$2:$A$1001,A419,$C$2:$C$1001,C419)&gt;1,"Duplicate","Unique")</f>
        <v/>
      </c>
      <c r="X419" s="33">
        <f>YEAR(T419)</f>
        <v/>
      </c>
      <c r="Y419" s="33">
        <f>IF(B419&lt;6.5,"&lt;6.5",IF(B419&lt;7,"6.5–6.9",IF(B419&lt;7.5,"7.0–7.4",IF(B419&lt;8,"7.5–7.9","8.0+"))))</f>
        <v/>
      </c>
      <c r="Z419" s="33">
        <f>IF(F419="","Blank",F419)</f>
        <v/>
      </c>
    </row>
    <row r="420" ht="15" customHeight="1" s="34">
      <c r="A420" s="33" t="inlineStr">
        <is>
          <t>M 6.5 - 29 km SE of Blenheim, New Zealand</t>
        </is>
      </c>
      <c r="B420" s="33" t="n">
        <v>6.5</v>
      </c>
      <c r="C420" s="33" t="inlineStr">
        <is>
          <t>16/08/2013 02:31</t>
        </is>
      </c>
      <c r="D420" s="33" t="n">
        <v>9</v>
      </c>
      <c r="E420" s="33" t="n">
        <v>7</v>
      </c>
      <c r="F420" s="33" t="inlineStr">
        <is>
          <t>yellow</t>
        </is>
      </c>
      <c r="G420" s="33" t="n">
        <v>1</v>
      </c>
      <c r="H420" s="33" t="n">
        <v>690</v>
      </c>
      <c r="I420" s="33" t="inlineStr">
        <is>
          <t>us</t>
        </is>
      </c>
      <c r="J420" s="33" t="n">
        <v>0</v>
      </c>
      <c r="K420" s="33" t="n">
        <v>0</v>
      </c>
      <c r="L420" s="33" t="n">
        <v>0</v>
      </c>
      <c r="M420" s="33" t="inlineStr">
        <is>
          <t>mww</t>
        </is>
      </c>
      <c r="N420" s="33" t="n">
        <v>8.199999999999999</v>
      </c>
      <c r="O420" s="33" t="n">
        <v>-41.734</v>
      </c>
      <c r="P420" s="33" t="n">
        <v>174.152</v>
      </c>
      <c r="Q420" s="33" t="inlineStr">
        <is>
          <t>Blenheim, New Zealand</t>
        </is>
      </c>
      <c r="S420" s="33" t="inlineStr">
        <is>
          <t>New Zealand</t>
        </is>
      </c>
      <c r="T420" s="36">
        <f>DATE(MID(C420,7,4),MID(C420,4,2),MID(C420,1,2))+TIME(MID(C420,12,2),MID(C420,15,2),0)</f>
        <v/>
      </c>
      <c r="U420" s="33">
        <f>IF(ISNUMBER(VALUE(MID(A420,7,1))),"Distance-prefix pattern","Named-region pattern")</f>
        <v/>
      </c>
      <c r="V420" s="33">
        <f>LOWER(M420)</f>
        <v/>
      </c>
      <c r="W420" s="33">
        <f>IF(COUNTIFS($A$2:$A$1001,A420,$C$2:$C$1001,C420)&gt;1,"Duplicate","Unique")</f>
        <v/>
      </c>
      <c r="X420" s="33">
        <f>YEAR(T420)</f>
        <v/>
      </c>
      <c r="Y420" s="33">
        <f>IF(B420&lt;6.5,"&lt;6.5",IF(B420&lt;7,"6.5–6.9",IF(B420&lt;7.5,"7.0–7.4",IF(B420&lt;8,"7.5–7.9","8.0+"))))</f>
        <v/>
      </c>
      <c r="Z420" s="33">
        <f>IF(F420="","Blank",F420)</f>
        <v/>
      </c>
    </row>
    <row r="421" ht="15" customHeight="1" s="34">
      <c r="A421" s="33" t="inlineStr">
        <is>
          <t>M 6.7 - 101 km WSW of Bahía Solano, Colombia</t>
        </is>
      </c>
      <c r="B421" s="33" t="n">
        <v>6.7</v>
      </c>
      <c r="C421" s="33" t="inlineStr">
        <is>
          <t>13/08/2013 15:43</t>
        </is>
      </c>
      <c r="D421" s="33" t="n">
        <v>4</v>
      </c>
      <c r="E421" s="33" t="n">
        <v>5</v>
      </c>
      <c r="F421" s="33" t="inlineStr">
        <is>
          <t>green</t>
        </is>
      </c>
      <c r="G421" s="33" t="n">
        <v>1</v>
      </c>
      <c r="H421" s="33" t="n">
        <v>715</v>
      </c>
      <c r="I421" s="33" t="inlineStr">
        <is>
          <t>us</t>
        </is>
      </c>
      <c r="J421" s="33" t="n">
        <v>0</v>
      </c>
      <c r="K421" s="33" t="n">
        <v>3.741</v>
      </c>
      <c r="L421" s="33" t="n">
        <v>22</v>
      </c>
      <c r="M421" s="33" t="inlineStr">
        <is>
          <t>mww</t>
        </is>
      </c>
      <c r="N421" s="33" t="n">
        <v>12</v>
      </c>
      <c r="O421" s="33" t="n">
        <v>5.7732</v>
      </c>
      <c r="P421" s="33" t="n">
        <v>-78.1999</v>
      </c>
      <c r="Q421" s="33" t="inlineStr">
        <is>
          <t>Bahía Solano, Colombia</t>
        </is>
      </c>
      <c r="T421" s="36">
        <f>DATE(MID(C421,7,4),MID(C421,4,2),MID(C421,1,2))+TIME(MID(C421,12,2),MID(C421,15,2),0)</f>
        <v/>
      </c>
      <c r="U421" s="33">
        <f>IF(ISNUMBER(VALUE(MID(A421,7,1))),"Distance-prefix pattern","Named-region pattern")</f>
        <v/>
      </c>
      <c r="V421" s="33">
        <f>LOWER(M421)</f>
        <v/>
      </c>
      <c r="W421" s="33">
        <f>IF(COUNTIFS($A$2:$A$1001,A421,$C$2:$C$1001,C421)&gt;1,"Duplicate","Unique")</f>
        <v/>
      </c>
      <c r="X421" s="33">
        <f>YEAR(T421)</f>
        <v/>
      </c>
      <c r="Y421" s="33">
        <f>IF(B421&lt;6.5,"&lt;6.5",IF(B421&lt;7,"6.5–6.9",IF(B421&lt;7.5,"7.0–7.4",IF(B421&lt;8,"7.5–7.9","8.0+"))))</f>
        <v/>
      </c>
      <c r="Z421" s="33">
        <f>IF(F421="","Blank",F421)</f>
        <v/>
      </c>
    </row>
    <row r="422" ht="15" customHeight="1" s="34">
      <c r="A422" s="33" t="inlineStr">
        <is>
          <t>M 6.5 - 38 km ESE of Blenheim, New Zealand</t>
        </is>
      </c>
      <c r="B422" s="33" t="n">
        <v>6.5</v>
      </c>
      <c r="C422" s="33" t="inlineStr">
        <is>
          <t>21/07/2013 05:09</t>
        </is>
      </c>
      <c r="D422" s="33" t="n">
        <v>6</v>
      </c>
      <c r="E422" s="33" t="n">
        <v>7</v>
      </c>
      <c r="F422" s="33" t="inlineStr">
        <is>
          <t>yellow</t>
        </is>
      </c>
      <c r="G422" s="33" t="n">
        <v>1</v>
      </c>
      <c r="H422" s="33" t="n">
        <v>693</v>
      </c>
      <c r="I422" s="33" t="inlineStr">
        <is>
          <t>us</t>
        </is>
      </c>
      <c r="J422" s="33" t="n">
        <v>229</v>
      </c>
      <c r="K422" s="33" t="n">
        <v>0</v>
      </c>
      <c r="L422" s="33" t="n">
        <v>20</v>
      </c>
      <c r="M422" s="33" t="inlineStr">
        <is>
          <t>mww</t>
        </is>
      </c>
      <c r="N422" s="33" t="n">
        <v>17</v>
      </c>
      <c r="O422" s="33" t="n">
        <v>-41.704</v>
      </c>
      <c r="P422" s="33" t="n">
        <v>174.337</v>
      </c>
      <c r="Q422" s="33" t="inlineStr">
        <is>
          <t>Blenheim, New Zealand</t>
        </is>
      </c>
      <c r="S422" s="33" t="inlineStr">
        <is>
          <t>New Zealand</t>
        </is>
      </c>
      <c r="T422" s="36">
        <f>DATE(MID(C422,7,4),MID(C422,4,2),MID(C422,1,2))+TIME(MID(C422,12,2),MID(C422,15,2),0)</f>
        <v/>
      </c>
      <c r="U422" s="33">
        <f>IF(ISNUMBER(VALUE(MID(A422,7,1))),"Distance-prefix pattern","Named-region pattern")</f>
        <v/>
      </c>
      <c r="V422" s="33">
        <f>LOWER(M422)</f>
        <v/>
      </c>
      <c r="W422" s="33">
        <f>IF(COUNTIFS($A$2:$A$1001,A422,$C$2:$C$1001,C422)&gt;1,"Duplicate","Unique")</f>
        <v/>
      </c>
      <c r="X422" s="33">
        <f>YEAR(T422)</f>
        <v/>
      </c>
      <c r="Y422" s="33">
        <f>IF(B422&lt;6.5,"&lt;6.5",IF(B422&lt;7,"6.5–6.9",IF(B422&lt;7.5,"7.0–7.4",IF(B422&lt;8,"7.5–7.9","8.0+"))))</f>
        <v/>
      </c>
      <c r="Z422" s="33">
        <f>IF(F422="","Blank",F422)</f>
        <v/>
      </c>
    </row>
    <row r="423" ht="15" customHeight="1" s="34">
      <c r="A423" s="33" t="inlineStr">
        <is>
          <t>M 7.3 - South Sandwich Islands region</t>
        </is>
      </c>
      <c r="B423" s="33" t="n">
        <v>7.3</v>
      </c>
      <c r="C423" s="33" t="inlineStr">
        <is>
          <t>15/07/2013 14:03</t>
        </is>
      </c>
      <c r="D423" s="33" t="n">
        <v>0</v>
      </c>
      <c r="E423" s="33" t="n">
        <v>6</v>
      </c>
      <c r="F423" s="33" t="inlineStr">
        <is>
          <t>green</t>
        </is>
      </c>
      <c r="G423" s="33" t="n">
        <v>1</v>
      </c>
      <c r="H423" s="33" t="n">
        <v>820</v>
      </c>
      <c r="I423" s="33" t="inlineStr">
        <is>
          <t>us</t>
        </is>
      </c>
      <c r="J423" s="33" t="n">
        <v>398</v>
      </c>
      <c r="K423" s="33" t="n">
        <v>0</v>
      </c>
      <c r="L423" s="33" t="n">
        <v>43</v>
      </c>
      <c r="M423" s="33" t="inlineStr">
        <is>
          <t>mww</t>
        </is>
      </c>
      <c r="N423" s="33" t="n">
        <v>11</v>
      </c>
      <c r="O423" s="33" t="n">
        <v>-60.857</v>
      </c>
      <c r="P423" s="33" t="n">
        <v>-25.07</v>
      </c>
      <c r="Q423" s="33" t="inlineStr">
        <is>
          <t>South Sandwich Islands region</t>
        </is>
      </c>
      <c r="S423" s="33" t="inlineStr">
        <is>
          <t>United Kingdom of Great Britain and Northern Ireland (the)</t>
        </is>
      </c>
      <c r="T423" s="36">
        <f>DATE(MID(C423,7,4),MID(C423,4,2),MID(C423,1,2))+TIME(MID(C423,12,2),MID(C423,15,2),0)</f>
        <v/>
      </c>
      <c r="U423" s="33">
        <f>IF(ISNUMBER(VALUE(MID(A423,7,1))),"Distance-prefix pattern","Named-region pattern")</f>
        <v/>
      </c>
      <c r="V423" s="33">
        <f>LOWER(M423)</f>
        <v/>
      </c>
      <c r="W423" s="33">
        <f>IF(COUNTIFS($A$2:$A$1001,A423,$C$2:$C$1001,C423)&gt;1,"Duplicate","Unique")</f>
        <v/>
      </c>
      <c r="X423" s="33">
        <f>YEAR(T423)</f>
        <v/>
      </c>
      <c r="Y423" s="33">
        <f>IF(B423&lt;6.5,"&lt;6.5",IF(B423&lt;7,"6.5–6.9",IF(B423&lt;7.5,"7.0–7.4",IF(B423&lt;8,"7.5–7.9","8.0+"))))</f>
        <v/>
      </c>
      <c r="Z423" s="33">
        <f>IF(F423="","Blank",F423)</f>
        <v/>
      </c>
    </row>
    <row r="424" ht="15" customHeight="1" s="34">
      <c r="A424" s="33" t="inlineStr">
        <is>
          <t>M 6.6 - 26 km NE of Kandrian, Papua New Guinea</t>
        </is>
      </c>
      <c r="B424" s="33" t="n">
        <v>6.6</v>
      </c>
      <c r="C424" s="33" t="inlineStr">
        <is>
          <t>07/07/2013 20:30</t>
        </is>
      </c>
      <c r="D424" s="33" t="n">
        <v>4</v>
      </c>
      <c r="E424" s="33" t="n">
        <v>6</v>
      </c>
      <c r="F424" s="33" t="inlineStr">
        <is>
          <t>green</t>
        </is>
      </c>
      <c r="G424" s="33" t="n">
        <v>0</v>
      </c>
      <c r="H424" s="33" t="n">
        <v>674</v>
      </c>
      <c r="I424" s="33" t="inlineStr">
        <is>
          <t>us</t>
        </is>
      </c>
      <c r="J424" s="33" t="n">
        <v>139</v>
      </c>
      <c r="K424" s="33" t="n">
        <v>0</v>
      </c>
      <c r="L424" s="33" t="n">
        <v>14</v>
      </c>
      <c r="M424" s="33" t="inlineStr">
        <is>
          <t>mww</t>
        </is>
      </c>
      <c r="N424" s="33" t="n">
        <v>56</v>
      </c>
      <c r="O424" s="33" t="n">
        <v>-6.029</v>
      </c>
      <c r="P424" s="33" t="n">
        <v>149.706</v>
      </c>
      <c r="Q424" s="33" t="inlineStr">
        <is>
          <t>Kandrian, Papua New Guinea</t>
        </is>
      </c>
      <c r="S424" s="33" t="inlineStr">
        <is>
          <t>Papua New Guinea</t>
        </is>
      </c>
      <c r="T424" s="36">
        <f>DATE(MID(C424,7,4),MID(C424,4,2),MID(C424,1,2))+TIME(MID(C424,12,2),MID(C424,15,2),0)</f>
        <v/>
      </c>
      <c r="U424" s="33">
        <f>IF(ISNUMBER(VALUE(MID(A424,7,1))),"Distance-prefix pattern","Named-region pattern")</f>
        <v/>
      </c>
      <c r="V424" s="33">
        <f>LOWER(M424)</f>
        <v/>
      </c>
      <c r="W424" s="33">
        <f>IF(COUNTIFS($A$2:$A$1001,A424,$C$2:$C$1001,C424)&gt;1,"Duplicate","Unique")</f>
        <v/>
      </c>
      <c r="X424" s="33">
        <f>YEAR(T424)</f>
        <v/>
      </c>
      <c r="Y424" s="33">
        <f>IF(B424&lt;6.5,"&lt;6.5",IF(B424&lt;7,"6.5–6.9",IF(B424&lt;7.5,"7.0–7.4",IF(B424&lt;8,"7.5–7.9","8.0+"))))</f>
        <v/>
      </c>
      <c r="Z424" s="33">
        <f>IF(F424="","Blank",F424)</f>
        <v/>
      </c>
    </row>
    <row r="425" ht="15" customHeight="1" s="34">
      <c r="A425" s="33" t="inlineStr">
        <is>
          <t>M 7.3 - 190 km ENE of Kokopo, Papua New Guinea</t>
        </is>
      </c>
      <c r="B425" s="33" t="n">
        <v>7.3</v>
      </c>
      <c r="C425" s="33" t="inlineStr">
        <is>
          <t>07/07/2013 18:35</t>
        </is>
      </c>
      <c r="D425" s="33" t="n">
        <v>0</v>
      </c>
      <c r="E425" s="33" t="n">
        <v>4</v>
      </c>
      <c r="F425" s="33" t="inlineStr">
        <is>
          <t>green</t>
        </is>
      </c>
      <c r="G425" s="33" t="n">
        <v>1</v>
      </c>
      <c r="H425" s="33" t="n">
        <v>820</v>
      </c>
      <c r="I425" s="33" t="inlineStr">
        <is>
          <t>us</t>
        </is>
      </c>
      <c r="J425" s="33" t="n">
        <v>117</v>
      </c>
      <c r="K425" s="33" t="n">
        <v>0</v>
      </c>
      <c r="L425" s="33" t="n">
        <v>24</v>
      </c>
      <c r="M425" s="33" t="inlineStr">
        <is>
          <t>mww</t>
        </is>
      </c>
      <c r="N425" s="33" t="n">
        <v>385.5</v>
      </c>
      <c r="O425" s="33" t="n">
        <v>-3.917</v>
      </c>
      <c r="P425" s="33" t="n">
        <v>153.927</v>
      </c>
      <c r="Q425" s="33" t="inlineStr">
        <is>
          <t>Kokopo, Papua New Guinea</t>
        </is>
      </c>
      <c r="S425" s="33" t="inlineStr">
        <is>
          <t>Papua New Guinea</t>
        </is>
      </c>
      <c r="T425" s="36">
        <f>DATE(MID(C425,7,4),MID(C425,4,2),MID(C425,1,2))+TIME(MID(C425,12,2),MID(C425,15,2),0)</f>
        <v/>
      </c>
      <c r="U425" s="33">
        <f>IF(ISNUMBER(VALUE(MID(A425,7,1))),"Distance-prefix pattern","Named-region pattern")</f>
        <v/>
      </c>
      <c r="V425" s="33">
        <f>LOWER(M425)</f>
        <v/>
      </c>
      <c r="W425" s="33">
        <f>IF(COUNTIFS($A$2:$A$1001,A425,$C$2:$C$1001,C425)&gt;1,"Duplicate","Unique")</f>
        <v/>
      </c>
      <c r="X425" s="33">
        <f>YEAR(T425)</f>
        <v/>
      </c>
      <c r="Y425" s="33">
        <f>IF(B425&lt;6.5,"&lt;6.5",IF(B425&lt;7,"6.5–6.9",IF(B425&lt;7.5,"7.0–7.4",IF(B425&lt;8,"7.5–7.9","8.0+"))))</f>
        <v/>
      </c>
      <c r="Z425" s="33">
        <f>IF(F425="","Blank",F425)</f>
        <v/>
      </c>
    </row>
    <row r="426" ht="15" customHeight="1" s="34">
      <c r="A426" s="33" t="inlineStr">
        <is>
          <t>M 6.6 - northern Mid-Atlantic Ridge</t>
        </is>
      </c>
      <c r="B426" s="33" t="n">
        <v>6.6</v>
      </c>
      <c r="C426" s="33" t="inlineStr">
        <is>
          <t>24/06/2013 22:04</t>
        </is>
      </c>
      <c r="D426" s="33" t="n">
        <v>0</v>
      </c>
      <c r="E426" s="33" t="n">
        <v>7</v>
      </c>
      <c r="F426" s="33" t="inlineStr">
        <is>
          <t>green</t>
        </is>
      </c>
      <c r="G426" s="33" t="n">
        <v>1</v>
      </c>
      <c r="H426" s="33" t="n">
        <v>670</v>
      </c>
      <c r="I426" s="33" t="inlineStr">
        <is>
          <t>us</t>
        </is>
      </c>
      <c r="J426" s="33" t="n">
        <v>111</v>
      </c>
      <c r="K426" s="33" t="n">
        <v>0</v>
      </c>
      <c r="L426" s="33" t="n">
        <v>16</v>
      </c>
      <c r="M426" s="33" t="inlineStr">
        <is>
          <t>mww</t>
        </is>
      </c>
      <c r="N426" s="33" t="n">
        <v>10</v>
      </c>
      <c r="O426" s="33" t="n">
        <v>10.701</v>
      </c>
      <c r="P426" s="33" t="n">
        <v>-42.594</v>
      </c>
      <c r="Q426" s="33" t="inlineStr">
        <is>
          <t>northern Mid-Atlantic Ridge</t>
        </is>
      </c>
      <c r="T426" s="36">
        <f>DATE(MID(C426,7,4),MID(C426,4,2),MID(C426,1,2))+TIME(MID(C426,12,2),MID(C426,15,2),0)</f>
        <v/>
      </c>
      <c r="U426" s="33">
        <f>IF(ISNUMBER(VALUE(MID(A426,7,1))),"Distance-prefix pattern","Named-region pattern")</f>
        <v/>
      </c>
      <c r="V426" s="33">
        <f>LOWER(M426)</f>
        <v/>
      </c>
      <c r="W426" s="33">
        <f>IF(COUNTIFS($A$2:$A$1001,A426,$C$2:$C$1001,C426)&gt;1,"Duplicate","Unique")</f>
        <v/>
      </c>
      <c r="X426" s="33">
        <f>YEAR(T426)</f>
        <v/>
      </c>
      <c r="Y426" s="33">
        <f>IF(B426&lt;6.5,"&lt;6.5",IF(B426&lt;7,"6.5–6.9",IF(B426&lt;7.5,"7.0–7.4",IF(B426&lt;8,"7.5–7.9","8.0+"))))</f>
        <v/>
      </c>
      <c r="Z426" s="33">
        <f>IF(F426="","Blank",F426)</f>
        <v/>
      </c>
    </row>
    <row r="427" ht="15" customHeight="1" s="34">
      <c r="A427" s="33" t="inlineStr">
        <is>
          <t>M 6.5 - 44 km W of Masachapa, Nicaragua</t>
        </is>
      </c>
      <c r="B427" s="33" t="n">
        <v>6.5</v>
      </c>
      <c r="C427" s="33" t="inlineStr">
        <is>
          <t>15/06/2013 17:34</t>
        </is>
      </c>
      <c r="D427" s="33" t="n">
        <v>5</v>
      </c>
      <c r="E427" s="33" t="n">
        <v>6</v>
      </c>
      <c r="F427" s="33" t="inlineStr">
        <is>
          <t>green</t>
        </is>
      </c>
      <c r="G427" s="33" t="n">
        <v>1</v>
      </c>
      <c r="H427" s="33" t="n">
        <v>679</v>
      </c>
      <c r="I427" s="33" t="inlineStr">
        <is>
          <t>us</t>
        </is>
      </c>
      <c r="J427" s="33" t="n">
        <v>698</v>
      </c>
      <c r="K427" s="33" t="n">
        <v>0</v>
      </c>
      <c r="L427" s="33" t="n">
        <v>27</v>
      </c>
      <c r="M427" s="33" t="inlineStr">
        <is>
          <t>mww</t>
        </is>
      </c>
      <c r="N427" s="33" t="n">
        <v>30</v>
      </c>
      <c r="O427" s="33" t="n">
        <v>11.763</v>
      </c>
      <c r="P427" s="33" t="n">
        <v>-86.926</v>
      </c>
      <c r="Q427" s="33" t="inlineStr">
        <is>
          <t>Masachapa, Nicaragua</t>
        </is>
      </c>
      <c r="T427" s="36">
        <f>DATE(MID(C427,7,4),MID(C427,4,2),MID(C427,1,2))+TIME(MID(C427,12,2),MID(C427,15,2),0)</f>
        <v/>
      </c>
      <c r="U427" s="33">
        <f>IF(ISNUMBER(VALUE(MID(A427,7,1))),"Distance-prefix pattern","Named-region pattern")</f>
        <v/>
      </c>
      <c r="V427" s="33">
        <f>LOWER(M427)</f>
        <v/>
      </c>
      <c r="W427" s="33">
        <f>IF(COUNTIFS($A$2:$A$1001,A427,$C$2:$C$1001,C427)&gt;1,"Duplicate","Unique")</f>
        <v/>
      </c>
      <c r="X427" s="33">
        <f>YEAR(T427)</f>
        <v/>
      </c>
      <c r="Y427" s="33">
        <f>IF(B427&lt;6.5,"&lt;6.5",IF(B427&lt;7,"6.5–6.9",IF(B427&lt;7.5,"7.0–7.4",IF(B427&lt;8,"7.5–7.9","8.0+"))))</f>
        <v/>
      </c>
      <c r="Z427" s="33">
        <f>IF(F427="","Blank",F427)</f>
        <v/>
      </c>
    </row>
    <row r="428" ht="15" customHeight="1" s="34">
      <c r="A428" s="33" t="inlineStr">
        <is>
          <t>M 6.7 - south of Java, Indonesia</t>
        </is>
      </c>
      <c r="B428" s="33" t="n">
        <v>6.7</v>
      </c>
      <c r="C428" s="33" t="inlineStr">
        <is>
          <t>13/06/2013 16:47</t>
        </is>
      </c>
      <c r="D428" s="33" t="n">
        <v>5</v>
      </c>
      <c r="E428" s="33" t="n">
        <v>4</v>
      </c>
      <c r="F428" s="33" t="inlineStr">
        <is>
          <t>green</t>
        </is>
      </c>
      <c r="G428" s="33" t="n">
        <v>0</v>
      </c>
      <c r="H428" s="33" t="n">
        <v>710</v>
      </c>
      <c r="I428" s="33" t="inlineStr">
        <is>
          <t>us</t>
        </is>
      </c>
      <c r="J428" s="33" t="n">
        <v>515</v>
      </c>
      <c r="K428" s="33" t="n">
        <v>0</v>
      </c>
      <c r="L428" s="33" t="n">
        <v>24</v>
      </c>
      <c r="M428" s="33" t="inlineStr">
        <is>
          <t>mww</t>
        </is>
      </c>
      <c r="N428" s="33" t="n">
        <v>9</v>
      </c>
      <c r="O428" s="33" t="n">
        <v>-10.004</v>
      </c>
      <c r="P428" s="33" t="n">
        <v>107.236</v>
      </c>
      <c r="Q428" s="33" t="inlineStr">
        <is>
          <t>Java, Indonesia</t>
        </is>
      </c>
      <c r="T428" s="36">
        <f>DATE(MID(C428,7,4),MID(C428,4,2),MID(C428,1,2))+TIME(MID(C428,12,2),MID(C428,15,2),0)</f>
        <v/>
      </c>
      <c r="U428" s="33">
        <f>IF(ISNUMBER(VALUE(MID(A428,7,1))),"Distance-prefix pattern","Named-region pattern")</f>
        <v/>
      </c>
      <c r="V428" s="33">
        <f>LOWER(M428)</f>
        <v/>
      </c>
      <c r="W428" s="33">
        <f>IF(COUNTIFS($A$2:$A$1001,A428,$C$2:$C$1001,C428)&gt;1,"Duplicate","Unique")</f>
        <v/>
      </c>
      <c r="X428" s="33">
        <f>YEAR(T428)</f>
        <v/>
      </c>
      <c r="Y428" s="33">
        <f>IF(B428&lt;6.5,"&lt;6.5",IF(B428&lt;7,"6.5–6.9",IF(B428&lt;7.5,"7.0–7.4",IF(B428&lt;8,"7.5–7.9","8.0+"))))</f>
        <v/>
      </c>
      <c r="Z428" s="33">
        <f>IF(F428="","Blank",F428)</f>
        <v/>
      </c>
    </row>
    <row r="429" ht="15" customHeight="1" s="34">
      <c r="A429" s="33" t="inlineStr">
        <is>
          <t>M 6.7 - Sea of Okhotsk</t>
        </is>
      </c>
      <c r="B429" s="33" t="n">
        <v>6.7</v>
      </c>
      <c r="C429" s="33" t="inlineStr">
        <is>
          <t>24/05/2013 14:56</t>
        </is>
      </c>
      <c r="D429" s="33" t="n">
        <v>0</v>
      </c>
      <c r="E429" s="33" t="n">
        <v>3</v>
      </c>
      <c r="F429" s="33" t="inlineStr">
        <is>
          <t>green</t>
        </is>
      </c>
      <c r="G429" s="33" t="n">
        <v>1</v>
      </c>
      <c r="H429" s="33" t="n">
        <v>691</v>
      </c>
      <c r="I429" s="33" t="inlineStr">
        <is>
          <t>us</t>
        </is>
      </c>
      <c r="J429" s="33" t="n">
        <v>217</v>
      </c>
      <c r="K429" s="33" t="n">
        <v>0</v>
      </c>
      <c r="L429" s="33" t="n">
        <v>25.2</v>
      </c>
      <c r="M429" s="33" t="inlineStr">
        <is>
          <t>mwb</t>
        </is>
      </c>
      <c r="N429" s="33" t="n">
        <v>624</v>
      </c>
      <c r="O429" s="33" t="n">
        <v>52.235</v>
      </c>
      <c r="P429" s="33" t="n">
        <v>151.444</v>
      </c>
      <c r="Q429" s="33" t="inlineStr">
        <is>
          <t>Okhotsk</t>
        </is>
      </c>
      <c r="T429" s="36">
        <f>DATE(MID(C429,7,4),MID(C429,4,2),MID(C429,1,2))+TIME(MID(C429,12,2),MID(C429,15,2),0)</f>
        <v/>
      </c>
      <c r="U429" s="33">
        <f>IF(ISNUMBER(VALUE(MID(A429,7,1))),"Distance-prefix pattern","Named-region pattern")</f>
        <v/>
      </c>
      <c r="V429" s="33">
        <f>LOWER(M429)</f>
        <v/>
      </c>
      <c r="W429" s="33">
        <f>IF(COUNTIFS($A$2:$A$1001,A429,$C$2:$C$1001,C429)&gt;1,"Duplicate","Unique")</f>
        <v/>
      </c>
      <c r="X429" s="33">
        <f>YEAR(T429)</f>
        <v/>
      </c>
      <c r="Y429" s="33">
        <f>IF(B429&lt;6.5,"&lt;6.5",IF(B429&lt;7,"6.5–6.9",IF(B429&lt;7.5,"7.0–7.4",IF(B429&lt;8,"7.5–7.9","8.0+"))))</f>
        <v/>
      </c>
      <c r="Z429" s="33">
        <f>IF(F429="","Blank",F429)</f>
        <v/>
      </c>
    </row>
    <row r="430" ht="15" customHeight="1" s="34">
      <c r="A430" s="33" t="inlineStr">
        <is>
          <t>M 8.3 - Sea of Okhotsk</t>
        </is>
      </c>
      <c r="B430" s="33" t="n">
        <v>8.300000000000001</v>
      </c>
      <c r="C430" s="33" t="inlineStr">
        <is>
          <t>24/05/2013 05:44</t>
        </is>
      </c>
      <c r="D430" s="33" t="n">
        <v>5</v>
      </c>
      <c r="E430" s="33" t="n">
        <v>5</v>
      </c>
      <c r="F430" s="33" t="inlineStr">
        <is>
          <t>green</t>
        </is>
      </c>
      <c r="G430" s="33" t="n">
        <v>1</v>
      </c>
      <c r="H430" s="33" t="n">
        <v>1115</v>
      </c>
      <c r="I430" s="33" t="inlineStr">
        <is>
          <t>us</t>
        </is>
      </c>
      <c r="J430" s="33" t="n">
        <v>385</v>
      </c>
      <c r="K430" s="33" t="n">
        <v>0</v>
      </c>
      <c r="L430" s="33" t="n">
        <v>10</v>
      </c>
      <c r="M430" s="33" t="inlineStr">
        <is>
          <t>mww</t>
        </is>
      </c>
      <c r="N430" s="33" t="n">
        <v>598.1</v>
      </c>
      <c r="O430" s="33" t="n">
        <v>54.892</v>
      </c>
      <c r="P430" s="33" t="n">
        <v>153.221</v>
      </c>
      <c r="Q430" s="33" t="inlineStr">
        <is>
          <t>Okhotsk</t>
        </is>
      </c>
      <c r="T430" s="36">
        <f>DATE(MID(C430,7,4),MID(C430,4,2),MID(C430,1,2))+TIME(MID(C430,12,2),MID(C430,15,2),0)</f>
        <v/>
      </c>
      <c r="U430" s="33">
        <f>IF(ISNUMBER(VALUE(MID(A430,7,1))),"Distance-prefix pattern","Named-region pattern")</f>
        <v/>
      </c>
      <c r="V430" s="33">
        <f>LOWER(M430)</f>
        <v/>
      </c>
      <c r="W430" s="33">
        <f>IF(COUNTIFS($A$2:$A$1001,A430,$C$2:$C$1001,C430)&gt;1,"Duplicate","Unique")</f>
        <v/>
      </c>
      <c r="X430" s="33">
        <f>YEAR(T430)</f>
        <v/>
      </c>
      <c r="Y430" s="33">
        <f>IF(B430&lt;6.5,"&lt;6.5",IF(B430&lt;7,"6.5–6.9",IF(B430&lt;7.5,"7.0–7.4",IF(B430&lt;8,"7.5–7.9","8.0+"))))</f>
        <v/>
      </c>
      <c r="Z430" s="33">
        <f>IF(F430="","Blank",F430)</f>
        <v/>
      </c>
    </row>
    <row r="431" ht="15" customHeight="1" s="34">
      <c r="A431" s="33" t="inlineStr">
        <is>
          <t>M 7.4 - 292 km SW of Vaini, Tonga</t>
        </is>
      </c>
      <c r="B431" s="33" t="n">
        <v>7.4</v>
      </c>
      <c r="C431" s="33" t="inlineStr">
        <is>
          <t>23/05/2013 17:19</t>
        </is>
      </c>
      <c r="D431" s="33" t="n">
        <v>0</v>
      </c>
      <c r="E431" s="33" t="n">
        <v>6</v>
      </c>
      <c r="F431" s="33" t="inlineStr">
        <is>
          <t>green</t>
        </is>
      </c>
      <c r="G431" s="33" t="n">
        <v>1</v>
      </c>
      <c r="H431" s="33" t="n">
        <v>842</v>
      </c>
      <c r="I431" s="33" t="inlineStr">
        <is>
          <t>us</t>
        </is>
      </c>
      <c r="J431" s="33" t="n">
        <v>626</v>
      </c>
      <c r="K431" s="33" t="n">
        <v>0</v>
      </c>
      <c r="L431" s="33" t="n">
        <v>16</v>
      </c>
      <c r="M431" s="33" t="inlineStr">
        <is>
          <t>mww</t>
        </is>
      </c>
      <c r="N431" s="33" t="n">
        <v>173.7</v>
      </c>
      <c r="O431" s="33" t="n">
        <v>-23.009</v>
      </c>
      <c r="P431" s="33" t="n">
        <v>-177.232</v>
      </c>
      <c r="Q431" s="33" t="inlineStr">
        <is>
          <t>Vaini, Tonga</t>
        </is>
      </c>
      <c r="T431" s="36">
        <f>DATE(MID(C431,7,4),MID(C431,4,2),MID(C431,1,2))+TIME(MID(C431,12,2),MID(C431,15,2),0)</f>
        <v/>
      </c>
      <c r="U431" s="33">
        <f>IF(ISNUMBER(VALUE(MID(A431,7,1))),"Distance-prefix pattern","Named-region pattern")</f>
        <v/>
      </c>
      <c r="V431" s="33">
        <f>LOWER(M431)</f>
        <v/>
      </c>
      <c r="W431" s="33">
        <f>IF(COUNTIFS($A$2:$A$1001,A431,$C$2:$C$1001,C431)&gt;1,"Duplicate","Unique")</f>
        <v/>
      </c>
      <c r="X431" s="33">
        <f>YEAR(T431)</f>
        <v/>
      </c>
      <c r="Y431" s="33">
        <f>IF(B431&lt;6.5,"&lt;6.5",IF(B431&lt;7,"6.5–6.9",IF(B431&lt;7.5,"7.0–7.4",IF(B431&lt;8,"7.5–7.9","8.0+"))))</f>
        <v/>
      </c>
      <c r="Z431" s="33">
        <f>IF(F431="","Blank",F431)</f>
        <v/>
      </c>
    </row>
    <row r="432" ht="15" customHeight="1" s="34">
      <c r="A432" s="33" t="inlineStr">
        <is>
          <t>M 6.8 - Pagan region, Northern Mariana Islands</t>
        </is>
      </c>
      <c r="B432" s="33" t="n">
        <v>6.8</v>
      </c>
      <c r="C432" s="33" t="inlineStr">
        <is>
          <t>14/05/2013 00:32</t>
        </is>
      </c>
      <c r="D432" s="33" t="n">
        <v>0</v>
      </c>
      <c r="E432" s="33" t="n">
        <v>3</v>
      </c>
      <c r="F432" s="33" t="inlineStr">
        <is>
          <t>green</t>
        </is>
      </c>
      <c r="G432" s="33" t="n">
        <v>0</v>
      </c>
      <c r="H432" s="33" t="n">
        <v>711</v>
      </c>
      <c r="I432" s="33" t="inlineStr">
        <is>
          <t>us</t>
        </is>
      </c>
      <c r="J432" s="33" t="n">
        <v>131</v>
      </c>
      <c r="K432" s="33" t="n">
        <v>0</v>
      </c>
      <c r="L432" s="33" t="n">
        <v>18</v>
      </c>
      <c r="M432" s="33" t="inlineStr">
        <is>
          <t>mww</t>
        </is>
      </c>
      <c r="N432" s="33" t="n">
        <v>602.2</v>
      </c>
      <c r="O432" s="33" t="n">
        <v>18.728</v>
      </c>
      <c r="P432" s="33" t="n">
        <v>145.288</v>
      </c>
      <c r="Q432" s="33" t="inlineStr">
        <is>
          <t>Pagan region, Northern Mariana Islands</t>
        </is>
      </c>
      <c r="T432" s="36">
        <f>DATE(MID(C432,7,4),MID(C432,4,2),MID(C432,1,2))+TIME(MID(C432,12,2),MID(C432,15,2),0)</f>
        <v/>
      </c>
      <c r="U432" s="33">
        <f>IF(ISNUMBER(VALUE(MID(A432,7,1))),"Distance-prefix pattern","Named-region pattern")</f>
        <v/>
      </c>
      <c r="V432" s="33">
        <f>LOWER(M432)</f>
        <v/>
      </c>
      <c r="W432" s="33">
        <f>IF(COUNTIFS($A$2:$A$1001,A432,$C$2:$C$1001,C432)&gt;1,"Duplicate","Unique")</f>
        <v/>
      </c>
      <c r="X432" s="33">
        <f>YEAR(T432)</f>
        <v/>
      </c>
      <c r="Y432" s="33">
        <f>IF(B432&lt;6.5,"&lt;6.5",IF(B432&lt;7,"6.5–6.9",IF(B432&lt;7.5,"7.0–7.4",IF(B432&lt;8,"7.5–7.9","8.0+"))))</f>
        <v/>
      </c>
      <c r="Z432" s="33">
        <f>IF(F432="","Blank",F432)</f>
        <v/>
      </c>
    </row>
    <row r="433" ht="15" customHeight="1" s="34">
      <c r="A433" s="33" t="inlineStr">
        <is>
          <t>M 6.5 - 33 km N of Rabaul, Papua New Guinea</t>
        </is>
      </c>
      <c r="B433" s="33" t="n">
        <v>6.5</v>
      </c>
      <c r="C433" s="33" t="inlineStr">
        <is>
          <t>23/04/2013 23:14</t>
        </is>
      </c>
      <c r="D433" s="33" t="n">
        <v>0</v>
      </c>
      <c r="E433" s="33" t="n">
        <v>6</v>
      </c>
      <c r="F433" s="33" t="inlineStr">
        <is>
          <t>green</t>
        </is>
      </c>
      <c r="G433" s="33" t="n">
        <v>1</v>
      </c>
      <c r="H433" s="33" t="n">
        <v>650</v>
      </c>
      <c r="I433" s="33" t="inlineStr">
        <is>
          <t>us</t>
        </is>
      </c>
      <c r="J433" s="33" t="n">
        <v>264</v>
      </c>
      <c r="K433" s="33" t="n">
        <v>0</v>
      </c>
      <c r="L433" s="33" t="n">
        <v>16.6</v>
      </c>
      <c r="M433" s="33" t="inlineStr">
        <is>
          <t>mww</t>
        </is>
      </c>
      <c r="N433" s="33" t="n">
        <v>10</v>
      </c>
      <c r="O433" s="33" t="n">
        <v>-3.898</v>
      </c>
      <c r="P433" s="33" t="n">
        <v>152.127</v>
      </c>
      <c r="Q433" s="33" t="inlineStr">
        <is>
          <t>Rabaul, Papua New Guinea</t>
        </is>
      </c>
      <c r="S433" s="33" t="inlineStr">
        <is>
          <t>Papua New Guinea</t>
        </is>
      </c>
      <c r="T433" s="36">
        <f>DATE(MID(C433,7,4),MID(C433,4,2),MID(C433,1,2))+TIME(MID(C433,12,2),MID(C433,15,2),0)</f>
        <v/>
      </c>
      <c r="U433" s="33">
        <f>IF(ISNUMBER(VALUE(MID(A433,7,1))),"Distance-prefix pattern","Named-region pattern")</f>
        <v/>
      </c>
      <c r="V433" s="33">
        <f>LOWER(M433)</f>
        <v/>
      </c>
      <c r="W433" s="33">
        <f>IF(COUNTIFS($A$2:$A$1001,A433,$C$2:$C$1001,C433)&gt;1,"Duplicate","Unique")</f>
        <v/>
      </c>
      <c r="X433" s="33">
        <f>YEAR(T433)</f>
        <v/>
      </c>
      <c r="Y433" s="33">
        <f>IF(B433&lt;6.5,"&lt;6.5",IF(B433&lt;7,"6.5–6.9",IF(B433&lt;7.5,"7.0–7.4",IF(B433&lt;8,"7.5–7.9","8.0+"))))</f>
        <v/>
      </c>
      <c r="Z433" s="33">
        <f>IF(F433="","Blank",F433)</f>
        <v/>
      </c>
    </row>
    <row r="434" ht="15" customHeight="1" s="34">
      <c r="A434" s="33" t="inlineStr">
        <is>
          <t>M 6.6 - 56 km WSW of Linqiong, China</t>
        </is>
      </c>
      <c r="B434" s="33" t="n">
        <v>6.6</v>
      </c>
      <c r="C434" s="33" t="inlineStr">
        <is>
          <t>20/04/2013 00:02</t>
        </is>
      </c>
      <c r="D434" s="33" t="n">
        <v>8</v>
      </c>
      <c r="E434" s="33" t="n">
        <v>8</v>
      </c>
      <c r="F434" s="33" t="inlineStr">
        <is>
          <t>red</t>
        </is>
      </c>
      <c r="G434" s="33" t="n">
        <v>0</v>
      </c>
      <c r="H434" s="33" t="n">
        <v>2083</v>
      </c>
      <c r="I434" s="33" t="inlineStr">
        <is>
          <t>us</t>
        </is>
      </c>
      <c r="J434" s="33" t="n">
        <v>548</v>
      </c>
      <c r="K434" s="33" t="n">
        <v>0</v>
      </c>
      <c r="L434" s="33" t="n">
        <v>12.6</v>
      </c>
      <c r="M434" s="33" t="inlineStr">
        <is>
          <t>mww</t>
        </is>
      </c>
      <c r="N434" s="33" t="n">
        <v>14</v>
      </c>
      <c r="O434" s="33" t="n">
        <v>30.308</v>
      </c>
      <c r="P434" s="33" t="n">
        <v>102.888</v>
      </c>
      <c r="Q434" s="33" t="inlineStr">
        <is>
          <t>Linqiong, China</t>
        </is>
      </c>
      <c r="R434" s="33" t="inlineStr">
        <is>
          <t>Asia</t>
        </is>
      </c>
      <c r="S434" s="33" t="inlineStr">
        <is>
          <t>People's Republic of China</t>
        </is>
      </c>
      <c r="T434" s="36">
        <f>DATE(MID(C434,7,4),MID(C434,4,2),MID(C434,1,2))+TIME(MID(C434,12,2),MID(C434,15,2),0)</f>
        <v/>
      </c>
      <c r="U434" s="33">
        <f>IF(ISNUMBER(VALUE(MID(A434,7,1))),"Distance-prefix pattern","Named-region pattern")</f>
        <v/>
      </c>
      <c r="V434" s="33">
        <f>LOWER(M434)</f>
        <v/>
      </c>
      <c r="W434" s="33">
        <f>IF(COUNTIFS($A$2:$A$1001,A434,$C$2:$C$1001,C434)&gt;1,"Duplicate","Unique")</f>
        <v/>
      </c>
      <c r="X434" s="33">
        <f>YEAR(T434)</f>
        <v/>
      </c>
      <c r="Y434" s="33">
        <f>IF(B434&lt;6.5,"&lt;6.5",IF(B434&lt;7,"6.5–6.9",IF(B434&lt;7.5,"7.0–7.4",IF(B434&lt;8,"7.5–7.9","8.0+"))))</f>
        <v/>
      </c>
      <c r="Z434" s="33">
        <f>IF(F434="","Blank",F434)</f>
        <v/>
      </c>
    </row>
    <row r="435" ht="15" customHeight="1" s="34">
      <c r="A435" s="33" t="inlineStr">
        <is>
          <t>M 7.2 - 252 km ENE of Kuril’sk, Russia</t>
        </is>
      </c>
      <c r="B435" s="33" t="n">
        <v>7.2</v>
      </c>
      <c r="C435" s="33" t="inlineStr">
        <is>
          <t>19/04/2013 03:05</t>
        </is>
      </c>
      <c r="D435" s="33" t="n">
        <v>5</v>
      </c>
      <c r="E435" s="33" t="n">
        <v>7</v>
      </c>
      <c r="F435" s="33" t="inlineStr">
        <is>
          <t>green</t>
        </is>
      </c>
      <c r="G435" s="33" t="n">
        <v>1</v>
      </c>
      <c r="H435" s="33" t="n">
        <v>804</v>
      </c>
      <c r="I435" s="33" t="inlineStr">
        <is>
          <t>us</t>
        </is>
      </c>
      <c r="J435" s="33" t="n">
        <v>770</v>
      </c>
      <c r="K435" s="33" t="n">
        <v>0</v>
      </c>
      <c r="L435" s="33" t="n">
        <v>10.1</v>
      </c>
      <c r="M435" s="33" t="inlineStr">
        <is>
          <t>mww</t>
        </is>
      </c>
      <c r="N435" s="33" t="n">
        <v>110</v>
      </c>
      <c r="O435" s="33" t="n">
        <v>46.221</v>
      </c>
      <c r="P435" s="33" t="n">
        <v>150.788</v>
      </c>
      <c r="Q435" s="33" t="inlineStr">
        <is>
          <t>Kuril’sk, Russia</t>
        </is>
      </c>
      <c r="R435" s="33" t="inlineStr">
        <is>
          <t>Asia</t>
        </is>
      </c>
      <c r="S435" s="33" t="inlineStr">
        <is>
          <t>Russia</t>
        </is>
      </c>
      <c r="T435" s="36">
        <f>DATE(MID(C435,7,4),MID(C435,4,2),MID(C435,1,2))+TIME(MID(C435,12,2),MID(C435,15,2),0)</f>
        <v/>
      </c>
      <c r="U435" s="33">
        <f>IF(ISNUMBER(VALUE(MID(A435,7,1))),"Distance-prefix pattern","Named-region pattern")</f>
        <v/>
      </c>
      <c r="V435" s="33">
        <f>LOWER(M435)</f>
        <v/>
      </c>
      <c r="W435" s="33">
        <f>IF(COUNTIFS($A$2:$A$1001,A435,$C$2:$C$1001,C435)&gt;1,"Duplicate","Unique")</f>
        <v/>
      </c>
      <c r="X435" s="33">
        <f>YEAR(T435)</f>
        <v/>
      </c>
      <c r="Y435" s="33">
        <f>IF(B435&lt;6.5,"&lt;6.5",IF(B435&lt;7,"6.5–6.9",IF(B435&lt;7.5,"7.0–7.4",IF(B435&lt;8,"7.5–7.9","8.0+"))))</f>
        <v/>
      </c>
      <c r="Z435" s="33">
        <f>IF(F435="","Blank",F435)</f>
        <v/>
      </c>
    </row>
    <row r="436" ht="15" customHeight="1" s="34">
      <c r="A436" s="33" t="inlineStr">
        <is>
          <t>M 6.6 - 23 km ESE of Aitape, Papua New Guinea</t>
        </is>
      </c>
      <c r="B436" s="33" t="n">
        <v>6.6</v>
      </c>
      <c r="C436" s="33" t="inlineStr">
        <is>
          <t>16/04/2013 22:55</t>
        </is>
      </c>
      <c r="D436" s="33" t="n">
        <v>7</v>
      </c>
      <c r="E436" s="33" t="n">
        <v>7</v>
      </c>
      <c r="F436" s="33" t="inlineStr">
        <is>
          <t>green</t>
        </is>
      </c>
      <c r="G436" s="33" t="n">
        <v>1</v>
      </c>
      <c r="H436" s="33" t="n">
        <v>672</v>
      </c>
      <c r="I436" s="33" t="inlineStr">
        <is>
          <t>us</t>
        </is>
      </c>
      <c r="J436" s="33" t="n">
        <v>445</v>
      </c>
      <c r="K436" s="33" t="n">
        <v>0</v>
      </c>
      <c r="L436" s="33" t="n">
        <v>11</v>
      </c>
      <c r="M436" s="33" t="inlineStr">
        <is>
          <t>mww</t>
        </is>
      </c>
      <c r="N436" s="33" t="n">
        <v>13</v>
      </c>
      <c r="O436" s="33" t="n">
        <v>-3.214</v>
      </c>
      <c r="P436" s="33" t="n">
        <v>142.542</v>
      </c>
      <c r="Q436" s="33" t="inlineStr">
        <is>
          <t>Aitape, Papua New Guinea</t>
        </is>
      </c>
      <c r="S436" s="33" t="inlineStr">
        <is>
          <t>Papua New Guinea</t>
        </is>
      </c>
      <c r="T436" s="36">
        <f>DATE(MID(C436,7,4),MID(C436,4,2),MID(C436,1,2))+TIME(MID(C436,12,2),MID(C436,15,2),0)</f>
        <v/>
      </c>
      <c r="U436" s="33">
        <f>IF(ISNUMBER(VALUE(MID(A436,7,1))),"Distance-prefix pattern","Named-region pattern")</f>
        <v/>
      </c>
      <c r="V436" s="33">
        <f>LOWER(M436)</f>
        <v/>
      </c>
      <c r="W436" s="33">
        <f>IF(COUNTIFS($A$2:$A$1001,A436,$C$2:$C$1001,C436)&gt;1,"Duplicate","Unique")</f>
        <v/>
      </c>
      <c r="X436" s="33">
        <f>YEAR(T436)</f>
        <v/>
      </c>
      <c r="Y436" s="33">
        <f>IF(B436&lt;6.5,"&lt;6.5",IF(B436&lt;7,"6.5–6.9",IF(B436&lt;7.5,"7.0–7.4",IF(B436&lt;8,"7.5–7.9","8.0+"))))</f>
        <v/>
      </c>
      <c r="Z436" s="33">
        <f>IF(F436="","Blank",F436)</f>
        <v/>
      </c>
    </row>
    <row r="437" ht="15" customHeight="1" s="34">
      <c r="A437" s="33" t="inlineStr">
        <is>
          <t>M 7.7 - 79 km ESE of Kh?sh, Iran</t>
        </is>
      </c>
      <c r="B437" s="33" t="n">
        <v>7.7</v>
      </c>
      <c r="C437" s="33" t="inlineStr">
        <is>
          <t>16/04/2013 10:44</t>
        </is>
      </c>
      <c r="D437" s="33" t="n">
        <v>8</v>
      </c>
      <c r="E437" s="33" t="n">
        <v>8</v>
      </c>
      <c r="F437" s="33" t="inlineStr">
        <is>
          <t>yellow</t>
        </is>
      </c>
      <c r="G437" s="33" t="n">
        <v>0</v>
      </c>
      <c r="H437" s="33" t="n">
        <v>1421</v>
      </c>
      <c r="I437" s="33" t="inlineStr">
        <is>
          <t>us</t>
        </is>
      </c>
      <c r="J437" s="33" t="n">
        <v>506</v>
      </c>
      <c r="K437" s="33" t="n">
        <v>0</v>
      </c>
      <c r="L437" s="33" t="n">
        <v>26.6</v>
      </c>
      <c r="M437" s="33" t="inlineStr">
        <is>
          <t>mww</t>
        </is>
      </c>
      <c r="N437" s="33" t="n">
        <v>80</v>
      </c>
      <c r="O437" s="33" t="n">
        <v>28.033</v>
      </c>
      <c r="P437" s="33" t="n">
        <v>61.996</v>
      </c>
      <c r="Q437" s="33" t="inlineStr">
        <is>
          <t>Kh?sh, Iran</t>
        </is>
      </c>
      <c r="R437" s="33" t="inlineStr">
        <is>
          <t>Asia</t>
        </is>
      </c>
      <c r="S437" s="33" t="inlineStr">
        <is>
          <t>Iran</t>
        </is>
      </c>
      <c r="T437" s="36">
        <f>DATE(MID(C437,7,4),MID(C437,4,2),MID(C437,1,2))+TIME(MID(C437,12,2),MID(C437,15,2),0)</f>
        <v/>
      </c>
      <c r="U437" s="33">
        <f>IF(ISNUMBER(VALUE(MID(A437,7,1))),"Distance-prefix pattern","Named-region pattern")</f>
        <v/>
      </c>
      <c r="V437" s="33">
        <f>LOWER(M437)</f>
        <v/>
      </c>
      <c r="W437" s="33">
        <f>IF(COUNTIFS($A$2:$A$1001,A437,$C$2:$C$1001,C437)&gt;1,"Duplicate","Unique")</f>
        <v/>
      </c>
      <c r="X437" s="33">
        <f>YEAR(T437)</f>
        <v/>
      </c>
      <c r="Y437" s="33">
        <f>IF(B437&lt;6.5,"&lt;6.5",IF(B437&lt;7,"6.5–6.9",IF(B437&lt;7.5,"7.0–7.4",IF(B437&lt;8,"7.5–7.9","8.0+"))))</f>
        <v/>
      </c>
      <c r="Z437" s="33">
        <f>IF(F437="","Blank",F437)</f>
        <v/>
      </c>
    </row>
    <row r="438" ht="15" customHeight="1" s="34">
      <c r="A438" s="33" t="inlineStr">
        <is>
          <t>M 6.6 - 98 km W of Panguna, Papua New Guinea</t>
        </is>
      </c>
      <c r="B438" s="33" t="n">
        <v>6.6</v>
      </c>
      <c r="C438" s="33" t="inlineStr">
        <is>
          <t>14/04/2013 01:32</t>
        </is>
      </c>
      <c r="D438" s="33" t="n">
        <v>0</v>
      </c>
      <c r="E438" s="33" t="n">
        <v>5</v>
      </c>
      <c r="F438" s="33" t="inlineStr">
        <is>
          <t>green</t>
        </is>
      </c>
      <c r="G438" s="33" t="n">
        <v>1</v>
      </c>
      <c r="H438" s="33" t="n">
        <v>670</v>
      </c>
      <c r="I438" s="33" t="inlineStr">
        <is>
          <t>us</t>
        </is>
      </c>
      <c r="J438" s="33" t="n">
        <v>491</v>
      </c>
      <c r="K438" s="33" t="n">
        <v>0</v>
      </c>
      <c r="L438" s="33" t="n">
        <v>11.5</v>
      </c>
      <c r="M438" s="33" t="inlineStr">
        <is>
          <t>mww</t>
        </is>
      </c>
      <c r="N438" s="33" t="n">
        <v>31</v>
      </c>
      <c r="O438" s="33" t="n">
        <v>-6.475</v>
      </c>
      <c r="P438" s="33" t="n">
        <v>154.607</v>
      </c>
      <c r="Q438" s="33" t="inlineStr">
        <is>
          <t>Panguna, Papua New Guinea</t>
        </is>
      </c>
      <c r="T438" s="36">
        <f>DATE(MID(C438,7,4),MID(C438,4,2),MID(C438,1,2))+TIME(MID(C438,12,2),MID(C438,15,2),0)</f>
        <v/>
      </c>
      <c r="U438" s="33">
        <f>IF(ISNUMBER(VALUE(MID(A438,7,1))),"Distance-prefix pattern","Named-region pattern")</f>
        <v/>
      </c>
      <c r="V438" s="33">
        <f>LOWER(M438)</f>
        <v/>
      </c>
      <c r="W438" s="33">
        <f>IF(COUNTIFS($A$2:$A$1001,A438,$C$2:$C$1001,C438)&gt;1,"Duplicate","Unique")</f>
        <v/>
      </c>
      <c r="X438" s="33">
        <f>YEAR(T438)</f>
        <v/>
      </c>
      <c r="Y438" s="33">
        <f>IF(B438&lt;6.5,"&lt;6.5",IF(B438&lt;7,"6.5–6.9",IF(B438&lt;7.5,"7.0–7.4",IF(B438&lt;8,"7.5–7.9","8.0+"))))</f>
        <v/>
      </c>
      <c r="Z438" s="33">
        <f>IF(F438="","Blank",F438)</f>
        <v/>
      </c>
    </row>
    <row r="439" ht="15" customHeight="1" s="34">
      <c r="A439" s="33" t="inlineStr">
        <is>
          <t>M 7.0 - 260 km WSW of Abepura, Indonesia</t>
        </is>
      </c>
      <c r="B439" s="33" t="n">
        <v>7</v>
      </c>
      <c r="C439" s="33" t="inlineStr">
        <is>
          <t>06/04/2013 04:42</t>
        </is>
      </c>
      <c r="D439" s="33" t="n">
        <v>3</v>
      </c>
      <c r="E439" s="33" t="n">
        <v>7</v>
      </c>
      <c r="F439" s="33" t="inlineStr">
        <is>
          <t>green</t>
        </is>
      </c>
      <c r="G439" s="33" t="n">
        <v>1</v>
      </c>
      <c r="H439" s="33" t="n">
        <v>755</v>
      </c>
      <c r="I439" s="33" t="inlineStr">
        <is>
          <t>us</t>
        </is>
      </c>
      <c r="J439" s="33" t="n">
        <v>640</v>
      </c>
      <c r="K439" s="33" t="n">
        <v>0</v>
      </c>
      <c r="L439" s="33" t="n">
        <v>11.4</v>
      </c>
      <c r="M439" s="33" t="inlineStr">
        <is>
          <t>mww</t>
        </is>
      </c>
      <c r="N439" s="33" t="n">
        <v>66</v>
      </c>
      <c r="O439" s="33" t="n">
        <v>-3.517</v>
      </c>
      <c r="P439" s="33" t="n">
        <v>138.476</v>
      </c>
      <c r="Q439" s="33" t="inlineStr">
        <is>
          <t>Abepura, Indonesia</t>
        </is>
      </c>
      <c r="S439" s="33" t="inlineStr">
        <is>
          <t>Indonesia</t>
        </is>
      </c>
      <c r="T439" s="36">
        <f>DATE(MID(C439,7,4),MID(C439,4,2),MID(C439,1,2))+TIME(MID(C439,12,2),MID(C439,15,2),0)</f>
        <v/>
      </c>
      <c r="U439" s="33">
        <f>IF(ISNUMBER(VALUE(MID(A439,7,1))),"Distance-prefix pattern","Named-region pattern")</f>
        <v/>
      </c>
      <c r="V439" s="33">
        <f>LOWER(M439)</f>
        <v/>
      </c>
      <c r="W439" s="33">
        <f>IF(COUNTIFS($A$2:$A$1001,A439,$C$2:$C$1001,C439)&gt;1,"Duplicate","Unique")</f>
        <v/>
      </c>
      <c r="X439" s="33">
        <f>YEAR(T439)</f>
        <v/>
      </c>
      <c r="Y439" s="33">
        <f>IF(B439&lt;6.5,"&lt;6.5",IF(B439&lt;7,"6.5–6.9",IF(B439&lt;7.5,"7.0–7.4",IF(B439&lt;8,"7.5–7.9","8.0+"))))</f>
        <v/>
      </c>
      <c r="Z439" s="33">
        <f>IF(F439="","Blank",F439)</f>
        <v/>
      </c>
    </row>
    <row r="440" ht="15" customHeight="1" s="34">
      <c r="A440" s="33" t="inlineStr">
        <is>
          <t>M 6.5 - 36 km E of Finschhafen, Papua New Guinea</t>
        </is>
      </c>
      <c r="B440" s="33" t="n">
        <v>6.5</v>
      </c>
      <c r="C440" s="33" t="inlineStr">
        <is>
          <t>10/03/2013 22:51</t>
        </is>
      </c>
      <c r="D440" s="33" t="n">
        <v>0</v>
      </c>
      <c r="E440" s="33" t="n">
        <v>6</v>
      </c>
      <c r="F440" s="33" t="inlineStr">
        <is>
          <t>green</t>
        </is>
      </c>
      <c r="G440" s="33" t="n">
        <v>1</v>
      </c>
      <c r="H440" s="33" t="n">
        <v>650</v>
      </c>
      <c r="I440" s="33" t="inlineStr">
        <is>
          <t>us</t>
        </is>
      </c>
      <c r="J440" s="33" t="n">
        <v>317</v>
      </c>
      <c r="K440" s="33" t="n">
        <v>0</v>
      </c>
      <c r="L440" s="33" t="n">
        <v>14.2</v>
      </c>
      <c r="M440" s="33" t="inlineStr">
        <is>
          <t>mww</t>
        </is>
      </c>
      <c r="N440" s="33" t="n">
        <v>28</v>
      </c>
      <c r="O440" s="33" t="n">
        <v>-6.598</v>
      </c>
      <c r="P440" s="33" t="n">
        <v>148.174</v>
      </c>
      <c r="Q440" s="33" t="inlineStr">
        <is>
          <t>Finschhafen, Papua New Guinea</t>
        </is>
      </c>
      <c r="S440" s="33" t="inlineStr">
        <is>
          <t>Papua New Guinea</t>
        </is>
      </c>
      <c r="T440" s="36">
        <f>DATE(MID(C440,7,4),MID(C440,4,2),MID(C440,1,2))+TIME(MID(C440,12,2),MID(C440,15,2),0)</f>
        <v/>
      </c>
      <c r="U440" s="33">
        <f>IF(ISNUMBER(VALUE(MID(A440,7,1))),"Distance-prefix pattern","Named-region pattern")</f>
        <v/>
      </c>
      <c r="V440" s="33">
        <f>LOWER(M440)</f>
        <v/>
      </c>
      <c r="W440" s="33">
        <f>IF(COUNTIFS($A$2:$A$1001,A440,$C$2:$C$1001,C440)&gt;1,"Duplicate","Unique")</f>
        <v/>
      </c>
      <c r="X440" s="33">
        <f>YEAR(T440)</f>
        <v/>
      </c>
      <c r="Y440" s="33">
        <f>IF(B440&lt;6.5,"&lt;6.5",IF(B440&lt;7,"6.5–6.9",IF(B440&lt;7.5,"7.0–7.4",IF(B440&lt;8,"7.5–7.9","8.0+"))))</f>
        <v/>
      </c>
      <c r="Z440" s="33">
        <f>IF(F440="","Blank",F440)</f>
        <v/>
      </c>
    </row>
    <row r="441" ht="15" customHeight="1" s="34">
      <c r="A441" s="33" t="inlineStr">
        <is>
          <t>M 6.5 - 87 km SE of Ozernovskiy, Russia</t>
        </is>
      </c>
      <c r="B441" s="33" t="n">
        <v>6.5</v>
      </c>
      <c r="C441" s="33" t="inlineStr">
        <is>
          <t>01/03/2013 13:20</t>
        </is>
      </c>
      <c r="D441" s="33" t="n">
        <v>3</v>
      </c>
      <c r="E441" s="33" t="n">
        <v>6</v>
      </c>
      <c r="F441" s="33" t="inlineStr">
        <is>
          <t>green</t>
        </is>
      </c>
      <c r="G441" s="33" t="n">
        <v>0</v>
      </c>
      <c r="H441" s="33" t="n">
        <v>651</v>
      </c>
      <c r="I441" s="33" t="inlineStr">
        <is>
          <t>us</t>
        </is>
      </c>
      <c r="J441" s="33" t="n">
        <v>480</v>
      </c>
      <c r="K441" s="33" t="n">
        <v>0</v>
      </c>
      <c r="L441" s="33" t="n">
        <v>20.7</v>
      </c>
      <c r="M441" s="33" t="inlineStr">
        <is>
          <t>mww</t>
        </is>
      </c>
      <c r="N441" s="33" t="n">
        <v>29</v>
      </c>
      <c r="O441" s="33" t="n">
        <v>50.958</v>
      </c>
      <c r="P441" s="33" t="n">
        <v>157.408</v>
      </c>
      <c r="Q441" s="33" t="inlineStr">
        <is>
          <t>Ozernovskiy, Russia</t>
        </is>
      </c>
      <c r="R441" s="33" t="inlineStr">
        <is>
          <t>Asia</t>
        </is>
      </c>
      <c r="T441" s="36">
        <f>DATE(MID(C441,7,4),MID(C441,4,2),MID(C441,1,2))+TIME(MID(C441,12,2),MID(C441,15,2),0)</f>
        <v/>
      </c>
      <c r="U441" s="33">
        <f>IF(ISNUMBER(VALUE(MID(A441,7,1))),"Distance-prefix pattern","Named-region pattern")</f>
        <v/>
      </c>
      <c r="V441" s="33">
        <f>LOWER(M441)</f>
        <v/>
      </c>
      <c r="W441" s="33">
        <f>IF(COUNTIFS($A$2:$A$1001,A441,$C$2:$C$1001,C441)&gt;1,"Duplicate","Unique")</f>
        <v/>
      </c>
      <c r="X441" s="33">
        <f>YEAR(T441)</f>
        <v/>
      </c>
      <c r="Y441" s="33">
        <f>IF(B441&lt;6.5,"&lt;6.5",IF(B441&lt;7,"6.5–6.9",IF(B441&lt;7.5,"7.0–7.4",IF(B441&lt;8,"7.5–7.9","8.0+"))))</f>
        <v/>
      </c>
      <c r="Z441" s="33">
        <f>IF(F441="","Blank",F441)</f>
        <v/>
      </c>
    </row>
    <row r="442" ht="15" customHeight="1" s="34">
      <c r="A442" s="33" t="inlineStr">
        <is>
          <t>M 6.9 - 81 km SE of Ozernovskiy, Russia</t>
        </is>
      </c>
      <c r="B442" s="33" t="n">
        <v>6.9</v>
      </c>
      <c r="C442" s="33" t="inlineStr">
        <is>
          <t>28/02/2013 14:05</t>
        </is>
      </c>
      <c r="D442" s="33" t="n">
        <v>5</v>
      </c>
      <c r="E442" s="33" t="n">
        <v>6</v>
      </c>
      <c r="F442" s="33" t="inlineStr">
        <is>
          <t>green</t>
        </is>
      </c>
      <c r="G442" s="33" t="n">
        <v>1</v>
      </c>
      <c r="H442" s="33" t="n">
        <v>736</v>
      </c>
      <c r="I442" s="33" t="inlineStr">
        <is>
          <t>us</t>
        </is>
      </c>
      <c r="J442" s="33" t="n">
        <v>531</v>
      </c>
      <c r="K442" s="33" t="n">
        <v>0</v>
      </c>
      <c r="L442" s="33" t="n">
        <v>20.7</v>
      </c>
      <c r="M442" s="33" t="inlineStr">
        <is>
          <t>mww</t>
        </is>
      </c>
      <c r="N442" s="33" t="n">
        <v>41</v>
      </c>
      <c r="O442" s="33" t="n">
        <v>50.954</v>
      </c>
      <c r="P442" s="33" t="n">
        <v>157.283</v>
      </c>
      <c r="Q442" s="33" t="inlineStr">
        <is>
          <t>Ozernovskiy, Russia</t>
        </is>
      </c>
      <c r="R442" s="33" t="inlineStr">
        <is>
          <t>Asia</t>
        </is>
      </c>
      <c r="T442" s="36">
        <f>DATE(MID(C442,7,4),MID(C442,4,2),MID(C442,1,2))+TIME(MID(C442,12,2),MID(C442,15,2),0)</f>
        <v/>
      </c>
      <c r="U442" s="33">
        <f>IF(ISNUMBER(VALUE(MID(A442,7,1))),"Distance-prefix pattern","Named-region pattern")</f>
        <v/>
      </c>
      <c r="V442" s="33">
        <f>LOWER(M442)</f>
        <v/>
      </c>
      <c r="W442" s="33">
        <f>IF(COUNTIFS($A$2:$A$1001,A442,$C$2:$C$1001,C442)&gt;1,"Duplicate","Unique")</f>
        <v/>
      </c>
      <c r="X442" s="33">
        <f>YEAR(T442)</f>
        <v/>
      </c>
      <c r="Y442" s="33">
        <f>IF(B442&lt;6.5,"&lt;6.5",IF(B442&lt;7,"6.5–6.9",IF(B442&lt;7.5,"7.0–7.4",IF(B442&lt;8,"7.5–7.9","8.0+"))))</f>
        <v/>
      </c>
      <c r="Z442" s="33">
        <f>IF(F442="","Blank",F442)</f>
        <v/>
      </c>
    </row>
    <row r="443" ht="15" customHeight="1" s="34">
      <c r="A443" s="33" t="inlineStr">
        <is>
          <t>M 6.6 - 183 km SW of Belaya Gora, Russia</t>
        </is>
      </c>
      <c r="B443" s="33" t="n">
        <v>6.6</v>
      </c>
      <c r="C443" s="33" t="inlineStr">
        <is>
          <t>14/02/2013 13:13</t>
        </is>
      </c>
      <c r="D443" s="33" t="n">
        <v>0</v>
      </c>
      <c r="E443" s="33" t="n">
        <v>7</v>
      </c>
      <c r="F443" s="33" t="inlineStr">
        <is>
          <t>green</t>
        </is>
      </c>
      <c r="G443" s="33" t="n">
        <v>1</v>
      </c>
      <c r="H443" s="33" t="n">
        <v>670</v>
      </c>
      <c r="I443" s="33" t="inlineStr">
        <is>
          <t>us</t>
        </is>
      </c>
      <c r="J443" s="33" t="n">
        <v>697</v>
      </c>
      <c r="K443" s="33" t="n">
        <v>0</v>
      </c>
      <c r="L443" s="33" t="n">
        <v>15.3</v>
      </c>
      <c r="M443" s="33" t="inlineStr">
        <is>
          <t>mww</t>
        </is>
      </c>
      <c r="N443" s="33" t="n">
        <v>11</v>
      </c>
      <c r="O443" s="33" t="n">
        <v>67.631</v>
      </c>
      <c r="P443" s="33" t="n">
        <v>142.508</v>
      </c>
      <c r="Q443" s="33" t="inlineStr">
        <is>
          <t>Belaya Gora, Russia</t>
        </is>
      </c>
      <c r="R443" s="33" t="inlineStr">
        <is>
          <t>Asia</t>
        </is>
      </c>
      <c r="S443" s="33" t="inlineStr">
        <is>
          <t>Russia</t>
        </is>
      </c>
      <c r="T443" s="36">
        <f>DATE(MID(C443,7,4),MID(C443,4,2),MID(C443,1,2))+TIME(MID(C443,12,2),MID(C443,15,2),0)</f>
        <v/>
      </c>
      <c r="U443" s="33">
        <f>IF(ISNUMBER(VALUE(MID(A443,7,1))),"Distance-prefix pattern","Named-region pattern")</f>
        <v/>
      </c>
      <c r="V443" s="33">
        <f>LOWER(M443)</f>
        <v/>
      </c>
      <c r="W443" s="33">
        <f>IF(COUNTIFS($A$2:$A$1001,A443,$C$2:$C$1001,C443)&gt;1,"Duplicate","Unique")</f>
        <v/>
      </c>
      <c r="X443" s="33">
        <f>YEAR(T443)</f>
        <v/>
      </c>
      <c r="Y443" s="33">
        <f>IF(B443&lt;6.5,"&lt;6.5",IF(B443&lt;7,"6.5–6.9",IF(B443&lt;7.5,"7.0–7.4",IF(B443&lt;8,"7.5–7.9","8.0+"))))</f>
        <v/>
      </c>
      <c r="Z443" s="33">
        <f>IF(F443="","Blank",F443)</f>
        <v/>
      </c>
    </row>
    <row r="444" ht="15" customHeight="1" s="34">
      <c r="A444" s="33" t="inlineStr">
        <is>
          <t>M 6.6 - 30 km SSW of Lata, Solomon Islands</t>
        </is>
      </c>
      <c r="B444" s="33" t="n">
        <v>6.6</v>
      </c>
      <c r="C444" s="33" t="inlineStr">
        <is>
          <t>09/02/2013 21:02</t>
        </is>
      </c>
      <c r="D444" s="33" t="n">
        <v>0</v>
      </c>
      <c r="E444" s="33" t="n">
        <v>6</v>
      </c>
      <c r="F444" s="33" t="inlineStr">
        <is>
          <t>green</t>
        </is>
      </c>
      <c r="G444" s="33" t="n">
        <v>1</v>
      </c>
      <c r="H444" s="33" t="n">
        <v>670</v>
      </c>
      <c r="I444" s="33" t="inlineStr">
        <is>
          <t>us</t>
        </is>
      </c>
      <c r="J444" s="33" t="n">
        <v>421</v>
      </c>
      <c r="K444" s="33" t="n">
        <v>0</v>
      </c>
      <c r="L444" s="33" t="n">
        <v>16.6</v>
      </c>
      <c r="M444" s="33" t="inlineStr">
        <is>
          <t>mww</t>
        </is>
      </c>
      <c r="N444" s="33" t="n">
        <v>18</v>
      </c>
      <c r="O444" s="33" t="n">
        <v>-10.994</v>
      </c>
      <c r="P444" s="33" t="n">
        <v>165.741</v>
      </c>
      <c r="Q444" s="33" t="inlineStr">
        <is>
          <t>Lata, Solomon Islands</t>
        </is>
      </c>
      <c r="S444" s="33" t="inlineStr">
        <is>
          <t>Solomon Islands</t>
        </is>
      </c>
      <c r="T444" s="36">
        <f>DATE(MID(C444,7,4),MID(C444,4,2),MID(C444,1,2))+TIME(MID(C444,12,2),MID(C444,15,2),0)</f>
        <v/>
      </c>
      <c r="U444" s="33">
        <f>IF(ISNUMBER(VALUE(MID(A444,7,1))),"Distance-prefix pattern","Named-region pattern")</f>
        <v/>
      </c>
      <c r="V444" s="33">
        <f>LOWER(M444)</f>
        <v/>
      </c>
      <c r="W444" s="33">
        <f>IF(COUNTIFS($A$2:$A$1001,A444,$C$2:$C$1001,C444)&gt;1,"Duplicate","Unique")</f>
        <v/>
      </c>
      <c r="X444" s="33">
        <f>YEAR(T444)</f>
        <v/>
      </c>
      <c r="Y444" s="33">
        <f>IF(B444&lt;6.5,"&lt;6.5",IF(B444&lt;7,"6.5–6.9",IF(B444&lt;7.5,"7.0–7.4",IF(B444&lt;8,"7.5–7.9","8.0+"))))</f>
        <v/>
      </c>
      <c r="Z444" s="33">
        <f>IF(F444="","Blank",F444)</f>
        <v/>
      </c>
    </row>
    <row r="445" ht="15" customHeight="1" s="34">
      <c r="A445" s="33" t="inlineStr">
        <is>
          <t>M 6.9 - 2 km NNE of Yacuanquer, Colombia</t>
        </is>
      </c>
      <c r="B445" s="33" t="n">
        <v>6.9</v>
      </c>
      <c r="C445" s="33" t="inlineStr">
        <is>
          <t>09/02/2013 14:16</t>
        </is>
      </c>
      <c r="D445" s="33" t="n">
        <v>5</v>
      </c>
      <c r="E445" s="33" t="n">
        <v>5</v>
      </c>
      <c r="F445" s="33" t="inlineStr">
        <is>
          <t>green</t>
        </is>
      </c>
      <c r="G445" s="33" t="n">
        <v>1</v>
      </c>
      <c r="H445" s="33" t="n">
        <v>904</v>
      </c>
      <c r="I445" s="33" t="inlineStr">
        <is>
          <t>us</t>
        </is>
      </c>
      <c r="J445" s="33" t="n">
        <v>562</v>
      </c>
      <c r="K445" s="33" t="n">
        <v>0</v>
      </c>
      <c r="L445" s="33" t="n">
        <v>23.7</v>
      </c>
      <c r="M445" s="33" t="inlineStr">
        <is>
          <t>mww</t>
        </is>
      </c>
      <c r="N445" s="33" t="n">
        <v>145</v>
      </c>
      <c r="O445" s="33" t="n">
        <v>1.135</v>
      </c>
      <c r="P445" s="33" t="n">
        <v>-77.393</v>
      </c>
      <c r="Q445" s="33" t="inlineStr">
        <is>
          <t>Yacuanquer, Colombia</t>
        </is>
      </c>
      <c r="R445" s="33" t="inlineStr">
        <is>
          <t>South America</t>
        </is>
      </c>
      <c r="S445" s="33" t="inlineStr">
        <is>
          <t>Colombia</t>
        </is>
      </c>
      <c r="T445" s="36">
        <f>DATE(MID(C445,7,4),MID(C445,4,2),MID(C445,1,2))+TIME(MID(C445,12,2),MID(C445,15,2),0)</f>
        <v/>
      </c>
      <c r="U445" s="33">
        <f>IF(ISNUMBER(VALUE(MID(A445,7,1))),"Distance-prefix pattern","Named-region pattern")</f>
        <v/>
      </c>
      <c r="V445" s="33">
        <f>LOWER(M445)</f>
        <v/>
      </c>
      <c r="W445" s="33">
        <f>IF(COUNTIFS($A$2:$A$1001,A445,$C$2:$C$1001,C445)&gt;1,"Duplicate","Unique")</f>
        <v/>
      </c>
      <c r="X445" s="33">
        <f>YEAR(T445)</f>
        <v/>
      </c>
      <c r="Y445" s="33">
        <f>IF(B445&lt;6.5,"&lt;6.5",IF(B445&lt;7,"6.5–6.9",IF(B445&lt;7.5,"7.0–7.4",IF(B445&lt;8,"7.5–7.9","8.0+"))))</f>
        <v/>
      </c>
      <c r="Z445" s="33">
        <f>IF(F445="","Blank",F445)</f>
        <v/>
      </c>
    </row>
    <row r="446" ht="15" customHeight="1" s="34">
      <c r="A446" s="33" t="inlineStr">
        <is>
          <t>M 7.1 - 32 km SE of Lata, Solomon Islands</t>
        </is>
      </c>
      <c r="B446" s="33" t="n">
        <v>7.1</v>
      </c>
      <c r="C446" s="33" t="inlineStr">
        <is>
          <t>08/02/2013 15:26</t>
        </is>
      </c>
      <c r="D446" s="33" t="n">
        <v>9</v>
      </c>
      <c r="E446" s="33" t="n">
        <v>6</v>
      </c>
      <c r="F446" s="33" t="inlineStr">
        <is>
          <t>green</t>
        </is>
      </c>
      <c r="G446" s="33" t="n">
        <v>1</v>
      </c>
      <c r="H446" s="33" t="n">
        <v>780</v>
      </c>
      <c r="I446" s="33" t="inlineStr">
        <is>
          <t>us</t>
        </is>
      </c>
      <c r="J446" s="33" t="n">
        <v>334</v>
      </c>
      <c r="K446" s="33" t="n">
        <v>0</v>
      </c>
      <c r="L446" s="33" t="n">
        <v>16.5</v>
      </c>
      <c r="M446" s="33" t="inlineStr">
        <is>
          <t>mww</t>
        </is>
      </c>
      <c r="N446" s="33" t="n">
        <v>21</v>
      </c>
      <c r="O446" s="33" t="n">
        <v>-10.928</v>
      </c>
      <c r="P446" s="33" t="n">
        <v>166.018</v>
      </c>
      <c r="Q446" s="33" t="inlineStr">
        <is>
          <t>Lata, Solomon Islands</t>
        </is>
      </c>
      <c r="S446" s="33" t="inlineStr">
        <is>
          <t>Solomon Islands</t>
        </is>
      </c>
      <c r="T446" s="36">
        <f>DATE(MID(C446,7,4),MID(C446,4,2),MID(C446,1,2))+TIME(MID(C446,12,2),MID(C446,15,2),0)</f>
        <v/>
      </c>
      <c r="U446" s="33">
        <f>IF(ISNUMBER(VALUE(MID(A446,7,1))),"Distance-prefix pattern","Named-region pattern")</f>
        <v/>
      </c>
      <c r="V446" s="33">
        <f>LOWER(M446)</f>
        <v/>
      </c>
      <c r="W446" s="33">
        <f>IF(COUNTIFS($A$2:$A$1001,A446,$C$2:$C$1001,C446)&gt;1,"Duplicate","Unique")</f>
        <v/>
      </c>
      <c r="X446" s="33">
        <f>YEAR(T446)</f>
        <v/>
      </c>
      <c r="Y446" s="33">
        <f>IF(B446&lt;6.5,"&lt;6.5",IF(B446&lt;7,"6.5–6.9",IF(B446&lt;7.5,"7.0–7.4",IF(B446&lt;8,"7.5–7.9","8.0+"))))</f>
        <v/>
      </c>
      <c r="Z446" s="33">
        <f>IF(F446="","Blank",F446)</f>
        <v/>
      </c>
    </row>
    <row r="447" ht="15" customHeight="1" s="34">
      <c r="A447" s="33" t="inlineStr">
        <is>
          <t>M 6.8 - 22 km ESE of Lata, Solomon Islands</t>
        </is>
      </c>
      <c r="B447" s="33" t="n">
        <v>6.8</v>
      </c>
      <c r="C447" s="33" t="inlineStr">
        <is>
          <t>08/02/2013 11:12</t>
        </is>
      </c>
      <c r="D447" s="33" t="n">
        <v>0</v>
      </c>
      <c r="E447" s="33" t="n">
        <v>7</v>
      </c>
      <c r="F447" s="33" t="inlineStr">
        <is>
          <t>green</t>
        </is>
      </c>
      <c r="G447" s="33" t="n">
        <v>1</v>
      </c>
      <c r="H447" s="33" t="n">
        <v>711</v>
      </c>
      <c r="I447" s="33" t="inlineStr">
        <is>
          <t>us</t>
        </is>
      </c>
      <c r="J447" s="33" t="n">
        <v>400</v>
      </c>
      <c r="K447" s="33" t="n">
        <v>0</v>
      </c>
      <c r="L447" s="33" t="n">
        <v>17.5</v>
      </c>
      <c r="M447" s="33" t="inlineStr">
        <is>
          <t>mww</t>
        </is>
      </c>
      <c r="N447" s="33" t="n">
        <v>12</v>
      </c>
      <c r="O447" s="33" t="n">
        <v>-10.838</v>
      </c>
      <c r="P447" s="33" t="n">
        <v>165.969</v>
      </c>
      <c r="Q447" s="33" t="inlineStr">
        <is>
          <t>Lata, Solomon Islands</t>
        </is>
      </c>
      <c r="S447" s="33" t="inlineStr">
        <is>
          <t>Solomon Islands</t>
        </is>
      </c>
      <c r="T447" s="36">
        <f>DATE(MID(C447,7,4),MID(C447,4,2),MID(C447,1,2))+TIME(MID(C447,12,2),MID(C447,15,2),0)</f>
        <v/>
      </c>
      <c r="U447" s="33">
        <f>IF(ISNUMBER(VALUE(MID(A447,7,1))),"Distance-prefix pattern","Named-region pattern")</f>
        <v/>
      </c>
      <c r="V447" s="33">
        <f>LOWER(M447)</f>
        <v/>
      </c>
      <c r="W447" s="33">
        <f>IF(COUNTIFS($A$2:$A$1001,A447,$C$2:$C$1001,C447)&gt;1,"Duplicate","Unique")</f>
        <v/>
      </c>
      <c r="X447" s="33">
        <f>YEAR(T447)</f>
        <v/>
      </c>
      <c r="Y447" s="33">
        <f>IF(B447&lt;6.5,"&lt;6.5",IF(B447&lt;7,"6.5–6.9",IF(B447&lt;7.5,"7.0–7.4",IF(B447&lt;8,"7.5–7.9","8.0+"))))</f>
        <v/>
      </c>
      <c r="Z447" s="33">
        <f>IF(F447="","Blank",F447)</f>
        <v/>
      </c>
    </row>
    <row r="448" ht="15" customHeight="1" s="34">
      <c r="A448" s="33" t="inlineStr">
        <is>
          <t>M 6.7 - 33 km SSW of Lata, Solomon Islands</t>
        </is>
      </c>
      <c r="B448" s="33" t="n">
        <v>6.7</v>
      </c>
      <c r="C448" s="33" t="inlineStr">
        <is>
          <t>07/02/2013 18:59</t>
        </is>
      </c>
      <c r="D448" s="33" t="n">
        <v>0</v>
      </c>
      <c r="E448" s="33" t="n">
        <v>6</v>
      </c>
      <c r="F448" s="33" t="inlineStr">
        <is>
          <t>green</t>
        </is>
      </c>
      <c r="G448" s="33" t="n">
        <v>1</v>
      </c>
      <c r="H448" s="33" t="n">
        <v>691</v>
      </c>
      <c r="I448" s="33" t="inlineStr">
        <is>
          <t>us</t>
        </is>
      </c>
      <c r="J448" s="33" t="n">
        <v>387</v>
      </c>
      <c r="K448" s="33" t="n">
        <v>0</v>
      </c>
      <c r="L448" s="33" t="n">
        <v>26.5</v>
      </c>
      <c r="M448" s="33" t="inlineStr">
        <is>
          <t>mww</t>
        </is>
      </c>
      <c r="N448" s="33" t="n">
        <v>11</v>
      </c>
      <c r="O448" s="33" t="n">
        <v>-10.997</v>
      </c>
      <c r="P448" s="33" t="n">
        <v>165.655</v>
      </c>
      <c r="Q448" s="33" t="inlineStr">
        <is>
          <t>Lata, Solomon Islands</t>
        </is>
      </c>
      <c r="S448" s="33" t="inlineStr">
        <is>
          <t>Solomon Islands</t>
        </is>
      </c>
      <c r="T448" s="36">
        <f>DATE(MID(C448,7,4),MID(C448,4,2),MID(C448,1,2))+TIME(MID(C448,12,2),MID(C448,15,2),0)</f>
        <v/>
      </c>
      <c r="U448" s="33">
        <f>IF(ISNUMBER(VALUE(MID(A448,7,1))),"Distance-prefix pattern","Named-region pattern")</f>
        <v/>
      </c>
      <c r="V448" s="33">
        <f>LOWER(M448)</f>
        <v/>
      </c>
      <c r="W448" s="33">
        <f>IF(COUNTIFS($A$2:$A$1001,A448,$C$2:$C$1001,C448)&gt;1,"Duplicate","Unique")</f>
        <v/>
      </c>
      <c r="X448" s="33">
        <f>YEAR(T448)</f>
        <v/>
      </c>
      <c r="Y448" s="33">
        <f>IF(B448&lt;6.5,"&lt;6.5",IF(B448&lt;7,"6.5–6.9",IF(B448&lt;7.5,"7.0–7.4",IF(B448&lt;8,"7.5–7.9","8.0+"))))</f>
        <v/>
      </c>
      <c r="Z448" s="33">
        <f>IF(F448="","Blank",F448)</f>
        <v/>
      </c>
    </row>
    <row r="449" ht="15" customHeight="1" s="34">
      <c r="A449" s="33" t="inlineStr">
        <is>
          <t>M 7.0 - 33 km NW of Lata, Solomon Islands</t>
        </is>
      </c>
      <c r="B449" s="33" t="n">
        <v>7</v>
      </c>
      <c r="C449" s="33" t="inlineStr">
        <is>
          <t>06/02/2013 01:54</t>
        </is>
      </c>
      <c r="D449" s="33" t="n">
        <v>0</v>
      </c>
      <c r="E449" s="33" t="n">
        <v>6</v>
      </c>
      <c r="F449" s="33" t="inlineStr">
        <is>
          <t>green</t>
        </is>
      </c>
      <c r="G449" s="33" t="n">
        <v>0</v>
      </c>
      <c r="H449" s="33" t="n">
        <v>754</v>
      </c>
      <c r="I449" s="33" t="inlineStr">
        <is>
          <t>us</t>
        </is>
      </c>
      <c r="J449" s="33" t="n">
        <v>445</v>
      </c>
      <c r="K449" s="33" t="n">
        <v>0</v>
      </c>
      <c r="L449" s="33" t="n">
        <v>17.5</v>
      </c>
      <c r="M449" s="33" t="inlineStr">
        <is>
          <t>mww</t>
        </is>
      </c>
      <c r="N449" s="33" t="n">
        <v>8.800000000000001</v>
      </c>
      <c r="O449" s="33" t="n">
        <v>-10.499</v>
      </c>
      <c r="P449" s="33" t="n">
        <v>165.588</v>
      </c>
      <c r="Q449" s="33" t="inlineStr">
        <is>
          <t>Lata, Solomon Islands</t>
        </is>
      </c>
      <c r="S449" s="33" t="inlineStr">
        <is>
          <t>Solomon Islands</t>
        </is>
      </c>
      <c r="T449" s="36">
        <f>DATE(MID(C449,7,4),MID(C449,4,2),MID(C449,1,2))+TIME(MID(C449,12,2),MID(C449,15,2),0)</f>
        <v/>
      </c>
      <c r="U449" s="33">
        <f>IF(ISNUMBER(VALUE(MID(A449,7,1))),"Distance-prefix pattern","Named-region pattern")</f>
        <v/>
      </c>
      <c r="V449" s="33">
        <f>LOWER(M449)</f>
        <v/>
      </c>
      <c r="W449" s="33">
        <f>IF(COUNTIFS($A$2:$A$1001,A449,$C$2:$C$1001,C449)&gt;1,"Duplicate","Unique")</f>
        <v/>
      </c>
      <c r="X449" s="33">
        <f>YEAR(T449)</f>
        <v/>
      </c>
      <c r="Y449" s="33">
        <f>IF(B449&lt;6.5,"&lt;6.5",IF(B449&lt;7,"6.5–6.9",IF(B449&lt;7.5,"7.0–7.4",IF(B449&lt;8,"7.5–7.9","8.0+"))))</f>
        <v/>
      </c>
      <c r="Z449" s="33">
        <f>IF(F449="","Blank",F449)</f>
        <v/>
      </c>
    </row>
    <row r="450" ht="15" customHeight="1" s="34">
      <c r="A450" s="33" t="inlineStr">
        <is>
          <t>M 7.1 - 112 km WSW of Lata, Solomon Islands</t>
        </is>
      </c>
      <c r="B450" s="33" t="n">
        <v>7.1</v>
      </c>
      <c r="C450" s="33" t="inlineStr">
        <is>
          <t>06/02/2013 01:23</t>
        </is>
      </c>
      <c r="D450" s="33" t="n">
        <v>0</v>
      </c>
      <c r="E450" s="33" t="n">
        <v>5</v>
      </c>
      <c r="F450" s="33" t="inlineStr">
        <is>
          <t>green</t>
        </is>
      </c>
      <c r="G450" s="33" t="n">
        <v>0</v>
      </c>
      <c r="H450" s="33" t="n">
        <v>776</v>
      </c>
      <c r="I450" s="33" t="inlineStr">
        <is>
          <t>us</t>
        </is>
      </c>
      <c r="J450" s="33" t="n">
        <v>550</v>
      </c>
      <c r="K450" s="33" t="n">
        <v>0</v>
      </c>
      <c r="L450" s="33" t="n">
        <v>18.4</v>
      </c>
      <c r="M450" s="33" t="inlineStr">
        <is>
          <t>mww</t>
        </is>
      </c>
      <c r="N450" s="33" t="n">
        <v>10</v>
      </c>
      <c r="O450" s="33" t="n">
        <v>-11.183</v>
      </c>
      <c r="P450" s="33" t="n">
        <v>164.882</v>
      </c>
      <c r="Q450" s="33" t="inlineStr">
        <is>
          <t>Lata, Solomon Islands</t>
        </is>
      </c>
      <c r="T450" s="36">
        <f>DATE(MID(C450,7,4),MID(C450,4,2),MID(C450,1,2))+TIME(MID(C450,12,2),MID(C450,15,2),0)</f>
        <v/>
      </c>
      <c r="U450" s="33">
        <f>IF(ISNUMBER(VALUE(MID(A450,7,1))),"Distance-prefix pattern","Named-region pattern")</f>
        <v/>
      </c>
      <c r="V450" s="33">
        <f>LOWER(M450)</f>
        <v/>
      </c>
      <c r="W450" s="33">
        <f>IF(COUNTIFS($A$2:$A$1001,A450,$C$2:$C$1001,C450)&gt;1,"Duplicate","Unique")</f>
        <v/>
      </c>
      <c r="X450" s="33">
        <f>YEAR(T450)</f>
        <v/>
      </c>
      <c r="Y450" s="33">
        <f>IF(B450&lt;6.5,"&lt;6.5",IF(B450&lt;7,"6.5–6.9",IF(B450&lt;7.5,"7.0–7.4",IF(B450&lt;8,"7.5–7.9","8.0+"))))</f>
        <v/>
      </c>
      <c r="Z450" s="33">
        <f>IF(F450="","Blank",F450)</f>
        <v/>
      </c>
    </row>
    <row r="451" ht="15" customHeight="1" s="34">
      <c r="A451" s="33" t="inlineStr">
        <is>
          <t>M 8.0 - 75 km W of Lata, Solomon Islands</t>
        </is>
      </c>
      <c r="B451" s="33" t="n">
        <v>8</v>
      </c>
      <c r="C451" s="33" t="inlineStr">
        <is>
          <t>06/02/2013 01:12</t>
        </is>
      </c>
      <c r="D451" s="33" t="n">
        <v>8</v>
      </c>
      <c r="E451" s="33" t="n">
        <v>7</v>
      </c>
      <c r="F451" s="33" t="inlineStr">
        <is>
          <t>green</t>
        </is>
      </c>
      <c r="G451" s="33" t="n">
        <v>1</v>
      </c>
      <c r="H451" s="33" t="n">
        <v>993</v>
      </c>
      <c r="I451" s="33" t="inlineStr">
        <is>
          <t>us</t>
        </is>
      </c>
      <c r="J451" s="33" t="n">
        <v>460</v>
      </c>
      <c r="K451" s="33" t="n">
        <v>0</v>
      </c>
      <c r="L451" s="33" t="n">
        <v>20.9</v>
      </c>
      <c r="M451" s="33" t="inlineStr">
        <is>
          <t>mww</t>
        </is>
      </c>
      <c r="N451" s="33" t="n">
        <v>24</v>
      </c>
      <c r="O451" s="33" t="n">
        <v>-10.799</v>
      </c>
      <c r="P451" s="33" t="n">
        <v>165.114</v>
      </c>
      <c r="Q451" s="33" t="inlineStr">
        <is>
          <t>Lata, Solomon Islands</t>
        </is>
      </c>
      <c r="T451" s="36">
        <f>DATE(MID(C451,7,4),MID(C451,4,2),MID(C451,1,2))+TIME(MID(C451,12,2),MID(C451,15,2),0)</f>
        <v/>
      </c>
      <c r="U451" s="33">
        <f>IF(ISNUMBER(VALUE(MID(A451,7,1))),"Distance-prefix pattern","Named-region pattern")</f>
        <v/>
      </c>
      <c r="V451" s="33">
        <f>LOWER(M451)</f>
        <v/>
      </c>
      <c r="W451" s="33">
        <f>IF(COUNTIFS($A$2:$A$1001,A451,$C$2:$C$1001,C451)&gt;1,"Duplicate","Unique")</f>
        <v/>
      </c>
      <c r="X451" s="33">
        <f>YEAR(T451)</f>
        <v/>
      </c>
      <c r="Y451" s="33">
        <f>IF(B451&lt;6.5,"&lt;6.5",IF(B451&lt;7,"6.5–6.9",IF(B451&lt;7.5,"7.0–7.4",IF(B451&lt;8,"7.5–7.9","8.0+"))))</f>
        <v/>
      </c>
      <c r="Z451" s="33">
        <f>IF(F451="","Blank",F451)</f>
        <v/>
      </c>
    </row>
    <row r="452" ht="15" customHeight="1" s="34">
      <c r="A452" s="33" t="inlineStr">
        <is>
          <t>M 6.9 - 18 km SSW of Obihiro, Japan</t>
        </is>
      </c>
      <c r="B452" s="33" t="n">
        <v>6.9</v>
      </c>
      <c r="C452" s="33" t="inlineStr">
        <is>
          <t>02/02/2013 14:17</t>
        </is>
      </c>
      <c r="D452" s="33" t="n">
        <v>6</v>
      </c>
      <c r="E452" s="33" t="n">
        <v>7</v>
      </c>
      <c r="F452" s="33" t="inlineStr">
        <is>
          <t>yellow</t>
        </is>
      </c>
      <c r="G452" s="33" t="n">
        <v>0</v>
      </c>
      <c r="H452" s="33" t="n">
        <v>814</v>
      </c>
      <c r="I452" s="33" t="inlineStr">
        <is>
          <t>us</t>
        </is>
      </c>
      <c r="J452" s="33" t="n">
        <v>686</v>
      </c>
      <c r="K452" s="33" t="n">
        <v>0</v>
      </c>
      <c r="L452" s="33" t="n">
        <v>28</v>
      </c>
      <c r="M452" s="33" t="inlineStr">
        <is>
          <t>mww</t>
        </is>
      </c>
      <c r="N452" s="33" t="n">
        <v>107</v>
      </c>
      <c r="O452" s="33" t="n">
        <v>42.77</v>
      </c>
      <c r="P452" s="33" t="n">
        <v>143.092</v>
      </c>
      <c r="Q452" s="33" t="inlineStr">
        <is>
          <t>Obihiro, Japan</t>
        </is>
      </c>
      <c r="R452" s="33" t="inlineStr">
        <is>
          <t>Asia</t>
        </is>
      </c>
      <c r="S452" s="33" t="inlineStr">
        <is>
          <t>Japan</t>
        </is>
      </c>
      <c r="T452" s="36">
        <f>DATE(MID(C452,7,4),MID(C452,4,2),MID(C452,1,2))+TIME(MID(C452,12,2),MID(C452,15,2),0)</f>
        <v/>
      </c>
      <c r="U452" s="33">
        <f>IF(ISNUMBER(VALUE(MID(A452,7,1))),"Distance-prefix pattern","Named-region pattern")</f>
        <v/>
      </c>
      <c r="V452" s="33">
        <f>LOWER(M452)</f>
        <v/>
      </c>
      <c r="W452" s="33">
        <f>IF(COUNTIFS($A$2:$A$1001,A452,$C$2:$C$1001,C452)&gt;1,"Duplicate","Unique")</f>
        <v/>
      </c>
      <c r="X452" s="33">
        <f>YEAR(T452)</f>
        <v/>
      </c>
      <c r="Y452" s="33">
        <f>IF(B452&lt;6.5,"&lt;6.5",IF(B452&lt;7,"6.5–6.9",IF(B452&lt;7.5,"7.0–7.4",IF(B452&lt;8,"7.5–7.9","8.0+"))))</f>
        <v/>
      </c>
      <c r="Z452" s="33">
        <f>IF(F452="","Blank",F452)</f>
        <v/>
      </c>
    </row>
    <row r="453" ht="15" customHeight="1" s="34">
      <c r="A453" s="33" t="inlineStr">
        <is>
          <t>M 6.8 - 54 km N of Vallenar, Chile</t>
        </is>
      </c>
      <c r="B453" s="33" t="n">
        <v>6.8</v>
      </c>
      <c r="C453" s="33" t="inlineStr">
        <is>
          <t>30/01/2013 20:15</t>
        </is>
      </c>
      <c r="D453" s="33" t="n">
        <v>6</v>
      </c>
      <c r="E453" s="33" t="n">
        <v>7</v>
      </c>
      <c r="F453" s="33" t="inlineStr">
        <is>
          <t>green</t>
        </is>
      </c>
      <c r="G453" s="33" t="n">
        <v>0</v>
      </c>
      <c r="H453" s="33" t="n">
        <v>771</v>
      </c>
      <c r="I453" s="33" t="inlineStr">
        <is>
          <t>us</t>
        </is>
      </c>
      <c r="J453" s="33" t="n">
        <v>596</v>
      </c>
      <c r="K453" s="33" t="n">
        <v>0</v>
      </c>
      <c r="L453" s="33" t="n">
        <v>19.3</v>
      </c>
      <c r="M453" s="33" t="inlineStr">
        <is>
          <t>mww</t>
        </is>
      </c>
      <c r="N453" s="33" t="n">
        <v>45</v>
      </c>
      <c r="O453" s="33" t="n">
        <v>-28.094</v>
      </c>
      <c r="P453" s="33" t="n">
        <v>-70.65300000000001</v>
      </c>
      <c r="Q453" s="33" t="inlineStr">
        <is>
          <t>Vallenar, Chile</t>
        </is>
      </c>
      <c r="R453" s="33" t="inlineStr">
        <is>
          <t>South America</t>
        </is>
      </c>
      <c r="S453" s="33" t="inlineStr">
        <is>
          <t>Chile</t>
        </is>
      </c>
      <c r="T453" s="36">
        <f>DATE(MID(C453,7,4),MID(C453,4,2),MID(C453,1,2))+TIME(MID(C453,12,2),MID(C453,15,2),0)</f>
        <v/>
      </c>
      <c r="U453" s="33">
        <f>IF(ISNUMBER(VALUE(MID(A453,7,1))),"Distance-prefix pattern","Named-region pattern")</f>
        <v/>
      </c>
      <c r="V453" s="33">
        <f>LOWER(M453)</f>
        <v/>
      </c>
      <c r="W453" s="33">
        <f>IF(COUNTIFS($A$2:$A$1001,A453,$C$2:$C$1001,C453)&gt;1,"Duplicate","Unique")</f>
        <v/>
      </c>
      <c r="X453" s="33">
        <f>YEAR(T453)</f>
        <v/>
      </c>
      <c r="Y453" s="33">
        <f>IF(B453&lt;6.5,"&lt;6.5",IF(B453&lt;7,"6.5–6.9",IF(B453&lt;7.5,"7.0–7.4",IF(B453&lt;8,"7.5–7.9","8.0+"))))</f>
        <v/>
      </c>
      <c r="Z453" s="33">
        <f>IF(F453="","Blank",F453)</f>
        <v/>
      </c>
    </row>
    <row r="454" ht="15" customHeight="1" s="34">
      <c r="A454" s="33" t="inlineStr">
        <is>
          <t>M 7.5 - 110 km SW of Edna Bay, Alaska</t>
        </is>
      </c>
      <c r="B454" s="33" t="n">
        <v>7.5</v>
      </c>
      <c r="C454" s="33" t="inlineStr">
        <is>
          <t>05/01/2013 08:58</t>
        </is>
      </c>
      <c r="D454" s="33" t="n">
        <v>6</v>
      </c>
      <c r="E454" s="33" t="n">
        <v>6</v>
      </c>
      <c r="G454" s="33" t="n">
        <v>0</v>
      </c>
      <c r="H454" s="33" t="n">
        <v>1425</v>
      </c>
      <c r="I454" s="33" t="inlineStr">
        <is>
          <t>ak</t>
        </is>
      </c>
      <c r="J454" s="33" t="n">
        <v>0</v>
      </c>
      <c r="K454" s="33" t="n">
        <v>0</v>
      </c>
      <c r="L454" s="33" t="n">
        <v>0</v>
      </c>
      <c r="M454" s="33" t="inlineStr">
        <is>
          <t>mw</t>
        </is>
      </c>
      <c r="N454" s="33" t="n">
        <v>8.699999999999999</v>
      </c>
      <c r="O454" s="33" t="n">
        <v>55.228</v>
      </c>
      <c r="P454" s="33" t="n">
        <v>-134.859</v>
      </c>
      <c r="Q454" s="33" t="inlineStr">
        <is>
          <t>Edna Bay, Alaska</t>
        </is>
      </c>
      <c r="T454" s="36">
        <f>DATE(MID(C454,7,4),MID(C454,4,2),MID(C454,1,2))+TIME(MID(C454,12,2),MID(C454,15,2),0)</f>
        <v/>
      </c>
      <c r="U454" s="33">
        <f>IF(ISNUMBER(VALUE(MID(A454,7,1))),"Distance-prefix pattern","Named-region pattern")</f>
        <v/>
      </c>
      <c r="V454" s="33">
        <f>LOWER(M454)</f>
        <v/>
      </c>
      <c r="W454" s="33">
        <f>IF(COUNTIFS($A$2:$A$1001,A454,$C$2:$C$1001,C454)&gt;1,"Duplicate","Unique")</f>
        <v/>
      </c>
      <c r="X454" s="33">
        <f>YEAR(T454)</f>
        <v/>
      </c>
      <c r="Y454" s="33">
        <f>IF(B454&lt;6.5,"&lt;6.5",IF(B454&lt;7,"6.5–6.9",IF(B454&lt;7.5,"7.0–7.4",IF(B454&lt;8,"7.5–7.9","8.0+"))))</f>
        <v/>
      </c>
      <c r="Z454" s="33">
        <f>IF(F454="","Blank",F454)</f>
        <v/>
      </c>
    </row>
    <row r="455" ht="15" customHeight="1" s="34">
      <c r="A455" s="33" t="inlineStr">
        <is>
          <t>M 6.7 - 59 km SSW of Sola, Vanuatu</t>
        </is>
      </c>
      <c r="B455" s="33" t="n">
        <v>6.7</v>
      </c>
      <c r="C455" s="33" t="inlineStr">
        <is>
          <t>21/12/2012 22:28</t>
        </is>
      </c>
      <c r="D455" s="33" t="n">
        <v>0</v>
      </c>
      <c r="E455" s="33" t="n">
        <v>4</v>
      </c>
      <c r="G455" s="33" t="n">
        <v>0</v>
      </c>
      <c r="H455" s="33" t="n">
        <v>691</v>
      </c>
      <c r="I455" s="33" t="inlineStr">
        <is>
          <t>us</t>
        </is>
      </c>
      <c r="J455" s="33" t="n">
        <v>521</v>
      </c>
      <c r="K455" s="33" t="n">
        <v>0</v>
      </c>
      <c r="L455" s="33" t="n">
        <v>13.7</v>
      </c>
      <c r="M455" s="33" t="inlineStr">
        <is>
          <t>mww</t>
        </is>
      </c>
      <c r="N455" s="33" t="n">
        <v>200.7</v>
      </c>
      <c r="O455" s="33" t="n">
        <v>-14.344</v>
      </c>
      <c r="P455" s="33" t="n">
        <v>167.286</v>
      </c>
      <c r="Q455" s="33" t="inlineStr">
        <is>
          <t>Sola, Vanuatu</t>
        </is>
      </c>
      <c r="S455" s="33" t="inlineStr">
        <is>
          <t>Vanuatu</t>
        </is>
      </c>
      <c r="T455" s="36">
        <f>DATE(MID(C455,7,4),MID(C455,4,2),MID(C455,1,2))+TIME(MID(C455,12,2),MID(C455,15,2),0)</f>
        <v/>
      </c>
      <c r="U455" s="33">
        <f>IF(ISNUMBER(VALUE(MID(A455,7,1))),"Distance-prefix pattern","Named-region pattern")</f>
        <v/>
      </c>
      <c r="V455" s="33">
        <f>LOWER(M455)</f>
        <v/>
      </c>
      <c r="W455" s="33">
        <f>IF(COUNTIFS($A$2:$A$1001,A455,$C$2:$C$1001,C455)&gt;1,"Duplicate","Unique")</f>
        <v/>
      </c>
      <c r="X455" s="33">
        <f>YEAR(T455)</f>
        <v/>
      </c>
      <c r="Y455" s="33">
        <f>IF(B455&lt;6.5,"&lt;6.5",IF(B455&lt;7,"6.5–6.9",IF(B455&lt;7.5,"7.0–7.4",IF(B455&lt;8,"7.5–7.9","8.0+"))))</f>
        <v/>
      </c>
      <c r="Z455" s="33">
        <f>IF(F455="","Blank",F455)</f>
        <v/>
      </c>
    </row>
    <row r="456" ht="15" customHeight="1" s="34">
      <c r="A456" s="33" t="inlineStr">
        <is>
          <t>M 7.1 - Banda Sea</t>
        </is>
      </c>
      <c r="B456" s="33" t="n">
        <v>7.1</v>
      </c>
      <c r="C456" s="33" t="inlineStr">
        <is>
          <t>10/12/2012 16:53</t>
        </is>
      </c>
      <c r="D456" s="33" t="n">
        <v>5</v>
      </c>
      <c r="E456" s="33" t="n">
        <v>5</v>
      </c>
      <c r="G456" s="33" t="n">
        <v>0</v>
      </c>
      <c r="H456" s="33" t="n">
        <v>843</v>
      </c>
      <c r="I456" s="33" t="inlineStr">
        <is>
          <t>us</t>
        </is>
      </c>
      <c r="J456" s="33" t="n">
        <v>517</v>
      </c>
      <c r="K456" s="33" t="n">
        <v>0</v>
      </c>
      <c r="L456" s="33" t="n">
        <v>8.699999999999999</v>
      </c>
      <c r="M456" s="33" t="inlineStr">
        <is>
          <t>mww</t>
        </is>
      </c>
      <c r="N456" s="33" t="n">
        <v>155</v>
      </c>
      <c r="O456" s="33" t="n">
        <v>-6.533</v>
      </c>
      <c r="P456" s="33" t="n">
        <v>129.825</v>
      </c>
      <c r="Q456" s="33" t="inlineStr">
        <is>
          <t>Banda Sea</t>
        </is>
      </c>
      <c r="S456" s="33" t="inlineStr">
        <is>
          <t>Indonesia</t>
        </is>
      </c>
      <c r="T456" s="36">
        <f>DATE(MID(C456,7,4),MID(C456,4,2),MID(C456,1,2))+TIME(MID(C456,12,2),MID(C456,15,2),0)</f>
        <v/>
      </c>
      <c r="U456" s="33">
        <f>IF(ISNUMBER(VALUE(MID(A456,7,1))),"Distance-prefix pattern","Named-region pattern")</f>
        <v/>
      </c>
      <c r="V456" s="33">
        <f>LOWER(M456)</f>
        <v/>
      </c>
      <c r="W456" s="33">
        <f>IF(COUNTIFS($A$2:$A$1001,A456,$C$2:$C$1001,C456)&gt;1,"Duplicate","Unique")</f>
        <v/>
      </c>
      <c r="X456" s="33">
        <f>YEAR(T456)</f>
        <v/>
      </c>
      <c r="Y456" s="33">
        <f>IF(B456&lt;6.5,"&lt;6.5",IF(B456&lt;7,"6.5–6.9",IF(B456&lt;7.5,"7.0–7.4",IF(B456&lt;8,"7.5–7.9","8.0+"))))</f>
        <v/>
      </c>
      <c r="Z456" s="33">
        <f>IF(F456="","Blank",F456)</f>
        <v/>
      </c>
    </row>
    <row r="457" ht="15" customHeight="1" s="34">
      <c r="A457" s="33" t="inlineStr">
        <is>
          <t>M 7.3 - 234 km SE of ?funato, Japan</t>
        </is>
      </c>
      <c r="B457" s="33" t="n">
        <v>7.3</v>
      </c>
      <c r="C457" s="33" t="inlineStr">
        <is>
          <t>07/12/2012 08:18</t>
        </is>
      </c>
      <c r="D457" s="33" t="n">
        <v>6</v>
      </c>
      <c r="E457" s="33" t="n">
        <v>5</v>
      </c>
      <c r="G457" s="33" t="n">
        <v>0</v>
      </c>
      <c r="H457" s="33" t="n">
        <v>1014</v>
      </c>
      <c r="I457" s="33" t="inlineStr">
        <is>
          <t>us</t>
        </is>
      </c>
      <c r="J457" s="33" t="n">
        <v>918</v>
      </c>
      <c r="K457" s="33" t="n">
        <v>0</v>
      </c>
      <c r="L457" s="33" t="n">
        <v>14.8</v>
      </c>
      <c r="M457" s="33" t="inlineStr">
        <is>
          <t>mww</t>
        </is>
      </c>
      <c r="N457" s="33" t="n">
        <v>31</v>
      </c>
      <c r="O457" s="33" t="n">
        <v>37.89</v>
      </c>
      <c r="P457" s="33" t="n">
        <v>143.949</v>
      </c>
      <c r="Q457" s="33" t="inlineStr">
        <is>
          <t>?funato, Japan</t>
        </is>
      </c>
      <c r="T457" s="36">
        <f>DATE(MID(C457,7,4),MID(C457,4,2),MID(C457,1,2))+TIME(MID(C457,12,2),MID(C457,15,2),0)</f>
        <v/>
      </c>
      <c r="U457" s="33">
        <f>IF(ISNUMBER(VALUE(MID(A457,7,1))),"Distance-prefix pattern","Named-region pattern")</f>
        <v/>
      </c>
      <c r="V457" s="33">
        <f>LOWER(M457)</f>
        <v/>
      </c>
      <c r="W457" s="33">
        <f>IF(COUNTIFS($A$2:$A$1001,A457,$C$2:$C$1001,C457)&gt;1,"Duplicate","Unique")</f>
        <v/>
      </c>
      <c r="X457" s="33">
        <f>YEAR(T457)</f>
        <v/>
      </c>
      <c r="Y457" s="33">
        <f>IF(B457&lt;6.5,"&lt;6.5",IF(B457&lt;7,"6.5–6.9",IF(B457&lt;7.5,"7.0–7.4",IF(B457&lt;8,"7.5–7.9","8.0+"))))</f>
        <v/>
      </c>
      <c r="Z457" s="33">
        <f>IF(F457="","Blank",F457)</f>
        <v/>
      </c>
    </row>
    <row r="458" ht="15" customHeight="1" s="34">
      <c r="A458" s="33" t="inlineStr">
        <is>
          <t>M 6.5 - 32 km SW of Champerico, Guatemala</t>
        </is>
      </c>
      <c r="B458" s="33" t="n">
        <v>6.5</v>
      </c>
      <c r="C458" s="33" t="inlineStr">
        <is>
          <t>11/11/2012 22:14</t>
        </is>
      </c>
      <c r="D458" s="33" t="n">
        <v>4</v>
      </c>
      <c r="E458" s="33" t="n">
        <v>5</v>
      </c>
      <c r="G458" s="33" t="n">
        <v>0</v>
      </c>
      <c r="H458" s="33" t="n">
        <v>708</v>
      </c>
      <c r="I458" s="33" t="inlineStr">
        <is>
          <t>us</t>
        </is>
      </c>
      <c r="J458" s="33" t="n">
        <v>598</v>
      </c>
      <c r="K458" s="33" t="n">
        <v>0</v>
      </c>
      <c r="L458" s="33" t="n">
        <v>57.3</v>
      </c>
      <c r="M458" s="33" t="inlineStr">
        <is>
          <t>mww</t>
        </is>
      </c>
      <c r="N458" s="33" t="n">
        <v>20</v>
      </c>
      <c r="O458" s="33" t="n">
        <v>14.129</v>
      </c>
      <c r="P458" s="33" t="n">
        <v>-92.164</v>
      </c>
      <c r="Q458" s="33" t="inlineStr">
        <is>
          <t>Champerico, Guatemala</t>
        </is>
      </c>
      <c r="T458" s="36">
        <f>DATE(MID(C458,7,4),MID(C458,4,2),MID(C458,1,2))+TIME(MID(C458,12,2),MID(C458,15,2),0)</f>
        <v/>
      </c>
      <c r="U458" s="33">
        <f>IF(ISNUMBER(VALUE(MID(A458,7,1))),"Distance-prefix pattern","Named-region pattern")</f>
        <v/>
      </c>
      <c r="V458" s="33">
        <f>LOWER(M458)</f>
        <v/>
      </c>
      <c r="W458" s="33">
        <f>IF(COUNTIFS($A$2:$A$1001,A458,$C$2:$C$1001,C458)&gt;1,"Duplicate","Unique")</f>
        <v/>
      </c>
      <c r="X458" s="33">
        <f>YEAR(T458)</f>
        <v/>
      </c>
      <c r="Y458" s="33">
        <f>IF(B458&lt;6.5,"&lt;6.5",IF(B458&lt;7,"6.5–6.9",IF(B458&lt;7.5,"7.0–7.4",IF(B458&lt;8,"7.5–7.9","8.0+"))))</f>
        <v/>
      </c>
      <c r="Z458" s="33">
        <f>IF(F458="","Blank",F458)</f>
        <v/>
      </c>
    </row>
    <row r="459" ht="15" customHeight="1" s="34">
      <c r="A459" s="33" t="inlineStr">
        <is>
          <t>M 6.8 - 51 km NNE of Shwebo, Myanmar</t>
        </is>
      </c>
      <c r="B459" s="33" t="n">
        <v>6.8</v>
      </c>
      <c r="C459" s="33" t="inlineStr">
        <is>
          <t>11/11/2012 01:12</t>
        </is>
      </c>
      <c r="D459" s="33" t="n">
        <v>7</v>
      </c>
      <c r="E459" s="33" t="n">
        <v>6</v>
      </c>
      <c r="G459" s="33" t="n">
        <v>0</v>
      </c>
      <c r="H459" s="33" t="n">
        <v>795</v>
      </c>
      <c r="I459" s="33" t="inlineStr">
        <is>
          <t>us</t>
        </is>
      </c>
      <c r="J459" s="33" t="n">
        <v>391</v>
      </c>
      <c r="K459" s="33" t="n">
        <v>0</v>
      </c>
      <c r="L459" s="33" t="n">
        <v>13.7</v>
      </c>
      <c r="M459" s="33" t="inlineStr">
        <is>
          <t>mww</t>
        </is>
      </c>
      <c r="N459" s="33" t="n">
        <v>13.7</v>
      </c>
      <c r="O459" s="33" t="n">
        <v>23.005</v>
      </c>
      <c r="P459" s="33" t="n">
        <v>95.88500000000001</v>
      </c>
      <c r="Q459" s="33" t="inlineStr">
        <is>
          <t>Shwebo, Myanmar</t>
        </is>
      </c>
      <c r="R459" s="33" t="inlineStr">
        <is>
          <t>Asia</t>
        </is>
      </c>
      <c r="S459" s="33" t="inlineStr">
        <is>
          <t>Myanmar</t>
        </is>
      </c>
      <c r="T459" s="36">
        <f>DATE(MID(C459,7,4),MID(C459,4,2),MID(C459,1,2))+TIME(MID(C459,12,2),MID(C459,15,2),0)</f>
        <v/>
      </c>
      <c r="U459" s="33">
        <f>IF(ISNUMBER(VALUE(MID(A459,7,1))),"Distance-prefix pattern","Named-region pattern")</f>
        <v/>
      </c>
      <c r="V459" s="33">
        <f>LOWER(M459)</f>
        <v/>
      </c>
      <c r="W459" s="33">
        <f>IF(COUNTIFS($A$2:$A$1001,A459,$C$2:$C$1001,C459)&gt;1,"Duplicate","Unique")</f>
        <v/>
      </c>
      <c r="X459" s="33">
        <f>YEAR(T459)</f>
        <v/>
      </c>
      <c r="Y459" s="33">
        <f>IF(B459&lt;6.5,"&lt;6.5",IF(B459&lt;7,"6.5–6.9",IF(B459&lt;7.5,"7.0–7.4",IF(B459&lt;8,"7.5–7.9","8.0+"))))</f>
        <v/>
      </c>
      <c r="Z459" s="33">
        <f>IF(F459="","Blank",F459)</f>
        <v/>
      </c>
    </row>
    <row r="460" ht="15" customHeight="1" s="34">
      <c r="A460" s="33" t="inlineStr">
        <is>
          <t>M 7.4 - 33 km S of Champerico, Guatemala</t>
        </is>
      </c>
      <c r="B460" s="33" t="n">
        <v>7.4</v>
      </c>
      <c r="C460" s="33" t="inlineStr">
        <is>
          <t>07/11/2012 16:35</t>
        </is>
      </c>
      <c r="D460" s="33" t="n">
        <v>8</v>
      </c>
      <c r="E460" s="33" t="n">
        <v>7</v>
      </c>
      <c r="F460" s="33" t="inlineStr">
        <is>
          <t>yellow</t>
        </is>
      </c>
      <c r="G460" s="33" t="n">
        <v>0</v>
      </c>
      <c r="H460" s="33" t="n">
        <v>1455</v>
      </c>
      <c r="I460" s="33" t="inlineStr">
        <is>
          <t>us</t>
        </is>
      </c>
      <c r="J460" s="33" t="n">
        <v>751</v>
      </c>
      <c r="K460" s="33" t="n">
        <v>0</v>
      </c>
      <c r="L460" s="33" t="n">
        <v>25.5</v>
      </c>
      <c r="M460" s="33" t="inlineStr">
        <is>
          <t>mww</t>
        </is>
      </c>
      <c r="N460" s="33" t="n">
        <v>24</v>
      </c>
      <c r="O460" s="33" t="n">
        <v>13.988</v>
      </c>
      <c r="P460" s="33" t="n">
        <v>-91.895</v>
      </c>
      <c r="Q460" s="33" t="inlineStr">
        <is>
          <t>Champerico, Guatemala</t>
        </is>
      </c>
      <c r="T460" s="36">
        <f>DATE(MID(C460,7,4),MID(C460,4,2),MID(C460,1,2))+TIME(MID(C460,12,2),MID(C460,15,2),0)</f>
        <v/>
      </c>
      <c r="U460" s="33">
        <f>IF(ISNUMBER(VALUE(MID(A460,7,1))),"Distance-prefix pattern","Named-region pattern")</f>
        <v/>
      </c>
      <c r="V460" s="33">
        <f>LOWER(M460)</f>
        <v/>
      </c>
      <c r="W460" s="33">
        <f>IF(COUNTIFS($A$2:$A$1001,A460,$C$2:$C$1001,C460)&gt;1,"Duplicate","Unique")</f>
        <v/>
      </c>
      <c r="X460" s="33">
        <f>YEAR(T460)</f>
        <v/>
      </c>
      <c r="Y460" s="33">
        <f>IF(B460&lt;6.5,"&lt;6.5",IF(B460&lt;7,"6.5–6.9",IF(B460&lt;7.5,"7.0–7.4",IF(B460&lt;8,"7.5–7.9","8.0+"))))</f>
        <v/>
      </c>
      <c r="Z460" s="33">
        <f>IF(F460="","Blank",F460)</f>
        <v/>
      </c>
    </row>
    <row r="461" ht="15" customHeight="1" s="34">
      <c r="A461" s="33" t="inlineStr">
        <is>
          <t>M 7.8 - 206 km SW of Prince Rupert, Canada</t>
        </is>
      </c>
      <c r="B461" s="33" t="n">
        <v>7.8</v>
      </c>
      <c r="C461" s="33" t="inlineStr">
        <is>
          <t>28/10/2012 03:04</t>
        </is>
      </c>
      <c r="D461" s="33" t="n">
        <v>8</v>
      </c>
      <c r="E461" s="33" t="n">
        <v>7</v>
      </c>
      <c r="G461" s="33" t="n">
        <v>0</v>
      </c>
      <c r="H461" s="33" t="n">
        <v>1726</v>
      </c>
      <c r="I461" s="33" t="inlineStr">
        <is>
          <t>us</t>
        </is>
      </c>
      <c r="J461" s="33" t="n">
        <v>807</v>
      </c>
      <c r="K461" s="33" t="n">
        <v>0</v>
      </c>
      <c r="L461" s="33" t="n">
        <v>42.7</v>
      </c>
      <c r="M461" s="33" t="inlineStr">
        <is>
          <t>mww</t>
        </is>
      </c>
      <c r="N461" s="33" t="n">
        <v>14</v>
      </c>
      <c r="O461" s="33" t="n">
        <v>52.788</v>
      </c>
      <c r="P461" s="33" t="n">
        <v>-132.101</v>
      </c>
      <c r="Q461" s="33" t="inlineStr">
        <is>
          <t>Prince Rupert, Canada</t>
        </is>
      </c>
      <c r="R461" s="33" t="inlineStr">
        <is>
          <t>North America</t>
        </is>
      </c>
      <c r="S461" s="33" t="inlineStr">
        <is>
          <t>Canada</t>
        </is>
      </c>
      <c r="T461" s="36">
        <f>DATE(MID(C461,7,4),MID(C461,4,2),MID(C461,1,2))+TIME(MID(C461,12,2),MID(C461,15,2),0)</f>
        <v/>
      </c>
      <c r="U461" s="33">
        <f>IF(ISNUMBER(VALUE(MID(A461,7,1))),"Distance-prefix pattern","Named-region pattern")</f>
        <v/>
      </c>
      <c r="V461" s="33">
        <f>LOWER(M461)</f>
        <v/>
      </c>
      <c r="W461" s="33">
        <f>IF(COUNTIFS($A$2:$A$1001,A461,$C$2:$C$1001,C461)&gt;1,"Duplicate","Unique")</f>
        <v/>
      </c>
      <c r="X461" s="33">
        <f>YEAR(T461)</f>
        <v/>
      </c>
      <c r="Y461" s="33">
        <f>IF(B461&lt;6.5,"&lt;6.5",IF(B461&lt;7,"6.5–6.9",IF(B461&lt;7.5,"7.0–7.4",IF(B461&lt;8,"7.5–7.9","8.0+"))))</f>
        <v/>
      </c>
      <c r="Z461" s="33">
        <f>IF(F461="","Blank",F461)</f>
        <v/>
      </c>
    </row>
    <row r="462" ht="15" customHeight="1" s="34">
      <c r="A462" s="33" t="inlineStr">
        <is>
          <t>M 6.5 - Costa Rica</t>
        </is>
      </c>
      <c r="B462" s="33" t="n">
        <v>6.5</v>
      </c>
      <c r="C462" s="33" t="inlineStr">
        <is>
          <t>24/10/2012 00:45</t>
        </is>
      </c>
      <c r="D462" s="33" t="n">
        <v>6</v>
      </c>
      <c r="E462" s="33" t="n">
        <v>6</v>
      </c>
      <c r="G462" s="33" t="n">
        <v>0</v>
      </c>
      <c r="H462" s="33" t="n">
        <v>745</v>
      </c>
      <c r="I462" s="33" t="inlineStr">
        <is>
          <t>us</t>
        </is>
      </c>
      <c r="J462" s="33" t="n">
        <v>691</v>
      </c>
      <c r="K462" s="33" t="n">
        <v>0</v>
      </c>
      <c r="L462" s="33" t="n">
        <v>34.4</v>
      </c>
      <c r="M462" s="33" t="inlineStr">
        <is>
          <t>mww</t>
        </is>
      </c>
      <c r="N462" s="33" t="n">
        <v>17</v>
      </c>
      <c r="O462" s="33" t="n">
        <v>10.086</v>
      </c>
      <c r="P462" s="33" t="n">
        <v>-85.298</v>
      </c>
      <c r="Q462" s="33" t="inlineStr">
        <is>
          <t>Costa Rica</t>
        </is>
      </c>
      <c r="S462" s="33" t="inlineStr">
        <is>
          <t>Costa Rica</t>
        </is>
      </c>
      <c r="T462" s="36">
        <f>DATE(MID(C462,7,4),MID(C462,4,2),MID(C462,1,2))+TIME(MID(C462,12,2),MID(C462,15,2),0)</f>
        <v/>
      </c>
      <c r="U462" s="33">
        <f>IF(ISNUMBER(VALUE(MID(A462,7,1))),"Distance-prefix pattern","Named-region pattern")</f>
        <v/>
      </c>
      <c r="V462" s="33">
        <f>LOWER(M462)</f>
        <v/>
      </c>
      <c r="W462" s="33">
        <f>IF(COUNTIFS($A$2:$A$1001,A462,$C$2:$C$1001,C462)&gt;1,"Duplicate","Unique")</f>
        <v/>
      </c>
      <c r="X462" s="33">
        <f>YEAR(T462)</f>
        <v/>
      </c>
      <c r="Y462" s="33">
        <f>IF(B462&lt;6.5,"&lt;6.5",IF(B462&lt;7,"6.5–6.9",IF(B462&lt;7.5,"7.0–7.4",IF(B462&lt;8,"7.5–7.9","8.0+"))))</f>
        <v/>
      </c>
      <c r="Z462" s="33">
        <f>IF(F462="","Blank",F462)</f>
        <v/>
      </c>
    </row>
    <row r="463" ht="15" customHeight="1" s="34">
      <c r="A463" s="33" t="inlineStr">
        <is>
          <t>M 6.6 - 163 km ENE of Tual, Indonesia</t>
        </is>
      </c>
      <c r="B463" s="33" t="n">
        <v>6.6</v>
      </c>
      <c r="C463" s="33" t="inlineStr">
        <is>
          <t>12/10/2012 00:31</t>
        </is>
      </c>
      <c r="D463" s="33" t="n">
        <v>3</v>
      </c>
      <c r="E463" s="33" t="n">
        <v>5</v>
      </c>
      <c r="G463" s="33" t="n">
        <v>0</v>
      </c>
      <c r="H463" s="33" t="n">
        <v>675</v>
      </c>
      <c r="I463" s="33" t="inlineStr">
        <is>
          <t>us</t>
        </is>
      </c>
      <c r="J463" s="33" t="n">
        <v>291</v>
      </c>
      <c r="K463" s="33" t="n">
        <v>0</v>
      </c>
      <c r="L463" s="33" t="n">
        <v>17.7</v>
      </c>
      <c r="M463" s="33" t="inlineStr">
        <is>
          <t>mww</t>
        </is>
      </c>
      <c r="N463" s="33" t="n">
        <v>13</v>
      </c>
      <c r="O463" s="33" t="n">
        <v>-4.892</v>
      </c>
      <c r="P463" s="33" t="n">
        <v>134.03</v>
      </c>
      <c r="Q463" s="33" t="inlineStr">
        <is>
          <t>Tual, Indonesia</t>
        </is>
      </c>
      <c r="S463" s="33" t="inlineStr">
        <is>
          <t>Indonesia</t>
        </is>
      </c>
      <c r="T463" s="36">
        <f>DATE(MID(C463,7,4),MID(C463,4,2),MID(C463,1,2))+TIME(MID(C463,12,2),MID(C463,15,2),0)</f>
        <v/>
      </c>
      <c r="U463" s="33">
        <f>IF(ISNUMBER(VALUE(MID(A463,7,1))),"Distance-prefix pattern","Named-region pattern")</f>
        <v/>
      </c>
      <c r="V463" s="33">
        <f>LOWER(M463)</f>
        <v/>
      </c>
      <c r="W463" s="33">
        <f>IF(COUNTIFS($A$2:$A$1001,A463,$C$2:$C$1001,C463)&gt;1,"Duplicate","Unique")</f>
        <v/>
      </c>
      <c r="X463" s="33">
        <f>YEAR(T463)</f>
        <v/>
      </c>
      <c r="Y463" s="33">
        <f>IF(B463&lt;6.5,"&lt;6.5",IF(B463&lt;7,"6.5–6.9",IF(B463&lt;7.5,"7.0–7.4",IF(B463&lt;8,"7.5–7.9","8.0+"))))</f>
        <v/>
      </c>
      <c r="Z463" s="33">
        <f>IF(F463="","Blank",F463)</f>
        <v/>
      </c>
    </row>
    <row r="464" ht="15" customHeight="1" s="34">
      <c r="A464" s="33" t="inlineStr">
        <is>
          <t>M 7.3 - 11 km WNW of San Agustín, Colombia</t>
        </is>
      </c>
      <c r="B464" s="33" t="n">
        <v>7.3</v>
      </c>
      <c r="C464" s="33" t="inlineStr">
        <is>
          <t>30/09/2012 16:31</t>
        </is>
      </c>
      <c r="D464" s="33" t="n">
        <v>7</v>
      </c>
      <c r="E464" s="33" t="n">
        <v>6</v>
      </c>
      <c r="G464" s="33" t="n">
        <v>0</v>
      </c>
      <c r="H464" s="33" t="n">
        <v>1221</v>
      </c>
      <c r="I464" s="33" t="inlineStr">
        <is>
          <t>us</t>
        </is>
      </c>
      <c r="J464" s="33" t="n">
        <v>934</v>
      </c>
      <c r="K464" s="33" t="n">
        <v>0</v>
      </c>
      <c r="L464" s="33" t="n">
        <v>15.5</v>
      </c>
      <c r="M464" s="33" t="inlineStr">
        <is>
          <t>mww</t>
        </is>
      </c>
      <c r="N464" s="33" t="n">
        <v>170</v>
      </c>
      <c r="O464" s="33" t="n">
        <v>1.929</v>
      </c>
      <c r="P464" s="33" t="n">
        <v>-76.36199999999999</v>
      </c>
      <c r="Q464" s="33" t="inlineStr">
        <is>
          <t>San Agustín, Colombia</t>
        </is>
      </c>
      <c r="R464" s="33" t="inlineStr">
        <is>
          <t>South America</t>
        </is>
      </c>
      <c r="S464" s="33" t="inlineStr">
        <is>
          <t>Colombia</t>
        </is>
      </c>
      <c r="T464" s="36">
        <f>DATE(MID(C464,7,4),MID(C464,4,2),MID(C464,1,2))+TIME(MID(C464,12,2),MID(C464,15,2),0)</f>
        <v/>
      </c>
      <c r="U464" s="33">
        <f>IF(ISNUMBER(VALUE(MID(A464,7,1))),"Distance-prefix pattern","Named-region pattern")</f>
        <v/>
      </c>
      <c r="V464" s="33">
        <f>LOWER(M464)</f>
        <v/>
      </c>
      <c r="W464" s="33">
        <f>IF(COUNTIFS($A$2:$A$1001,A464,$C$2:$C$1001,C464)&gt;1,"Duplicate","Unique")</f>
        <v/>
      </c>
      <c r="X464" s="33">
        <f>YEAR(T464)</f>
        <v/>
      </c>
      <c r="Y464" s="33">
        <f>IF(B464&lt;6.5,"&lt;6.5",IF(B464&lt;7,"6.5–6.9",IF(B464&lt;7.5,"7.0–7.4",IF(B464&lt;8,"7.5–7.9","8.0+"))))</f>
        <v/>
      </c>
      <c r="Z464" s="33">
        <f>IF(F464="","Blank",F464)</f>
        <v/>
      </c>
    </row>
    <row r="465" ht="15" customHeight="1" s="34">
      <c r="A465" s="33" t="inlineStr">
        <is>
          <t>M 7.6 - 11 km ENE of Hojancha, Costa Rica</t>
        </is>
      </c>
      <c r="B465" s="33" t="n">
        <v>7.6</v>
      </c>
      <c r="C465" s="33" t="inlineStr">
        <is>
          <t>05/09/2012 14:42</t>
        </is>
      </c>
      <c r="D465" s="33" t="n">
        <v>8</v>
      </c>
      <c r="E465" s="33" t="n">
        <v>7</v>
      </c>
      <c r="G465" s="33" t="n">
        <v>0</v>
      </c>
      <c r="H465" s="33" t="n">
        <v>1555</v>
      </c>
      <c r="I465" s="33" t="inlineStr">
        <is>
          <t>us</t>
        </is>
      </c>
      <c r="J465" s="33" t="n">
        <v>703</v>
      </c>
      <c r="K465" s="33" t="n">
        <v>0</v>
      </c>
      <c r="L465" s="33" t="n">
        <v>34.3</v>
      </c>
      <c r="M465" s="33" t="inlineStr">
        <is>
          <t>mww</t>
        </is>
      </c>
      <c r="N465" s="33" t="n">
        <v>35</v>
      </c>
      <c r="O465" s="33" t="n">
        <v>10.085</v>
      </c>
      <c r="P465" s="33" t="n">
        <v>-85.315</v>
      </c>
      <c r="Q465" s="33" t="inlineStr">
        <is>
          <t>Hojancha, Costa Rica</t>
        </is>
      </c>
      <c r="S465" s="33" t="inlineStr">
        <is>
          <t>Costa Rica</t>
        </is>
      </c>
      <c r="T465" s="36">
        <f>DATE(MID(C465,7,4),MID(C465,4,2),MID(C465,1,2))+TIME(MID(C465,12,2),MID(C465,15,2),0)</f>
        <v/>
      </c>
      <c r="U465" s="33">
        <f>IF(ISNUMBER(VALUE(MID(A465,7,1))),"Distance-prefix pattern","Named-region pattern")</f>
        <v/>
      </c>
      <c r="V465" s="33">
        <f>LOWER(M465)</f>
        <v/>
      </c>
      <c r="W465" s="33">
        <f>IF(COUNTIFS($A$2:$A$1001,A465,$C$2:$C$1001,C465)&gt;1,"Duplicate","Unique")</f>
        <v/>
      </c>
      <c r="X465" s="33">
        <f>YEAR(T465)</f>
        <v/>
      </c>
      <c r="Y465" s="33">
        <f>IF(B465&lt;6.5,"&lt;6.5",IF(B465&lt;7,"6.5–6.9",IF(B465&lt;7.5,"7.0–7.4",IF(B465&lt;8,"7.5–7.9","8.0+"))))</f>
        <v/>
      </c>
      <c r="Z465" s="33">
        <f>IF(F465="","Blank",F465)</f>
        <v/>
      </c>
    </row>
    <row r="466" ht="15" customHeight="1" s="34">
      <c r="A466" s="33" t="inlineStr">
        <is>
          <t>M 7.6 - 89 km E of Sulangan, Philippines</t>
        </is>
      </c>
      <c r="B466" s="33" t="n">
        <v>7.6</v>
      </c>
      <c r="C466" s="33" t="inlineStr">
        <is>
          <t>31/08/2012 12:47</t>
        </is>
      </c>
      <c r="D466" s="33" t="n">
        <v>8</v>
      </c>
      <c r="E466" s="33" t="n">
        <v>5</v>
      </c>
      <c r="G466" s="33" t="n">
        <v>0</v>
      </c>
      <c r="H466" s="33" t="n">
        <v>1115</v>
      </c>
      <c r="I466" s="33" t="inlineStr">
        <is>
          <t>us</t>
        </is>
      </c>
      <c r="J466" s="33" t="n">
        <v>682</v>
      </c>
      <c r="K466" s="33" t="n">
        <v>0</v>
      </c>
      <c r="L466" s="33" t="n">
        <v>10.2</v>
      </c>
      <c r="M466" s="33" t="inlineStr">
        <is>
          <t>mww</t>
        </is>
      </c>
      <c r="N466" s="33" t="n">
        <v>28</v>
      </c>
      <c r="O466" s="33" t="n">
        <v>10.811</v>
      </c>
      <c r="P466" s="33" t="n">
        <v>126.638</v>
      </c>
      <c r="Q466" s="33" t="inlineStr">
        <is>
          <t>Sulangan, Philippines</t>
        </is>
      </c>
      <c r="T466" s="36">
        <f>DATE(MID(C466,7,4),MID(C466,4,2),MID(C466,1,2))+TIME(MID(C466,12,2),MID(C466,15,2),0)</f>
        <v/>
      </c>
      <c r="U466" s="33">
        <f>IF(ISNUMBER(VALUE(MID(A466,7,1))),"Distance-prefix pattern","Named-region pattern")</f>
        <v/>
      </c>
      <c r="V466" s="33">
        <f>LOWER(M466)</f>
        <v/>
      </c>
      <c r="W466" s="33">
        <f>IF(COUNTIFS($A$2:$A$1001,A466,$C$2:$C$1001,C466)&gt;1,"Duplicate","Unique")</f>
        <v/>
      </c>
      <c r="X466" s="33">
        <f>YEAR(T466)</f>
        <v/>
      </c>
      <c r="Y466" s="33">
        <f>IF(B466&lt;6.5,"&lt;6.5",IF(B466&lt;7,"6.5–6.9",IF(B466&lt;7.5,"7.0–7.4",IF(B466&lt;8,"7.5–7.9","8.0+"))))</f>
        <v/>
      </c>
      <c r="Z466" s="33">
        <f>IF(F466="","Blank",F466)</f>
        <v/>
      </c>
    </row>
    <row r="467" ht="15" customHeight="1" s="34">
      <c r="A467" s="33" t="inlineStr">
        <is>
          <t>M 7.3 - 126 km S of Puerto El Triunfo, El Salvador</t>
        </is>
      </c>
      <c r="B467" s="33" t="n">
        <v>7.3</v>
      </c>
      <c r="C467" s="33" t="inlineStr">
        <is>
          <t>27/08/2012 04:37</t>
        </is>
      </c>
      <c r="D467" s="33" t="n">
        <v>5</v>
      </c>
      <c r="E467" s="33" t="n">
        <v>5</v>
      </c>
      <c r="G467" s="33" t="n">
        <v>0</v>
      </c>
      <c r="H467" s="33" t="n">
        <v>994</v>
      </c>
      <c r="I467" s="33" t="inlineStr">
        <is>
          <t>us</t>
        </is>
      </c>
      <c r="J467" s="33" t="n">
        <v>417</v>
      </c>
      <c r="K467" s="33" t="n">
        <v>0</v>
      </c>
      <c r="L467" s="33" t="n">
        <v>37</v>
      </c>
      <c r="M467" s="33" t="inlineStr">
        <is>
          <t>mww</t>
        </is>
      </c>
      <c r="N467" s="33" t="n">
        <v>28</v>
      </c>
      <c r="O467" s="33" t="n">
        <v>12.139</v>
      </c>
      <c r="P467" s="33" t="n">
        <v>-88.59</v>
      </c>
      <c r="Q467" s="33" t="inlineStr">
        <is>
          <t>Puerto El Triunfo, El Salvador</t>
        </is>
      </c>
      <c r="T467" s="36">
        <f>DATE(MID(C467,7,4),MID(C467,4,2),MID(C467,1,2))+TIME(MID(C467,12,2),MID(C467,15,2),0)</f>
        <v/>
      </c>
      <c r="U467" s="33">
        <f>IF(ISNUMBER(VALUE(MID(A467,7,1))),"Distance-prefix pattern","Named-region pattern")</f>
        <v/>
      </c>
      <c r="V467" s="33">
        <f>LOWER(M467)</f>
        <v/>
      </c>
      <c r="W467" s="33">
        <f>IF(COUNTIFS($A$2:$A$1001,A467,$C$2:$C$1001,C467)&gt;1,"Duplicate","Unique")</f>
        <v/>
      </c>
      <c r="X467" s="33">
        <f>YEAR(T467)</f>
        <v/>
      </c>
      <c r="Y467" s="33">
        <f>IF(B467&lt;6.5,"&lt;6.5",IF(B467&lt;7,"6.5–6.9",IF(B467&lt;7.5,"7.0–7.4",IF(B467&lt;8,"7.5–7.9","8.0+"))))</f>
        <v/>
      </c>
      <c r="Z467" s="33">
        <f>IF(F467="","Blank",F467)</f>
        <v/>
      </c>
    </row>
    <row r="468" ht="15" customHeight="1" s="34">
      <c r="A468" s="33" t="inlineStr">
        <is>
          <t>M 6.6 - 140 km WNW of Tobelo, Indonesia</t>
        </is>
      </c>
      <c r="B468" s="33" t="n">
        <v>6.6</v>
      </c>
      <c r="C468" s="33" t="inlineStr">
        <is>
          <t>26/08/2012 15:05</t>
        </is>
      </c>
      <c r="D468" s="33" t="n">
        <v>4</v>
      </c>
      <c r="E468" s="33" t="n">
        <v>5</v>
      </c>
      <c r="G468" s="33" t="n">
        <v>0</v>
      </c>
      <c r="H468" s="33" t="n">
        <v>678</v>
      </c>
      <c r="I468" s="33" t="inlineStr">
        <is>
          <t>us</t>
        </is>
      </c>
      <c r="J468" s="33" t="n">
        <v>497</v>
      </c>
      <c r="K468" s="33" t="n">
        <v>0</v>
      </c>
      <c r="L468" s="33" t="n">
        <v>14.6</v>
      </c>
      <c r="M468" s="33" t="inlineStr">
        <is>
          <t>mww</t>
        </is>
      </c>
      <c r="N468" s="33" t="n">
        <v>91.09999999999999</v>
      </c>
      <c r="O468" s="33" t="n">
        <v>2.19</v>
      </c>
      <c r="P468" s="33" t="n">
        <v>126.837</v>
      </c>
      <c r="Q468" s="33" t="inlineStr">
        <is>
          <t>Tobelo, Indonesia</t>
        </is>
      </c>
      <c r="S468" s="33" t="inlineStr">
        <is>
          <t>Indonesia</t>
        </is>
      </c>
      <c r="T468" s="36">
        <f>DATE(MID(C468,7,4),MID(C468,4,2),MID(C468,1,2))+TIME(MID(C468,12,2),MID(C468,15,2),0)</f>
        <v/>
      </c>
      <c r="U468" s="33">
        <f>IF(ISNUMBER(VALUE(MID(A468,7,1))),"Distance-prefix pattern","Named-region pattern")</f>
        <v/>
      </c>
      <c r="V468" s="33">
        <f>LOWER(M468)</f>
        <v/>
      </c>
      <c r="W468" s="33">
        <f>IF(COUNTIFS($A$2:$A$1001,A468,$C$2:$C$1001,C468)&gt;1,"Duplicate","Unique")</f>
        <v/>
      </c>
      <c r="X468" s="33">
        <f>YEAR(T468)</f>
        <v/>
      </c>
      <c r="Y468" s="33">
        <f>IF(B468&lt;6.5,"&lt;6.5",IF(B468&lt;7,"6.5–6.9",IF(B468&lt;7.5,"7.0–7.4",IF(B468&lt;8,"7.5–7.9","8.0+"))))</f>
        <v/>
      </c>
      <c r="Z468" s="33">
        <f>IF(F468="","Blank",F468)</f>
        <v/>
      </c>
    </row>
    <row r="469" ht="15" customHeight="1" s="34">
      <c r="A469" s="33" t="inlineStr">
        <is>
          <t>M 7.7 - 156 km ENE of Poronaysk, Russia</t>
        </is>
      </c>
      <c r="B469" s="33" t="n">
        <v>7.7</v>
      </c>
      <c r="C469" s="33" t="inlineStr">
        <is>
          <t>14/08/2012 02:59</t>
        </is>
      </c>
      <c r="D469" s="33" t="n">
        <v>7</v>
      </c>
      <c r="E469" s="33" t="n">
        <v>4</v>
      </c>
      <c r="G469" s="33" t="n">
        <v>0</v>
      </c>
      <c r="H469" s="33" t="n">
        <v>941</v>
      </c>
      <c r="I469" s="33" t="inlineStr">
        <is>
          <t>us</t>
        </is>
      </c>
      <c r="J469" s="33" t="n">
        <v>862</v>
      </c>
      <c r="K469" s="33" t="n">
        <v>0</v>
      </c>
      <c r="L469" s="33" t="n">
        <v>13.8</v>
      </c>
      <c r="M469" s="33" t="inlineStr">
        <is>
          <t>mww</t>
        </is>
      </c>
      <c r="N469" s="33" t="n">
        <v>583.2</v>
      </c>
      <c r="O469" s="33" t="n">
        <v>49.8</v>
      </c>
      <c r="P469" s="33" t="n">
        <v>145.064</v>
      </c>
      <c r="Q469" s="33" t="inlineStr">
        <is>
          <t>Poronaysk, Russia</t>
        </is>
      </c>
      <c r="T469" s="36">
        <f>DATE(MID(C469,7,4),MID(C469,4,2),MID(C469,1,2))+TIME(MID(C469,12,2),MID(C469,15,2),0)</f>
        <v/>
      </c>
      <c r="U469" s="33">
        <f>IF(ISNUMBER(VALUE(MID(A469,7,1))),"Distance-prefix pattern","Named-region pattern")</f>
        <v/>
      </c>
      <c r="V469" s="33">
        <f>LOWER(M469)</f>
        <v/>
      </c>
      <c r="W469" s="33">
        <f>IF(COUNTIFS($A$2:$A$1001,A469,$C$2:$C$1001,C469)&gt;1,"Duplicate","Unique")</f>
        <v/>
      </c>
      <c r="X469" s="33">
        <f>YEAR(T469)</f>
        <v/>
      </c>
      <c r="Y469" s="33">
        <f>IF(B469&lt;6.5,"&lt;6.5",IF(B469&lt;7,"6.5–6.9",IF(B469&lt;7.5,"7.0–7.4",IF(B469&lt;8,"7.5–7.9","8.0+"))))</f>
        <v/>
      </c>
      <c r="Z469" s="33">
        <f>IF(F469="","Blank",F469)</f>
        <v/>
      </c>
    </row>
    <row r="470" ht="15" customHeight="1" s="34">
      <c r="A470" s="33" t="inlineStr">
        <is>
          <t>M 6.5 - 105 km ESE of Kokopo, Papua New Guinea</t>
        </is>
      </c>
      <c r="B470" s="33" t="n">
        <v>6.5</v>
      </c>
      <c r="C470" s="33" t="inlineStr">
        <is>
          <t>28/07/2012 20:03</t>
        </is>
      </c>
      <c r="D470" s="33" t="n">
        <v>5</v>
      </c>
      <c r="E470" s="33" t="n">
        <v>6</v>
      </c>
      <c r="G470" s="33" t="n">
        <v>0</v>
      </c>
      <c r="H470" s="33" t="n">
        <v>653</v>
      </c>
      <c r="I470" s="33" t="inlineStr">
        <is>
          <t>us</t>
        </is>
      </c>
      <c r="J470" s="33" t="n">
        <v>576</v>
      </c>
      <c r="K470" s="33" t="n">
        <v>0</v>
      </c>
      <c r="L470" s="33" t="n">
        <v>11.7</v>
      </c>
      <c r="M470" s="33" t="inlineStr">
        <is>
          <t>mww</t>
        </is>
      </c>
      <c r="N470" s="33" t="n">
        <v>41</v>
      </c>
      <c r="O470" s="33" t="n">
        <v>-4.651</v>
      </c>
      <c r="P470" s="33" t="n">
        <v>153.173</v>
      </c>
      <c r="Q470" s="33" t="inlineStr">
        <is>
          <t>Kokopo, Papua New Guinea</t>
        </is>
      </c>
      <c r="S470" s="33" t="inlineStr">
        <is>
          <t>Papua New Guinea</t>
        </is>
      </c>
      <c r="T470" s="36">
        <f>DATE(MID(C470,7,4),MID(C470,4,2),MID(C470,1,2))+TIME(MID(C470,12,2),MID(C470,15,2),0)</f>
        <v/>
      </c>
      <c r="U470" s="33">
        <f>IF(ISNUMBER(VALUE(MID(A470,7,1))),"Distance-prefix pattern","Named-region pattern")</f>
        <v/>
      </c>
      <c r="V470" s="33">
        <f>LOWER(M470)</f>
        <v/>
      </c>
      <c r="W470" s="33">
        <f>IF(COUNTIFS($A$2:$A$1001,A470,$C$2:$C$1001,C470)&gt;1,"Duplicate","Unique")</f>
        <v/>
      </c>
      <c r="X470" s="33">
        <f>YEAR(T470)</f>
        <v/>
      </c>
      <c r="Y470" s="33">
        <f>IF(B470&lt;6.5,"&lt;6.5",IF(B470&lt;7,"6.5–6.9",IF(B470&lt;7.5,"7.0–7.4",IF(B470&lt;8,"7.5–7.9","8.0+"))))</f>
        <v/>
      </c>
      <c r="Z470" s="33">
        <f>IF(F470="","Blank",F470)</f>
        <v/>
      </c>
    </row>
    <row r="471" ht="15" customHeight="1" s="34">
      <c r="A471" s="33" t="inlineStr">
        <is>
          <t>M 6.6 - 76 km W of Neiafu, Tonga</t>
        </is>
      </c>
      <c r="B471" s="33" t="n">
        <v>6.6</v>
      </c>
      <c r="C471" s="33" t="inlineStr">
        <is>
          <t>28/04/2012 10:08</t>
        </is>
      </c>
      <c r="D471" s="33" t="n">
        <v>4</v>
      </c>
      <c r="E471" s="33" t="n">
        <v>5</v>
      </c>
      <c r="G471" s="33" t="n">
        <v>0</v>
      </c>
      <c r="H471" s="33" t="n">
        <v>675</v>
      </c>
      <c r="I471" s="33" t="inlineStr">
        <is>
          <t>us</t>
        </is>
      </c>
      <c r="J471" s="33" t="n">
        <v>529</v>
      </c>
      <c r="K471" s="33" t="n">
        <v>0</v>
      </c>
      <c r="L471" s="33" t="n">
        <v>15.7</v>
      </c>
      <c r="M471" s="33" t="inlineStr">
        <is>
          <t>mww</t>
        </is>
      </c>
      <c r="N471" s="33" t="n">
        <v>134.7</v>
      </c>
      <c r="O471" s="33" t="n">
        <v>-18.685</v>
      </c>
      <c r="P471" s="33" t="n">
        <v>-174.705</v>
      </c>
      <c r="Q471" s="33" t="inlineStr">
        <is>
          <t>Neiafu, Tonga</t>
        </is>
      </c>
      <c r="S471" s="33" t="inlineStr">
        <is>
          <t>Tonga</t>
        </is>
      </c>
      <c r="T471" s="36">
        <f>DATE(MID(C471,7,4),MID(C471,4,2),MID(C471,1,2))+TIME(MID(C471,12,2),MID(C471,15,2),0)</f>
        <v/>
      </c>
      <c r="U471" s="33">
        <f>IF(ISNUMBER(VALUE(MID(A471,7,1))),"Distance-prefix pattern","Named-region pattern")</f>
        <v/>
      </c>
      <c r="V471" s="33">
        <f>LOWER(M471)</f>
        <v/>
      </c>
      <c r="W471" s="33">
        <f>IF(COUNTIFS($A$2:$A$1001,A471,$C$2:$C$1001,C471)&gt;1,"Duplicate","Unique")</f>
        <v/>
      </c>
      <c r="X471" s="33">
        <f>YEAR(T471)</f>
        <v/>
      </c>
      <c r="Y471" s="33">
        <f>IF(B471&lt;6.5,"&lt;6.5",IF(B471&lt;7,"6.5–6.9",IF(B471&lt;7.5,"7.0–7.4",IF(B471&lt;8,"7.5–7.9","8.0+"))))</f>
        <v/>
      </c>
      <c r="Z471" s="33">
        <f>IF(F471="","Blank",F471)</f>
        <v/>
      </c>
    </row>
    <row r="472" ht="15" customHeight="1" s="34">
      <c r="A472" s="33" t="inlineStr">
        <is>
          <t>M 6.7 - 86 km SSE of Manokwari, Indonesia</t>
        </is>
      </c>
      <c r="B472" s="33" t="n">
        <v>6.7</v>
      </c>
      <c r="C472" s="33" t="inlineStr">
        <is>
          <t>21/04/2012 01:16</t>
        </is>
      </c>
      <c r="D472" s="33" t="n">
        <v>0</v>
      </c>
      <c r="E472" s="33" t="n">
        <v>7</v>
      </c>
      <c r="G472" s="33" t="n">
        <v>0</v>
      </c>
      <c r="H472" s="33" t="n">
        <v>691</v>
      </c>
      <c r="I472" s="33" t="inlineStr">
        <is>
          <t>us</t>
        </is>
      </c>
      <c r="J472" s="33" t="n">
        <v>370</v>
      </c>
      <c r="K472" s="33" t="n">
        <v>0</v>
      </c>
      <c r="L472" s="33" t="n">
        <v>15.4</v>
      </c>
      <c r="M472" s="33" t="inlineStr">
        <is>
          <t>mww</t>
        </is>
      </c>
      <c r="N472" s="33" t="n">
        <v>16</v>
      </c>
      <c r="O472" s="33" t="n">
        <v>-1.617</v>
      </c>
      <c r="P472" s="33" t="n">
        <v>134.276</v>
      </c>
      <c r="Q472" s="33" t="inlineStr">
        <is>
          <t>Manokwari, Indonesia</t>
        </is>
      </c>
      <c r="S472" s="33" t="inlineStr">
        <is>
          <t>Indonesia</t>
        </is>
      </c>
      <c r="T472" s="36">
        <f>DATE(MID(C472,7,4),MID(C472,4,2),MID(C472,1,2))+TIME(MID(C472,12,2),MID(C472,15,2),0)</f>
        <v/>
      </c>
      <c r="U472" s="33">
        <f>IF(ISNUMBER(VALUE(MID(A472,7,1))),"Distance-prefix pattern","Named-region pattern")</f>
        <v/>
      </c>
      <c r="V472" s="33">
        <f>LOWER(M472)</f>
        <v/>
      </c>
      <c r="W472" s="33">
        <f>IF(COUNTIFS($A$2:$A$1001,A472,$C$2:$C$1001,C472)&gt;1,"Duplicate","Unique")</f>
        <v/>
      </c>
      <c r="X472" s="33">
        <f>YEAR(T472)</f>
        <v/>
      </c>
      <c r="Y472" s="33">
        <f>IF(B472&lt;6.5,"&lt;6.5",IF(B472&lt;7,"6.5–6.9",IF(B472&lt;7.5,"7.0–7.4",IF(B472&lt;8,"7.5–7.9","8.0+"))))</f>
        <v/>
      </c>
      <c r="Z472" s="33">
        <f>IF(F472="","Blank",F472)</f>
        <v/>
      </c>
    </row>
    <row r="473" ht="15" customHeight="1" s="34">
      <c r="A473" s="33" t="inlineStr">
        <is>
          <t>M 6.8 - 140 km N of Lae, Papua New Guinea</t>
        </is>
      </c>
      <c r="B473" s="33" t="n">
        <v>6.8</v>
      </c>
      <c r="C473" s="33" t="inlineStr">
        <is>
          <t>17/04/2012 07:13</t>
        </is>
      </c>
      <c r="D473" s="33" t="n">
        <v>6</v>
      </c>
      <c r="E473" s="33" t="n">
        <v>5</v>
      </c>
      <c r="G473" s="33" t="n">
        <v>0</v>
      </c>
      <c r="H473" s="33" t="n">
        <v>732</v>
      </c>
      <c r="I473" s="33" t="inlineStr">
        <is>
          <t>us</t>
        </is>
      </c>
      <c r="J473" s="33" t="n">
        <v>597</v>
      </c>
      <c r="K473" s="33" t="n">
        <v>0</v>
      </c>
      <c r="L473" s="33" t="n">
        <v>12.6</v>
      </c>
      <c r="M473" s="33" t="inlineStr">
        <is>
          <t>mww</t>
        </is>
      </c>
      <c r="N473" s="33" t="n">
        <v>198</v>
      </c>
      <c r="O473" s="33" t="n">
        <v>-5.462</v>
      </c>
      <c r="P473" s="33" t="n">
        <v>147.117</v>
      </c>
      <c r="Q473" s="33" t="inlineStr">
        <is>
          <t>Lae, Papua New Guinea</t>
        </is>
      </c>
      <c r="S473" s="33" t="inlineStr">
        <is>
          <t>Papua New Guinea</t>
        </is>
      </c>
      <c r="T473" s="36">
        <f>DATE(MID(C473,7,4),MID(C473,4,2),MID(C473,1,2))+TIME(MID(C473,12,2),MID(C473,15,2),0)</f>
        <v/>
      </c>
      <c r="U473" s="33">
        <f>IF(ISNUMBER(VALUE(MID(A473,7,1))),"Distance-prefix pattern","Named-region pattern")</f>
        <v/>
      </c>
      <c r="V473" s="33">
        <f>LOWER(M473)</f>
        <v/>
      </c>
      <c r="W473" s="33">
        <f>IF(COUNTIFS($A$2:$A$1001,A473,$C$2:$C$1001,C473)&gt;1,"Duplicate","Unique")</f>
        <v/>
      </c>
      <c r="X473" s="33">
        <f>YEAR(T473)</f>
        <v/>
      </c>
      <c r="Y473" s="33">
        <f>IF(B473&lt;6.5,"&lt;6.5",IF(B473&lt;7,"6.5–6.9",IF(B473&lt;7.5,"7.0–7.4",IF(B473&lt;8,"7.5–7.9","8.0+"))))</f>
        <v/>
      </c>
      <c r="Z473" s="33">
        <f>IF(F473="","Blank",F473)</f>
        <v/>
      </c>
    </row>
    <row r="474" ht="15" customHeight="1" s="34">
      <c r="A474" s="33" t="inlineStr">
        <is>
          <t>M 6.7 - 22 km NW of Hacienda La Calera, Chile</t>
        </is>
      </c>
      <c r="B474" s="33" t="n">
        <v>6.7</v>
      </c>
      <c r="C474" s="33" t="inlineStr">
        <is>
          <t>17/04/2012 03:50</t>
        </is>
      </c>
      <c r="D474" s="33" t="n">
        <v>0</v>
      </c>
      <c r="E474" s="33" t="n">
        <v>7</v>
      </c>
      <c r="G474" s="33" t="n">
        <v>0</v>
      </c>
      <c r="H474" s="33" t="n">
        <v>691</v>
      </c>
      <c r="I474" s="33" t="inlineStr">
        <is>
          <t>us</t>
        </is>
      </c>
      <c r="J474" s="33" t="n">
        <v>518</v>
      </c>
      <c r="K474" s="33" t="n">
        <v>0</v>
      </c>
      <c r="L474" s="33" t="n">
        <v>26.9</v>
      </c>
      <c r="M474" s="33" t="inlineStr">
        <is>
          <t>mww</t>
        </is>
      </c>
      <c r="N474" s="33" t="n">
        <v>29</v>
      </c>
      <c r="O474" s="33" t="n">
        <v>-32.625</v>
      </c>
      <c r="P474" s="33" t="n">
        <v>-71.36499999999999</v>
      </c>
      <c r="Q474" s="33" t="inlineStr">
        <is>
          <t>Hacienda La Calera, Chile</t>
        </is>
      </c>
      <c r="R474" s="33" t="inlineStr">
        <is>
          <t>South America</t>
        </is>
      </c>
      <c r="S474" s="33" t="inlineStr">
        <is>
          <t>Chile</t>
        </is>
      </c>
      <c r="T474" s="36">
        <f>DATE(MID(C474,7,4),MID(C474,4,2),MID(C474,1,2))+TIME(MID(C474,12,2),MID(C474,15,2),0)</f>
        <v/>
      </c>
      <c r="U474" s="33">
        <f>IF(ISNUMBER(VALUE(MID(A474,7,1))),"Distance-prefix pattern","Named-region pattern")</f>
        <v/>
      </c>
      <c r="V474" s="33">
        <f>LOWER(M474)</f>
        <v/>
      </c>
      <c r="W474" s="33">
        <f>IF(COUNTIFS($A$2:$A$1001,A474,$C$2:$C$1001,C474)&gt;1,"Duplicate","Unique")</f>
        <v/>
      </c>
      <c r="X474" s="33">
        <f>YEAR(T474)</f>
        <v/>
      </c>
      <c r="Y474" s="33">
        <f>IF(B474&lt;6.5,"&lt;6.5",IF(B474&lt;7,"6.5–6.9",IF(B474&lt;7.5,"7.0–7.4",IF(B474&lt;8,"7.5–7.9","8.0+"))))</f>
        <v/>
      </c>
      <c r="Z474" s="33">
        <f>IF(F474="","Blank",F474)</f>
        <v/>
      </c>
    </row>
    <row r="475" ht="15" customHeight="1" s="34">
      <c r="A475" s="33" t="inlineStr">
        <is>
          <t>M 7.0 - 69 km ENE of San Luis, Mexico</t>
        </is>
      </c>
      <c r="B475" s="33" t="n">
        <v>7</v>
      </c>
      <c r="C475" s="33" t="inlineStr">
        <is>
          <t>12/04/2012 07:15</t>
        </is>
      </c>
      <c r="D475" s="33" t="n">
        <v>7</v>
      </c>
      <c r="E475" s="33" t="n">
        <v>7</v>
      </c>
      <c r="G475" s="33" t="n">
        <v>0</v>
      </c>
      <c r="H475" s="33" t="n">
        <v>1000</v>
      </c>
      <c r="I475" s="33" t="inlineStr">
        <is>
          <t>us</t>
        </is>
      </c>
      <c r="J475" s="33" t="n">
        <v>474</v>
      </c>
      <c r="K475" s="33" t="n">
        <v>0</v>
      </c>
      <c r="L475" s="33" t="n">
        <v>95.90000000000001</v>
      </c>
      <c r="M475" s="33" t="inlineStr">
        <is>
          <t>mww</t>
        </is>
      </c>
      <c r="N475" s="33" t="n">
        <v>13</v>
      </c>
      <c r="O475" s="33" t="n">
        <v>28.696</v>
      </c>
      <c r="P475" s="33" t="n">
        <v>-113.104</v>
      </c>
      <c r="Q475" s="33" t="inlineStr">
        <is>
          <t>San Luis, Mexico</t>
        </is>
      </c>
      <c r="R475" s="33" t="inlineStr">
        <is>
          <t>North America</t>
        </is>
      </c>
      <c r="S475" s="33" t="inlineStr">
        <is>
          <t>Mexico</t>
        </is>
      </c>
      <c r="T475" s="36">
        <f>DATE(MID(C475,7,4),MID(C475,4,2),MID(C475,1,2))+TIME(MID(C475,12,2),MID(C475,15,2),0)</f>
        <v/>
      </c>
      <c r="U475" s="33">
        <f>IF(ISNUMBER(VALUE(MID(A475,7,1))),"Distance-prefix pattern","Named-region pattern")</f>
        <v/>
      </c>
      <c r="V475" s="33">
        <f>LOWER(M475)</f>
        <v/>
      </c>
      <c r="W475" s="33">
        <f>IF(COUNTIFS($A$2:$A$1001,A475,$C$2:$C$1001,C475)&gt;1,"Duplicate","Unique")</f>
        <v/>
      </c>
      <c r="X475" s="33">
        <f>YEAR(T475)</f>
        <v/>
      </c>
      <c r="Y475" s="33">
        <f>IF(B475&lt;6.5,"&lt;6.5",IF(B475&lt;7,"6.5–6.9",IF(B475&lt;7.5,"7.0–7.4",IF(B475&lt;8,"7.5–7.9","8.0+"))))</f>
        <v/>
      </c>
      <c r="Z475" s="33">
        <f>IF(F475="","Blank",F475)</f>
        <v/>
      </c>
    </row>
    <row r="476" ht="15" customHeight="1" s="34">
      <c r="A476" s="33" t="inlineStr">
        <is>
          <t>M 6.5 - 41 km NW of El Habillal, Mexico</t>
        </is>
      </c>
      <c r="B476" s="33" t="n">
        <v>6.5</v>
      </c>
      <c r="C476" s="33" t="inlineStr">
        <is>
          <t>11/04/2012 22:55</t>
        </is>
      </c>
      <c r="D476" s="33" t="n">
        <v>7</v>
      </c>
      <c r="E476" s="33" t="n">
        <v>6</v>
      </c>
      <c r="G476" s="33" t="n">
        <v>0</v>
      </c>
      <c r="H476" s="33" t="n">
        <v>1171</v>
      </c>
      <c r="I476" s="33" t="inlineStr">
        <is>
          <t>us</t>
        </is>
      </c>
      <c r="J476" s="33" t="n">
        <v>599</v>
      </c>
      <c r="K476" s="33" t="n">
        <v>0</v>
      </c>
      <c r="L476" s="33" t="n">
        <v>54.1</v>
      </c>
      <c r="M476" s="33" t="inlineStr">
        <is>
          <t>mwb</t>
        </is>
      </c>
      <c r="N476" s="33" t="n">
        <v>20</v>
      </c>
      <c r="O476" s="33" t="n">
        <v>18.229</v>
      </c>
      <c r="P476" s="33" t="n">
        <v>-102.689</v>
      </c>
      <c r="Q476" s="33" t="inlineStr">
        <is>
          <t>El Habillal, Mexico</t>
        </is>
      </c>
      <c r="R476" s="33" t="inlineStr">
        <is>
          <t>North America</t>
        </is>
      </c>
      <c r="S476" s="33" t="inlineStr">
        <is>
          <t>Mexico</t>
        </is>
      </c>
      <c r="T476" s="36">
        <f>DATE(MID(C476,7,4),MID(C476,4,2),MID(C476,1,2))+TIME(MID(C476,12,2),MID(C476,15,2),0)</f>
        <v/>
      </c>
      <c r="U476" s="33">
        <f>IF(ISNUMBER(VALUE(MID(A476,7,1))),"Distance-prefix pattern","Named-region pattern")</f>
        <v/>
      </c>
      <c r="V476" s="33">
        <f>LOWER(M476)</f>
        <v/>
      </c>
      <c r="W476" s="33">
        <f>IF(COUNTIFS($A$2:$A$1001,A476,$C$2:$C$1001,C476)&gt;1,"Duplicate","Unique")</f>
        <v/>
      </c>
      <c r="X476" s="33">
        <f>YEAR(T476)</f>
        <v/>
      </c>
      <c r="Y476" s="33">
        <f>IF(B476&lt;6.5,"&lt;6.5",IF(B476&lt;7,"6.5–6.9",IF(B476&lt;7.5,"7.0–7.4",IF(B476&lt;8,"7.5–7.9","8.0+"))))</f>
        <v/>
      </c>
      <c r="Z476" s="33">
        <f>IF(F476="","Blank",F476)</f>
        <v/>
      </c>
    </row>
    <row r="477" ht="15" customHeight="1" s="34">
      <c r="A477" s="33" t="inlineStr">
        <is>
          <t>M 8.2 - off the west coast of northern Sumatra</t>
        </is>
      </c>
      <c r="B477" s="33" t="n">
        <v>8.199999999999999</v>
      </c>
      <c r="C477" s="33" t="inlineStr">
        <is>
          <t>11/04/2012 10:43</t>
        </is>
      </c>
      <c r="D477" s="33" t="n">
        <v>9</v>
      </c>
      <c r="E477" s="33" t="n">
        <v>6</v>
      </c>
      <c r="F477" s="33" t="inlineStr">
        <is>
          <t>green</t>
        </is>
      </c>
      <c r="G477" s="33" t="n">
        <v>0</v>
      </c>
      <c r="H477" s="33" t="n">
        <v>1213</v>
      </c>
      <c r="I477" s="33" t="inlineStr">
        <is>
          <t>us</t>
        </is>
      </c>
      <c r="J477" s="33" t="n">
        <v>341</v>
      </c>
      <c r="K477" s="33" t="n">
        <v>0</v>
      </c>
      <c r="L477" s="33" t="n">
        <v>14.9</v>
      </c>
      <c r="M477" s="33" t="inlineStr">
        <is>
          <t>mwc</t>
        </is>
      </c>
      <c r="N477" s="33" t="n">
        <v>25.1</v>
      </c>
      <c r="O477" s="33" t="n">
        <v>0.802</v>
      </c>
      <c r="P477" s="33" t="n">
        <v>92.46299999999999</v>
      </c>
      <c r="Q477" s="33" t="inlineStr">
        <is>
          <t>off the west coast of northern Sumatra</t>
        </is>
      </c>
      <c r="T477" s="36">
        <f>DATE(MID(C477,7,4),MID(C477,4,2),MID(C477,1,2))+TIME(MID(C477,12,2),MID(C477,15,2),0)</f>
        <v/>
      </c>
      <c r="U477" s="33">
        <f>IF(ISNUMBER(VALUE(MID(A477,7,1))),"Distance-prefix pattern","Named-region pattern")</f>
        <v/>
      </c>
      <c r="V477" s="33">
        <f>LOWER(M477)</f>
        <v/>
      </c>
      <c r="W477" s="33">
        <f>IF(COUNTIFS($A$2:$A$1001,A477,$C$2:$C$1001,C477)&gt;1,"Duplicate","Unique")</f>
        <v/>
      </c>
      <c r="X477" s="33">
        <f>YEAR(T477)</f>
        <v/>
      </c>
      <c r="Y477" s="33">
        <f>IF(B477&lt;6.5,"&lt;6.5",IF(B477&lt;7,"6.5–6.9",IF(B477&lt;7.5,"7.0–7.4",IF(B477&lt;8,"7.5–7.9","8.0+"))))</f>
        <v/>
      </c>
      <c r="Z477" s="33">
        <f>IF(F477="","Blank",F477)</f>
        <v/>
      </c>
    </row>
    <row r="478" ht="15" customHeight="1" s="34">
      <c r="A478" s="33" t="inlineStr">
        <is>
          <t>M 8.6 - off the west coast of northern Sumatra</t>
        </is>
      </c>
      <c r="B478" s="33" t="n">
        <v>8.6</v>
      </c>
      <c r="C478" s="33" t="inlineStr">
        <is>
          <t>11/04/2012 08:38</t>
        </is>
      </c>
      <c r="D478" s="33" t="n">
        <v>9</v>
      </c>
      <c r="E478" s="33" t="n">
        <v>7</v>
      </c>
      <c r="F478" s="33" t="inlineStr">
        <is>
          <t>yellow</t>
        </is>
      </c>
      <c r="G478" s="33" t="n">
        <v>0</v>
      </c>
      <c r="H478" s="33" t="n">
        <v>2048</v>
      </c>
      <c r="I478" s="33" t="inlineStr">
        <is>
          <t>official</t>
        </is>
      </c>
      <c r="J478" s="33" t="n">
        <v>499</v>
      </c>
      <c r="K478" s="33" t="n">
        <v>0</v>
      </c>
      <c r="L478" s="33" t="n">
        <v>16.6</v>
      </c>
      <c r="M478" s="33" t="inlineStr">
        <is>
          <t>mw</t>
        </is>
      </c>
      <c r="N478" s="33" t="n">
        <v>20</v>
      </c>
      <c r="O478" s="33" t="n">
        <v>2.327</v>
      </c>
      <c r="P478" s="33" t="n">
        <v>93.063</v>
      </c>
      <c r="Q478" s="33" t="inlineStr">
        <is>
          <t>off the west coast of northern Sumatra</t>
        </is>
      </c>
      <c r="T478" s="36">
        <f>DATE(MID(C478,7,4),MID(C478,4,2),MID(C478,1,2))+TIME(MID(C478,12,2),MID(C478,15,2),0)</f>
        <v/>
      </c>
      <c r="U478" s="33">
        <f>IF(ISNUMBER(VALUE(MID(A478,7,1))),"Distance-prefix pattern","Named-region pattern")</f>
        <v/>
      </c>
      <c r="V478" s="33">
        <f>LOWER(M478)</f>
        <v/>
      </c>
      <c r="W478" s="33">
        <f>IF(COUNTIFS($A$2:$A$1001,A478,$C$2:$C$1001,C478)&gt;1,"Duplicate","Unique")</f>
        <v/>
      </c>
      <c r="X478" s="33">
        <f>YEAR(T478)</f>
        <v/>
      </c>
      <c r="Y478" s="33">
        <f>IF(B478&lt;6.5,"&lt;6.5",IF(B478&lt;7,"6.5–6.9",IF(B478&lt;7.5,"7.0–7.4",IF(B478&lt;8,"7.5–7.9","8.0+"))))</f>
        <v/>
      </c>
      <c r="Z478" s="33">
        <f>IF(F478="","Blank",F478)</f>
        <v/>
      </c>
    </row>
    <row r="479" ht="15" customHeight="1" s="34">
      <c r="A479" s="33" t="inlineStr">
        <is>
          <t>M 7.1 - 23 km NE of Constitución, Chile</t>
        </is>
      </c>
      <c r="B479" s="33" t="n">
        <v>7.1</v>
      </c>
      <c r="C479" s="33" t="inlineStr">
        <is>
          <t>25/03/2012 22:37</t>
        </is>
      </c>
      <c r="D479" s="33" t="n">
        <v>7</v>
      </c>
      <c r="E479" s="33" t="n">
        <v>7</v>
      </c>
      <c r="G479" s="33" t="n">
        <v>0</v>
      </c>
      <c r="H479" s="33" t="n">
        <v>1496</v>
      </c>
      <c r="I479" s="33" t="inlineStr">
        <is>
          <t>us</t>
        </is>
      </c>
      <c r="J479" s="33" t="n">
        <v>553</v>
      </c>
      <c r="K479" s="33" t="n">
        <v>0</v>
      </c>
      <c r="L479" s="33" t="n">
        <v>15.2</v>
      </c>
      <c r="M479" s="33" t="inlineStr">
        <is>
          <t>mww</t>
        </is>
      </c>
      <c r="N479" s="33" t="n">
        <v>40.7</v>
      </c>
      <c r="O479" s="33" t="n">
        <v>-35.2</v>
      </c>
      <c r="P479" s="33" t="n">
        <v>-72.217</v>
      </c>
      <c r="Q479" s="33" t="inlineStr">
        <is>
          <t>Constitución, Chile</t>
        </is>
      </c>
      <c r="R479" s="33" t="inlineStr">
        <is>
          <t>South America</t>
        </is>
      </c>
      <c r="S479" s="33" t="inlineStr">
        <is>
          <t>Chile</t>
        </is>
      </c>
      <c r="T479" s="36">
        <f>DATE(MID(C479,7,4),MID(C479,4,2),MID(C479,1,2))+TIME(MID(C479,12,2),MID(C479,15,2),0)</f>
        <v/>
      </c>
      <c r="U479" s="33">
        <f>IF(ISNUMBER(VALUE(MID(A479,7,1))),"Distance-prefix pattern","Named-region pattern")</f>
        <v/>
      </c>
      <c r="V479" s="33">
        <f>LOWER(M479)</f>
        <v/>
      </c>
      <c r="W479" s="33">
        <f>IF(COUNTIFS($A$2:$A$1001,A479,$C$2:$C$1001,C479)&gt;1,"Duplicate","Unique")</f>
        <v/>
      </c>
      <c r="X479" s="33">
        <f>YEAR(T479)</f>
        <v/>
      </c>
      <c r="Y479" s="33">
        <f>IF(B479&lt;6.5,"&lt;6.5",IF(B479&lt;7,"6.5–6.9",IF(B479&lt;7.5,"7.0–7.4",IF(B479&lt;8,"7.5–7.9","8.0+"))))</f>
        <v/>
      </c>
      <c r="Z479" s="33">
        <f>IF(F479="","Blank",F479)</f>
        <v/>
      </c>
    </row>
    <row r="480" ht="15" customHeight="1" s="34">
      <c r="A480" s="33" t="inlineStr">
        <is>
          <t>M 6.6 - 11 km ENE of Kainantu, Papua New Guinea</t>
        </is>
      </c>
      <c r="B480" s="33" t="n">
        <v>6.6</v>
      </c>
      <c r="C480" s="33" t="inlineStr">
        <is>
          <t>21/03/2012 22:15</t>
        </is>
      </c>
      <c r="D480" s="33" t="n">
        <v>6</v>
      </c>
      <c r="E480" s="33" t="n">
        <v>6</v>
      </c>
      <c r="G480" s="33" t="n">
        <v>0</v>
      </c>
      <c r="H480" s="33" t="n">
        <v>709</v>
      </c>
      <c r="I480" s="33" t="inlineStr">
        <is>
          <t>us</t>
        </is>
      </c>
      <c r="J480" s="33" t="n">
        <v>640</v>
      </c>
      <c r="K480" s="33" t="n">
        <v>0</v>
      </c>
      <c r="L480" s="33" t="n">
        <v>10.1</v>
      </c>
      <c r="M480" s="33" t="inlineStr">
        <is>
          <t>mww</t>
        </is>
      </c>
      <c r="N480" s="33" t="n">
        <v>118</v>
      </c>
      <c r="O480" s="33" t="n">
        <v>-6.242</v>
      </c>
      <c r="P480" s="33" t="n">
        <v>145.955</v>
      </c>
      <c r="Q480" s="33" t="inlineStr">
        <is>
          <t>Kainantu, Papua New Guinea</t>
        </is>
      </c>
      <c r="S480" s="33" t="inlineStr">
        <is>
          <t>Papua New Guinea</t>
        </is>
      </c>
      <c r="T480" s="36">
        <f>DATE(MID(C480,7,4),MID(C480,4,2),MID(C480,1,2))+TIME(MID(C480,12,2),MID(C480,15,2),0)</f>
        <v/>
      </c>
      <c r="U480" s="33">
        <f>IF(ISNUMBER(VALUE(MID(A480,7,1))),"Distance-prefix pattern","Named-region pattern")</f>
        <v/>
      </c>
      <c r="V480" s="33">
        <f>LOWER(M480)</f>
        <v/>
      </c>
      <c r="W480" s="33">
        <f>IF(COUNTIFS($A$2:$A$1001,A480,$C$2:$C$1001,C480)&gt;1,"Duplicate","Unique")</f>
        <v/>
      </c>
      <c r="X480" s="33">
        <f>YEAR(T480)</f>
        <v/>
      </c>
      <c r="Y480" s="33">
        <f>IF(B480&lt;6.5,"&lt;6.5",IF(B480&lt;7,"6.5–6.9",IF(B480&lt;7.5,"7.0–7.4",IF(B480&lt;8,"7.5–7.9","8.0+"))))</f>
        <v/>
      </c>
      <c r="Z480" s="33">
        <f>IF(F480="","Blank",F480)</f>
        <v/>
      </c>
    </row>
    <row r="481" ht="15" customHeight="1" s="34">
      <c r="A481" s="33" t="inlineStr">
        <is>
          <t>M 7.4 - 6 km E of Santiago Llano Grande, Mexico</t>
        </is>
      </c>
      <c r="B481" s="33" t="n">
        <v>7.4</v>
      </c>
      <c r="C481" s="33" t="inlineStr">
        <is>
          <t>20/03/2012 18:02</t>
        </is>
      </c>
      <c r="D481" s="33" t="n">
        <v>9</v>
      </c>
      <c r="E481" s="33" t="n">
        <v>8</v>
      </c>
      <c r="G481" s="33" t="n">
        <v>0</v>
      </c>
      <c r="H481" s="33" t="n">
        <v>1752</v>
      </c>
      <c r="I481" s="33" t="inlineStr">
        <is>
          <t>us</t>
        </is>
      </c>
      <c r="J481" s="33" t="n">
        <v>672</v>
      </c>
      <c r="K481" s="33" t="n">
        <v>0</v>
      </c>
      <c r="L481" s="33" t="n">
        <v>37.9</v>
      </c>
      <c r="M481" s="33" t="inlineStr">
        <is>
          <t>mww</t>
        </is>
      </c>
      <c r="N481" s="33" t="n">
        <v>20</v>
      </c>
      <c r="O481" s="33" t="n">
        <v>16.493</v>
      </c>
      <c r="P481" s="33" t="n">
        <v>-98.23099999999999</v>
      </c>
      <c r="Q481" s="33" t="inlineStr">
        <is>
          <t>Santiago Llano Grande, Mexico</t>
        </is>
      </c>
      <c r="R481" s="33" t="inlineStr">
        <is>
          <t>North America</t>
        </is>
      </c>
      <c r="S481" s="33" t="inlineStr">
        <is>
          <t>Mexico</t>
        </is>
      </c>
      <c r="T481" s="36">
        <f>DATE(MID(C481,7,4),MID(C481,4,2),MID(C481,1,2))+TIME(MID(C481,12,2),MID(C481,15,2),0)</f>
        <v/>
      </c>
      <c r="U481" s="33">
        <f>IF(ISNUMBER(VALUE(MID(A481,7,1))),"Distance-prefix pattern","Named-region pattern")</f>
        <v/>
      </c>
      <c r="V481" s="33">
        <f>LOWER(M481)</f>
        <v/>
      </c>
      <c r="W481" s="33">
        <f>IF(COUNTIFS($A$2:$A$1001,A481,$C$2:$C$1001,C481)&gt;1,"Duplicate","Unique")</f>
        <v/>
      </c>
      <c r="X481" s="33">
        <f>YEAR(T481)</f>
        <v/>
      </c>
      <c r="Y481" s="33">
        <f>IF(B481&lt;6.5,"&lt;6.5",IF(B481&lt;7,"6.5–6.9",IF(B481&lt;7.5,"7.0–7.4",IF(B481&lt;8,"7.5–7.9","8.0+"))))</f>
        <v/>
      </c>
      <c r="Z481" s="33">
        <f>IF(F481="","Blank",F481)</f>
        <v/>
      </c>
    </row>
    <row r="482" ht="15" customHeight="1" s="34">
      <c r="A482" s="33" t="inlineStr">
        <is>
          <t>M 6.7 - 38 km NE of Saryg-Sep, Russia</t>
        </is>
      </c>
      <c r="B482" s="33" t="n">
        <v>6.7</v>
      </c>
      <c r="C482" s="33" t="inlineStr">
        <is>
          <t>26/02/2012 06:17</t>
        </is>
      </c>
      <c r="D482" s="33" t="n">
        <v>7</v>
      </c>
      <c r="E482" s="33" t="n">
        <v>7</v>
      </c>
      <c r="G482" s="33" t="n">
        <v>0</v>
      </c>
      <c r="H482" s="33" t="n">
        <v>833</v>
      </c>
      <c r="I482" s="33" t="inlineStr">
        <is>
          <t>us</t>
        </is>
      </c>
      <c r="J482" s="33" t="n">
        <v>596</v>
      </c>
      <c r="K482" s="33" t="n">
        <v>0</v>
      </c>
      <c r="L482" s="33" t="n">
        <v>13.4</v>
      </c>
      <c r="M482" s="33" t="inlineStr">
        <is>
          <t>mww</t>
        </is>
      </c>
      <c r="N482" s="33" t="n">
        <v>12</v>
      </c>
      <c r="O482" s="33" t="n">
        <v>51.708</v>
      </c>
      <c r="P482" s="33" t="n">
        <v>95.991</v>
      </c>
      <c r="Q482" s="33" t="inlineStr">
        <is>
          <t>Saryg-Sep, Russia</t>
        </is>
      </c>
      <c r="R482" s="33" t="inlineStr">
        <is>
          <t>Asia</t>
        </is>
      </c>
      <c r="S482" s="33" t="inlineStr">
        <is>
          <t>Russia</t>
        </is>
      </c>
      <c r="T482" s="36">
        <f>DATE(MID(C482,7,4),MID(C482,4,2),MID(C482,1,2))+TIME(MID(C482,12,2),MID(C482,15,2),0)</f>
        <v/>
      </c>
      <c r="U482" s="33">
        <f>IF(ISNUMBER(VALUE(MID(A482,7,1))),"Distance-prefix pattern","Named-region pattern")</f>
        <v/>
      </c>
      <c r="V482" s="33">
        <f>LOWER(M482)</f>
        <v/>
      </c>
      <c r="W482" s="33">
        <f>IF(COUNTIFS($A$2:$A$1001,A482,$C$2:$C$1001,C482)&gt;1,"Duplicate","Unique")</f>
        <v/>
      </c>
      <c r="X482" s="33">
        <f>YEAR(T482)</f>
        <v/>
      </c>
      <c r="Y482" s="33">
        <f>IF(B482&lt;6.5,"&lt;6.5",IF(B482&lt;7,"6.5–6.9",IF(B482&lt;7.5,"7.0–7.4",IF(B482&lt;8,"7.5–7.9","8.0+"))))</f>
        <v/>
      </c>
      <c r="Z482" s="33">
        <f>IF(F482="","Blank",F482)</f>
        <v/>
      </c>
    </row>
    <row r="483" ht="15" customHeight="1" s="34">
      <c r="A483" s="33" t="inlineStr">
        <is>
          <t>M 6.7 - 2 km NNE of Jimalalud, Philippines</t>
        </is>
      </c>
      <c r="B483" s="33" t="n">
        <v>6.7</v>
      </c>
      <c r="C483" s="33" t="inlineStr">
        <is>
          <t>06/02/2012 03:49</t>
        </is>
      </c>
      <c r="D483" s="33" t="n">
        <v>9</v>
      </c>
      <c r="E483" s="33" t="n">
        <v>7</v>
      </c>
      <c r="G483" s="33" t="n">
        <v>0</v>
      </c>
      <c r="H483" s="33" t="n">
        <v>1551</v>
      </c>
      <c r="I483" s="33" t="inlineStr">
        <is>
          <t>us</t>
        </is>
      </c>
      <c r="J483" s="33" t="n">
        <v>572</v>
      </c>
      <c r="K483" s="33" t="n">
        <v>0</v>
      </c>
      <c r="L483" s="33" t="n">
        <v>11.1</v>
      </c>
      <c r="M483" s="33" t="inlineStr">
        <is>
          <t>mww</t>
        </is>
      </c>
      <c r="N483" s="33" t="n">
        <v>11</v>
      </c>
      <c r="O483" s="33" t="n">
        <v>9.999000000000001</v>
      </c>
      <c r="P483" s="33" t="n">
        <v>123.206</v>
      </c>
      <c r="Q483" s="33" t="inlineStr">
        <is>
          <t>Jimalalud, Philippines</t>
        </is>
      </c>
      <c r="S483" s="33" t="inlineStr">
        <is>
          <t>Philippines</t>
        </is>
      </c>
      <c r="T483" s="36">
        <f>DATE(MID(C483,7,4),MID(C483,4,2),MID(C483,1,2))+TIME(MID(C483,12,2),MID(C483,15,2),0)</f>
        <v/>
      </c>
      <c r="U483" s="33">
        <f>IF(ISNUMBER(VALUE(MID(A483,7,1))),"Distance-prefix pattern","Named-region pattern")</f>
        <v/>
      </c>
      <c r="V483" s="33">
        <f>LOWER(M483)</f>
        <v/>
      </c>
      <c r="W483" s="33">
        <f>IF(COUNTIFS($A$2:$A$1001,A483,$C$2:$C$1001,C483)&gt;1,"Duplicate","Unique")</f>
        <v/>
      </c>
      <c r="X483" s="33">
        <f>YEAR(T483)</f>
        <v/>
      </c>
      <c r="Y483" s="33">
        <f>IF(B483&lt;6.5,"&lt;6.5",IF(B483&lt;7,"6.5–6.9",IF(B483&lt;7.5,"7.0–7.4",IF(B483&lt;8,"7.5–7.9","8.0+"))))</f>
        <v/>
      </c>
      <c r="Z483" s="33">
        <f>IF(F483="","Blank",F483)</f>
        <v/>
      </c>
    </row>
    <row r="484" ht="15" customHeight="1" s="34">
      <c r="A484" s="33" t="inlineStr">
        <is>
          <t>M 7.1 - 125 km W of Port-Vila, Vanuatu</t>
        </is>
      </c>
      <c r="B484" s="33" t="n">
        <v>7.1</v>
      </c>
      <c r="C484" s="33" t="inlineStr">
        <is>
          <t>02/02/2012 13:34</t>
        </is>
      </c>
      <c r="D484" s="33" t="n">
        <v>5</v>
      </c>
      <c r="E484" s="33" t="n">
        <v>5</v>
      </c>
      <c r="G484" s="33" t="n">
        <v>0</v>
      </c>
      <c r="H484" s="33" t="n">
        <v>793</v>
      </c>
      <c r="I484" s="33" t="inlineStr">
        <is>
          <t>us</t>
        </is>
      </c>
      <c r="J484" s="33" t="n">
        <v>573</v>
      </c>
      <c r="K484" s="33" t="n">
        <v>0</v>
      </c>
      <c r="L484" s="33" t="n">
        <v>12</v>
      </c>
      <c r="M484" s="33" t="inlineStr">
        <is>
          <t>mww</t>
        </is>
      </c>
      <c r="N484" s="33" t="n">
        <v>23</v>
      </c>
      <c r="O484" s="33" t="n">
        <v>-17.827</v>
      </c>
      <c r="P484" s="33" t="n">
        <v>167.133</v>
      </c>
      <c r="Q484" s="33" t="inlineStr">
        <is>
          <t>Port-Vila, Vanuatu</t>
        </is>
      </c>
      <c r="T484" s="36">
        <f>DATE(MID(C484,7,4),MID(C484,4,2),MID(C484,1,2))+TIME(MID(C484,12,2),MID(C484,15,2),0)</f>
        <v/>
      </c>
      <c r="U484" s="33">
        <f>IF(ISNUMBER(VALUE(MID(A484,7,1))),"Distance-prefix pattern","Named-region pattern")</f>
        <v/>
      </c>
      <c r="V484" s="33">
        <f>LOWER(M484)</f>
        <v/>
      </c>
      <c r="W484" s="33">
        <f>IF(COUNTIFS($A$2:$A$1001,A484,$C$2:$C$1001,C484)&gt;1,"Duplicate","Unique")</f>
        <v/>
      </c>
      <c r="X484" s="33">
        <f>YEAR(T484)</f>
        <v/>
      </c>
      <c r="Y484" s="33">
        <f>IF(B484&lt;6.5,"&lt;6.5",IF(B484&lt;7,"6.5–6.9",IF(B484&lt;7.5,"7.0–7.4",IF(B484&lt;8,"7.5–7.9","8.0+"))))</f>
        <v/>
      </c>
      <c r="Z484" s="33">
        <f>IF(F484="","Blank",F484)</f>
        <v/>
      </c>
    </row>
    <row r="485" ht="15" customHeight="1" s="34">
      <c r="A485" s="33" t="inlineStr">
        <is>
          <t>M 7.2 - off the west coast of northern Sumatra</t>
        </is>
      </c>
      <c r="B485" s="33" t="n">
        <v>7.2</v>
      </c>
      <c r="C485" s="33" t="inlineStr">
        <is>
          <t>10/01/2012 18:36</t>
        </is>
      </c>
      <c r="D485" s="33" t="n">
        <v>4</v>
      </c>
      <c r="E485" s="33" t="n">
        <v>4</v>
      </c>
      <c r="G485" s="33" t="n">
        <v>0</v>
      </c>
      <c r="H485" s="33" t="n">
        <v>838</v>
      </c>
      <c r="I485" s="33" t="inlineStr">
        <is>
          <t>us</t>
        </is>
      </c>
      <c r="J485" s="33" t="n">
        <v>443</v>
      </c>
      <c r="K485" s="33" t="n">
        <v>0</v>
      </c>
      <c r="L485" s="33" t="n">
        <v>17</v>
      </c>
      <c r="M485" s="33" t="inlineStr">
        <is>
          <t>mww</t>
        </is>
      </c>
      <c r="N485" s="33" t="n">
        <v>19</v>
      </c>
      <c r="O485" s="33" t="n">
        <v>2.433</v>
      </c>
      <c r="P485" s="33" t="n">
        <v>93.20999999999999</v>
      </c>
      <c r="Q485" s="33" t="inlineStr">
        <is>
          <t>off the west coast of northern Sumatra</t>
        </is>
      </c>
      <c r="T485" s="36">
        <f>DATE(MID(C485,7,4),MID(C485,4,2),MID(C485,1,2))+TIME(MID(C485,12,2),MID(C485,15,2),0)</f>
        <v/>
      </c>
      <c r="U485" s="33">
        <f>IF(ISNUMBER(VALUE(MID(A485,7,1))),"Distance-prefix pattern","Named-region pattern")</f>
        <v/>
      </c>
      <c r="V485" s="33">
        <f>LOWER(M485)</f>
        <v/>
      </c>
      <c r="W485" s="33">
        <f>IF(COUNTIFS($A$2:$A$1001,A485,$C$2:$C$1001,C485)&gt;1,"Duplicate","Unique")</f>
        <v/>
      </c>
      <c r="X485" s="33">
        <f>YEAR(T485)</f>
        <v/>
      </c>
      <c r="Y485" s="33">
        <f>IF(B485&lt;6.5,"&lt;6.5",IF(B485&lt;7,"6.5–6.9",IF(B485&lt;7.5,"7.0–7.4",IF(B485&lt;8,"7.5–7.9","8.0+"))))</f>
        <v/>
      </c>
      <c r="Z485" s="33">
        <f>IF(F485="","Blank",F485)</f>
        <v/>
      </c>
    </row>
    <row r="486" ht="15" customHeight="1" s="34">
      <c r="A486" s="33" t="inlineStr">
        <is>
          <t>M 6.6 - 45 km NNE of Saryg-Sep, Russia</t>
        </is>
      </c>
      <c r="B486" s="33" t="n">
        <v>6.6</v>
      </c>
      <c r="C486" s="33" t="inlineStr">
        <is>
          <t>27/12/2011 15:21</t>
        </is>
      </c>
      <c r="D486" s="33" t="n">
        <v>0</v>
      </c>
      <c r="E486" s="33" t="n">
        <v>7</v>
      </c>
      <c r="G486" s="33" t="n">
        <v>0</v>
      </c>
      <c r="H486" s="33" t="n">
        <v>670</v>
      </c>
      <c r="I486" s="33" t="inlineStr">
        <is>
          <t>us</t>
        </is>
      </c>
      <c r="J486" s="33" t="n">
        <v>545</v>
      </c>
      <c r="K486" s="33" t="n">
        <v>0</v>
      </c>
      <c r="L486" s="33" t="n">
        <v>17.6</v>
      </c>
      <c r="M486" s="33" t="inlineStr">
        <is>
          <t>mww</t>
        </is>
      </c>
      <c r="N486" s="33" t="n">
        <v>15</v>
      </c>
      <c r="O486" s="33" t="n">
        <v>51.842</v>
      </c>
      <c r="P486" s="33" t="n">
        <v>95.911</v>
      </c>
      <c r="Q486" s="33" t="inlineStr">
        <is>
          <t>Saryg-Sep, Russia</t>
        </is>
      </c>
      <c r="R486" s="33" t="inlineStr">
        <is>
          <t>Asia</t>
        </is>
      </c>
      <c r="S486" s="33" t="inlineStr">
        <is>
          <t>Russia</t>
        </is>
      </c>
      <c r="T486" s="36">
        <f>DATE(MID(C486,7,4),MID(C486,4,2),MID(C486,1,2))+TIME(MID(C486,12,2),MID(C486,15,2),0)</f>
        <v/>
      </c>
      <c r="U486" s="33">
        <f>IF(ISNUMBER(VALUE(MID(A486,7,1))),"Distance-prefix pattern","Named-region pattern")</f>
        <v/>
      </c>
      <c r="V486" s="33">
        <f>LOWER(M486)</f>
        <v/>
      </c>
      <c r="W486" s="33">
        <f>IF(COUNTIFS($A$2:$A$1001,A486,$C$2:$C$1001,C486)&gt;1,"Duplicate","Unique")</f>
        <v/>
      </c>
      <c r="X486" s="33">
        <f>YEAR(T486)</f>
        <v/>
      </c>
      <c r="Y486" s="33">
        <f>IF(B486&lt;6.5,"&lt;6.5",IF(B486&lt;7,"6.5–6.9",IF(B486&lt;7.5,"7.0–7.4",IF(B486&lt;8,"7.5–7.9","8.0+"))))</f>
        <v/>
      </c>
      <c r="Z486" s="33">
        <f>IF(F486="","Blank",F486)</f>
        <v/>
      </c>
    </row>
    <row r="487" ht="15" customHeight="1" s="34">
      <c r="A487" s="33" t="inlineStr">
        <is>
          <t>M 7.1 - 25 km SSE of Wau, Papua New Guinea</t>
        </is>
      </c>
      <c r="B487" s="33" t="n">
        <v>7.1</v>
      </c>
      <c r="C487" s="33" t="inlineStr">
        <is>
          <t>14/12/2011 05:04</t>
        </is>
      </c>
      <c r="D487" s="33" t="n">
        <v>6</v>
      </c>
      <c r="E487" s="33" t="n">
        <v>6</v>
      </c>
      <c r="G487" s="33" t="n">
        <v>0</v>
      </c>
      <c r="H487" s="33" t="n">
        <v>834</v>
      </c>
      <c r="I487" s="33" t="inlineStr">
        <is>
          <t>us</t>
        </is>
      </c>
      <c r="J487" s="33" t="n">
        <v>485</v>
      </c>
      <c r="K487" s="33" t="n">
        <v>0</v>
      </c>
      <c r="L487" s="33" t="n">
        <v>10.6</v>
      </c>
      <c r="M487" s="33" t="inlineStr">
        <is>
          <t>mww</t>
        </is>
      </c>
      <c r="N487" s="33" t="n">
        <v>135</v>
      </c>
      <c r="O487" s="33" t="n">
        <v>-7.551</v>
      </c>
      <c r="P487" s="33" t="n">
        <v>146.809</v>
      </c>
      <c r="Q487" s="33" t="inlineStr">
        <is>
          <t>Wau, Papua New Guinea</t>
        </is>
      </c>
      <c r="S487" s="33" t="inlineStr">
        <is>
          <t>Papua New Guinea</t>
        </is>
      </c>
      <c r="T487" s="36">
        <f>DATE(MID(C487,7,4),MID(C487,4,2),MID(C487,1,2))+TIME(MID(C487,12,2),MID(C487,15,2),0)</f>
        <v/>
      </c>
      <c r="U487" s="33">
        <f>IF(ISNUMBER(VALUE(MID(A487,7,1))),"Distance-prefix pattern","Named-region pattern")</f>
        <v/>
      </c>
      <c r="V487" s="33">
        <f>LOWER(M487)</f>
        <v/>
      </c>
      <c r="W487" s="33">
        <f>IF(COUNTIFS($A$2:$A$1001,A487,$C$2:$C$1001,C487)&gt;1,"Duplicate","Unique")</f>
        <v/>
      </c>
      <c r="X487" s="33">
        <f>YEAR(T487)</f>
        <v/>
      </c>
      <c r="Y487" s="33">
        <f>IF(B487&lt;6.5,"&lt;6.5",IF(B487&lt;7,"6.5–6.9",IF(B487&lt;7.5,"7.0–7.4",IF(B487&lt;8,"7.5–7.9","8.0+"))))</f>
        <v/>
      </c>
      <c r="Z487" s="33">
        <f>IF(F487="","Blank",F487)</f>
        <v/>
      </c>
    </row>
    <row r="488" ht="15" customHeight="1" s="34">
      <c r="A488" s="33" t="inlineStr">
        <is>
          <t>M 6.5 - 6 km SSW of Nuevo Balsas, Mexico</t>
        </is>
      </c>
      <c r="B488" s="33" t="n">
        <v>6.5</v>
      </c>
      <c r="C488" s="33" t="inlineStr">
        <is>
          <t>11/12/2011 01:47</t>
        </is>
      </c>
      <c r="D488" s="33" t="n">
        <v>8</v>
      </c>
      <c r="E488" s="33" t="n">
        <v>7</v>
      </c>
      <c r="G488" s="33" t="n">
        <v>0</v>
      </c>
      <c r="H488" s="33" t="n">
        <v>1400</v>
      </c>
      <c r="I488" s="33" t="inlineStr">
        <is>
          <t>us</t>
        </is>
      </c>
      <c r="J488" s="33" t="n">
        <v>578</v>
      </c>
      <c r="K488" s="33" t="n">
        <v>0</v>
      </c>
      <c r="L488" s="33" t="n">
        <v>38.6</v>
      </c>
      <c r="M488" s="33" t="inlineStr">
        <is>
          <t>mww</t>
        </is>
      </c>
      <c r="N488" s="33" t="n">
        <v>59</v>
      </c>
      <c r="O488" s="33" t="n">
        <v>17.986</v>
      </c>
      <c r="P488" s="33" t="n">
        <v>-99.789</v>
      </c>
      <c r="Q488" s="33" t="inlineStr">
        <is>
          <t>Nuevo Balsas, Mexico</t>
        </is>
      </c>
      <c r="R488" s="33" t="inlineStr">
        <is>
          <t>North America</t>
        </is>
      </c>
      <c r="S488" s="33" t="inlineStr">
        <is>
          <t>Mexico</t>
        </is>
      </c>
      <c r="T488" s="36">
        <f>DATE(MID(C488,7,4),MID(C488,4,2),MID(C488,1,2))+TIME(MID(C488,12,2),MID(C488,15,2),0)</f>
        <v/>
      </c>
      <c r="U488" s="33">
        <f>IF(ISNUMBER(VALUE(MID(A488,7,1))),"Distance-prefix pattern","Named-region pattern")</f>
        <v/>
      </c>
      <c r="V488" s="33">
        <f>LOWER(M488)</f>
        <v/>
      </c>
      <c r="W488" s="33">
        <f>IF(COUNTIFS($A$2:$A$1001,A488,$C$2:$C$1001,C488)&gt;1,"Duplicate","Unique")</f>
        <v/>
      </c>
      <c r="X488" s="33">
        <f>YEAR(T488)</f>
        <v/>
      </c>
      <c r="Y488" s="33">
        <f>IF(B488&lt;6.5,"&lt;6.5",IF(B488&lt;7,"6.5–6.9",IF(B488&lt;7.5,"7.0–7.4",IF(B488&lt;8,"7.5–7.9","8.0+"))))</f>
        <v/>
      </c>
      <c r="Z488" s="33">
        <f>IF(F488="","Blank",F488)</f>
        <v/>
      </c>
    </row>
    <row r="489" ht="15" customHeight="1" s="34">
      <c r="A489" s="33" t="inlineStr">
        <is>
          <t>M 6.9 - 39 km SW of Santiago, Peru</t>
        </is>
      </c>
      <c r="B489" s="33" t="n">
        <v>6.9</v>
      </c>
      <c r="C489" s="33" t="inlineStr">
        <is>
          <t>28/10/2011 18:54</t>
        </is>
      </c>
      <c r="D489" s="33" t="n">
        <v>6</v>
      </c>
      <c r="E489" s="33" t="n">
        <v>7</v>
      </c>
      <c r="G489" s="33" t="n">
        <v>0</v>
      </c>
      <c r="H489" s="33" t="n">
        <v>847</v>
      </c>
      <c r="I489" s="33" t="inlineStr">
        <is>
          <t>us</t>
        </is>
      </c>
      <c r="J489" s="33" t="n">
        <v>474</v>
      </c>
      <c r="K489" s="33" t="n">
        <v>0</v>
      </c>
      <c r="L489" s="33" t="n">
        <v>46.5</v>
      </c>
      <c r="M489" s="33" t="inlineStr">
        <is>
          <t>mww</t>
        </is>
      </c>
      <c r="N489" s="33" t="n">
        <v>24</v>
      </c>
      <c r="O489" s="33" t="n">
        <v>-14.438</v>
      </c>
      <c r="P489" s="33" t="n">
        <v>-75.96599999999999</v>
      </c>
      <c r="Q489" s="33" t="inlineStr">
        <is>
          <t>Santiago, Peru</t>
        </is>
      </c>
      <c r="R489" s="33" t="inlineStr">
        <is>
          <t>South America</t>
        </is>
      </c>
      <c r="S489" s="33" t="inlineStr">
        <is>
          <t>Peru</t>
        </is>
      </c>
      <c r="T489" s="36">
        <f>DATE(MID(C489,7,4),MID(C489,4,2),MID(C489,1,2))+TIME(MID(C489,12,2),MID(C489,15,2),0)</f>
        <v/>
      </c>
      <c r="U489" s="33">
        <f>IF(ISNUMBER(VALUE(MID(A489,7,1))),"Distance-prefix pattern","Named-region pattern")</f>
        <v/>
      </c>
      <c r="V489" s="33">
        <f>LOWER(M489)</f>
        <v/>
      </c>
      <c r="W489" s="33">
        <f>IF(COUNTIFS($A$2:$A$1001,A489,$C$2:$C$1001,C489)&gt;1,"Duplicate","Unique")</f>
        <v/>
      </c>
      <c r="X489" s="33">
        <f>YEAR(T489)</f>
        <v/>
      </c>
      <c r="Y489" s="33">
        <f>IF(B489&lt;6.5,"&lt;6.5",IF(B489&lt;7,"6.5–6.9",IF(B489&lt;7.5,"7.0–7.4",IF(B489&lt;8,"7.5–7.9","8.0+"))))</f>
        <v/>
      </c>
      <c r="Z489" s="33">
        <f>IF(F489="","Blank",F489)</f>
        <v/>
      </c>
    </row>
    <row r="490" ht="15" customHeight="1" s="34">
      <c r="A490" s="33" t="inlineStr">
        <is>
          <t>M 7.1 - 27 km NNE of Van, Turkey</t>
        </is>
      </c>
      <c r="B490" s="33" t="n">
        <v>7.1</v>
      </c>
      <c r="C490" s="33" t="inlineStr">
        <is>
          <t>23/10/2011 10:41</t>
        </is>
      </c>
      <c r="D490" s="33" t="n">
        <v>9</v>
      </c>
      <c r="E490" s="33" t="n">
        <v>9</v>
      </c>
      <c r="G490" s="33" t="n">
        <v>0</v>
      </c>
      <c r="H490" s="33" t="n">
        <v>1096</v>
      </c>
      <c r="I490" s="33" t="inlineStr">
        <is>
          <t>us</t>
        </is>
      </c>
      <c r="J490" s="33" t="n">
        <v>693</v>
      </c>
      <c r="K490" s="33" t="n">
        <v>0</v>
      </c>
      <c r="L490" s="33" t="n">
        <v>19.7</v>
      </c>
      <c r="M490" s="33" t="inlineStr">
        <is>
          <t>mww</t>
        </is>
      </c>
      <c r="N490" s="33" t="n">
        <v>18</v>
      </c>
      <c r="O490" s="33" t="n">
        <v>38.721</v>
      </c>
      <c r="P490" s="33" t="n">
        <v>43.508</v>
      </c>
      <c r="Q490" s="33" t="inlineStr">
        <is>
          <t>Van, Turkey</t>
        </is>
      </c>
      <c r="R490" s="33" t="inlineStr">
        <is>
          <t>Asia</t>
        </is>
      </c>
      <c r="S490" s="33" t="inlineStr">
        <is>
          <t>Turkey</t>
        </is>
      </c>
      <c r="T490" s="36">
        <f>DATE(MID(C490,7,4),MID(C490,4,2),MID(C490,1,2))+TIME(MID(C490,12,2),MID(C490,15,2),0)</f>
        <v/>
      </c>
      <c r="U490" s="33">
        <f>IF(ISNUMBER(VALUE(MID(A490,7,1))),"Distance-prefix pattern","Named-region pattern")</f>
        <v/>
      </c>
      <c r="V490" s="33">
        <f>LOWER(M490)</f>
        <v/>
      </c>
      <c r="W490" s="33">
        <f>IF(COUNTIFS($A$2:$A$1001,A490,$C$2:$C$1001,C490)&gt;1,"Duplicate","Unique")</f>
        <v/>
      </c>
      <c r="X490" s="33">
        <f>YEAR(T490)</f>
        <v/>
      </c>
      <c r="Y490" s="33">
        <f>IF(B490&lt;6.5,"&lt;6.5",IF(B490&lt;7,"6.5–6.9",IF(B490&lt;7.5,"7.0–7.4",IF(B490&lt;8,"7.5–7.9","8.0+"))))</f>
        <v/>
      </c>
      <c r="Z490" s="33">
        <f>IF(F490="","Blank",F490)</f>
        <v/>
      </c>
    </row>
    <row r="491" ht="15" customHeight="1" s="34">
      <c r="A491" s="33" t="inlineStr">
        <is>
          <t>M 6.5 - 4 km ESE of Finschhafen, Papua New Guinea</t>
        </is>
      </c>
      <c r="B491" s="33" t="n">
        <v>6.5</v>
      </c>
      <c r="C491" s="33" t="inlineStr">
        <is>
          <t>14/10/2011 03:35</t>
        </is>
      </c>
      <c r="D491" s="33" t="n">
        <v>3</v>
      </c>
      <c r="E491" s="33" t="n">
        <v>6</v>
      </c>
      <c r="G491" s="33" t="n">
        <v>0</v>
      </c>
      <c r="H491" s="33" t="n">
        <v>655</v>
      </c>
      <c r="I491" s="33" t="inlineStr">
        <is>
          <t>us</t>
        </is>
      </c>
      <c r="J491" s="33" t="n">
        <v>423</v>
      </c>
      <c r="K491" s="33" t="n">
        <v>0</v>
      </c>
      <c r="L491" s="33" t="n">
        <v>12.6</v>
      </c>
      <c r="M491" s="33" t="inlineStr">
        <is>
          <t>mww</t>
        </is>
      </c>
      <c r="N491" s="33" t="n">
        <v>37</v>
      </c>
      <c r="O491" s="33" t="n">
        <v>-6.57</v>
      </c>
      <c r="P491" s="33" t="n">
        <v>147.881</v>
      </c>
      <c r="Q491" s="33" t="inlineStr">
        <is>
          <t>Finschhafen, Papua New Guinea</t>
        </is>
      </c>
      <c r="S491" s="33" t="inlineStr">
        <is>
          <t>Papua New Guinea</t>
        </is>
      </c>
      <c r="T491" s="36">
        <f>DATE(MID(C491,7,4),MID(C491,4,2),MID(C491,1,2))+TIME(MID(C491,12,2),MID(C491,15,2),0)</f>
        <v/>
      </c>
      <c r="U491" s="33">
        <f>IF(ISNUMBER(VALUE(MID(A491,7,1))),"Distance-prefix pattern","Named-region pattern")</f>
        <v/>
      </c>
      <c r="V491" s="33">
        <f>LOWER(M491)</f>
        <v/>
      </c>
      <c r="W491" s="33">
        <f>IF(COUNTIFS($A$2:$A$1001,A491,$C$2:$C$1001,C491)&gt;1,"Duplicate","Unique")</f>
        <v/>
      </c>
      <c r="X491" s="33">
        <f>YEAR(T491)</f>
        <v/>
      </c>
      <c r="Y491" s="33">
        <f>IF(B491&lt;6.5,"&lt;6.5",IF(B491&lt;7,"6.5–6.9",IF(B491&lt;7.5,"7.0–7.4",IF(B491&lt;8,"7.5–7.9","8.0+"))))</f>
        <v/>
      </c>
      <c r="Z491" s="33">
        <f>IF(F491="","Blank",F491)</f>
        <v/>
      </c>
    </row>
    <row r="492" ht="15" customHeight="1" s="34">
      <c r="A492" s="33" t="inlineStr">
        <is>
          <t>M 6.9 - 43 km NW of Mangan, India</t>
        </is>
      </c>
      <c r="B492" s="33" t="n">
        <v>6.9</v>
      </c>
      <c r="C492" s="33" t="inlineStr">
        <is>
          <t>18/09/2011 12:40</t>
        </is>
      </c>
      <c r="D492" s="33" t="n">
        <v>8</v>
      </c>
      <c r="E492" s="33" t="n">
        <v>8</v>
      </c>
      <c r="G492" s="33" t="n">
        <v>0</v>
      </c>
      <c r="H492" s="33" t="n">
        <v>1562</v>
      </c>
      <c r="I492" s="33" t="inlineStr">
        <is>
          <t>us</t>
        </is>
      </c>
      <c r="J492" s="33" t="n">
        <v>383</v>
      </c>
      <c r="K492" s="33" t="n">
        <v>0</v>
      </c>
      <c r="L492" s="33" t="n">
        <v>13</v>
      </c>
      <c r="M492" s="33" t="inlineStr">
        <is>
          <t>mww</t>
        </is>
      </c>
      <c r="N492" s="33" t="n">
        <v>50</v>
      </c>
      <c r="O492" s="33" t="n">
        <v>27.73</v>
      </c>
      <c r="P492" s="33" t="n">
        <v>88.155</v>
      </c>
      <c r="Q492" s="33" t="inlineStr">
        <is>
          <t>Mangan, India</t>
        </is>
      </c>
      <c r="R492" s="33" t="inlineStr">
        <is>
          <t>Asia</t>
        </is>
      </c>
      <c r="S492" s="33" t="inlineStr">
        <is>
          <t>India</t>
        </is>
      </c>
      <c r="T492" s="36">
        <f>DATE(MID(C492,7,4),MID(C492,4,2),MID(C492,1,2))+TIME(MID(C492,12,2),MID(C492,15,2),0)</f>
        <v/>
      </c>
      <c r="U492" s="33">
        <f>IF(ISNUMBER(VALUE(MID(A492,7,1))),"Distance-prefix pattern","Named-region pattern")</f>
        <v/>
      </c>
      <c r="V492" s="33">
        <f>LOWER(M492)</f>
        <v/>
      </c>
      <c r="W492" s="33">
        <f>IF(COUNTIFS($A$2:$A$1001,A492,$C$2:$C$1001,C492)&gt;1,"Duplicate","Unique")</f>
        <v/>
      </c>
      <c r="X492" s="33">
        <f>YEAR(T492)</f>
        <v/>
      </c>
      <c r="Y492" s="33">
        <f>IF(B492&lt;6.5,"&lt;6.5",IF(B492&lt;7,"6.5–6.9",IF(B492&lt;7.5,"7.0–7.4",IF(B492&lt;8,"7.5–7.9","8.0+"))))</f>
        <v/>
      </c>
      <c r="Z492" s="33">
        <f>IF(F492="","Blank",F492)</f>
        <v/>
      </c>
    </row>
    <row r="493" ht="15" customHeight="1" s="34">
      <c r="A493" s="33" t="inlineStr">
        <is>
          <t>M 6.7 - 99 km NE of Miyako, Japan</t>
        </is>
      </c>
      <c r="B493" s="33" t="n">
        <v>6.7</v>
      </c>
      <c r="C493" s="33" t="inlineStr">
        <is>
          <t>16/09/2011 19:26</t>
        </is>
      </c>
      <c r="D493" s="33" t="n">
        <v>5</v>
      </c>
      <c r="E493" s="33" t="n">
        <v>5</v>
      </c>
      <c r="G493" s="33" t="n">
        <v>0</v>
      </c>
      <c r="H493" s="33" t="n">
        <v>712</v>
      </c>
      <c r="I493" s="33" t="inlineStr">
        <is>
          <t>us</t>
        </is>
      </c>
      <c r="J493" s="33" t="n">
        <v>667</v>
      </c>
      <c r="K493" s="33" t="n">
        <v>0</v>
      </c>
      <c r="L493" s="33" t="n">
        <v>10.9</v>
      </c>
      <c r="M493" s="33" t="inlineStr">
        <is>
          <t>mwc</t>
        </is>
      </c>
      <c r="N493" s="33" t="n">
        <v>30</v>
      </c>
      <c r="O493" s="33" t="n">
        <v>40.273</v>
      </c>
      <c r="P493" s="33" t="n">
        <v>142.779</v>
      </c>
      <c r="Q493" s="33" t="inlineStr">
        <is>
          <t>Miyako, Japan</t>
        </is>
      </c>
      <c r="T493" s="36">
        <f>DATE(MID(C493,7,4),MID(C493,4,2),MID(C493,1,2))+TIME(MID(C493,12,2),MID(C493,15,2),0)</f>
        <v/>
      </c>
      <c r="U493" s="33">
        <f>IF(ISNUMBER(VALUE(MID(A493,7,1))),"Distance-prefix pattern","Named-region pattern")</f>
        <v/>
      </c>
      <c r="V493" s="33">
        <f>LOWER(M493)</f>
        <v/>
      </c>
      <c r="W493" s="33">
        <f>IF(COUNTIFS($A$2:$A$1001,A493,$C$2:$C$1001,C493)&gt;1,"Duplicate","Unique")</f>
        <v/>
      </c>
      <c r="X493" s="33">
        <f>YEAR(T493)</f>
        <v/>
      </c>
      <c r="Y493" s="33">
        <f>IF(B493&lt;6.5,"&lt;6.5",IF(B493&lt;7,"6.5–6.9",IF(B493&lt;7.5,"7.0–7.4",IF(B493&lt;8,"7.5–7.9","8.0+"))))</f>
        <v/>
      </c>
      <c r="Z493" s="33">
        <f>IF(F493="","Blank",F493)</f>
        <v/>
      </c>
    </row>
    <row r="494" ht="15" customHeight="1" s="34">
      <c r="A494" s="33" t="inlineStr">
        <is>
          <t>M 6.7 - 68 km WSW of Kabanjahe, Indonesia</t>
        </is>
      </c>
      <c r="B494" s="33" t="n">
        <v>6.7</v>
      </c>
      <c r="C494" s="33" t="inlineStr">
        <is>
          <t>05/09/2011 17:55</t>
        </is>
      </c>
      <c r="D494" s="33" t="n">
        <v>5</v>
      </c>
      <c r="E494" s="33" t="n">
        <v>6</v>
      </c>
      <c r="G494" s="33" t="n">
        <v>0</v>
      </c>
      <c r="H494" s="33" t="n">
        <v>915</v>
      </c>
      <c r="I494" s="33" t="inlineStr">
        <is>
          <t>us</t>
        </is>
      </c>
      <c r="J494" s="33" t="n">
        <v>447</v>
      </c>
      <c r="K494" s="33" t="n">
        <v>0</v>
      </c>
      <c r="L494" s="33" t="n">
        <v>15.3</v>
      </c>
      <c r="M494" s="33" t="inlineStr">
        <is>
          <t>mww</t>
        </is>
      </c>
      <c r="N494" s="33" t="n">
        <v>91</v>
      </c>
      <c r="O494" s="33" t="n">
        <v>2.965</v>
      </c>
      <c r="P494" s="33" t="n">
        <v>97.893</v>
      </c>
      <c r="Q494" s="33" t="inlineStr">
        <is>
          <t>Kabanjahe, Indonesia</t>
        </is>
      </c>
      <c r="S494" s="33" t="inlineStr">
        <is>
          <t>Indonesia</t>
        </is>
      </c>
      <c r="T494" s="36">
        <f>DATE(MID(C494,7,4),MID(C494,4,2),MID(C494,1,2))+TIME(MID(C494,12,2),MID(C494,15,2),0)</f>
        <v/>
      </c>
      <c r="U494" s="33">
        <f>IF(ISNUMBER(VALUE(MID(A494,7,1))),"Distance-prefix pattern","Named-region pattern")</f>
        <v/>
      </c>
      <c r="V494" s="33">
        <f>LOWER(M494)</f>
        <v/>
      </c>
      <c r="W494" s="33">
        <f>IF(COUNTIFS($A$2:$A$1001,A494,$C$2:$C$1001,C494)&gt;1,"Duplicate","Unique")</f>
        <v/>
      </c>
      <c r="X494" s="33">
        <f>YEAR(T494)</f>
        <v/>
      </c>
      <c r="Y494" s="33">
        <f>IF(B494&lt;6.5,"&lt;6.5",IF(B494&lt;7,"6.5–6.9",IF(B494&lt;7.5,"7.0–7.4",IF(B494&lt;8,"7.5–7.9","8.0+"))))</f>
        <v/>
      </c>
      <c r="Z494" s="33">
        <f>IF(F494="","Blank",F494)</f>
        <v/>
      </c>
    </row>
    <row r="495" ht="15" customHeight="1" s="34">
      <c r="A495" s="33" t="inlineStr">
        <is>
          <t>M 7.0 - 133 km SSE of Isangel, Vanuatu</t>
        </is>
      </c>
      <c r="B495" s="33" t="n">
        <v>7</v>
      </c>
      <c r="C495" s="33" t="inlineStr">
        <is>
          <t>03/09/2011 22:55</t>
        </is>
      </c>
      <c r="D495" s="33" t="n">
        <v>7</v>
      </c>
      <c r="E495" s="33" t="n">
        <v>5</v>
      </c>
      <c r="G495" s="33" t="n">
        <v>0</v>
      </c>
      <c r="H495" s="33" t="n">
        <v>761</v>
      </c>
      <c r="I495" s="33" t="inlineStr">
        <is>
          <t>us</t>
        </is>
      </c>
      <c r="J495" s="33" t="n">
        <v>406</v>
      </c>
      <c r="K495" s="33" t="n">
        <v>0</v>
      </c>
      <c r="L495" s="33" t="n">
        <v>15.3</v>
      </c>
      <c r="M495" s="33" t="inlineStr">
        <is>
          <t>mww</t>
        </is>
      </c>
      <c r="N495" s="33" t="n">
        <v>185.1</v>
      </c>
      <c r="O495" s="33" t="n">
        <v>-20.671</v>
      </c>
      <c r="P495" s="33" t="n">
        <v>169.716</v>
      </c>
      <c r="Q495" s="33" t="inlineStr">
        <is>
          <t>Isangel, Vanuatu</t>
        </is>
      </c>
      <c r="T495" s="36">
        <f>DATE(MID(C495,7,4),MID(C495,4,2),MID(C495,1,2))+TIME(MID(C495,12,2),MID(C495,15,2),0)</f>
        <v/>
      </c>
      <c r="U495" s="33">
        <f>IF(ISNUMBER(VALUE(MID(A495,7,1))),"Distance-prefix pattern","Named-region pattern")</f>
        <v/>
      </c>
      <c r="V495" s="33">
        <f>LOWER(M495)</f>
        <v/>
      </c>
      <c r="W495" s="33">
        <f>IF(COUNTIFS($A$2:$A$1001,A495,$C$2:$C$1001,C495)&gt;1,"Duplicate","Unique")</f>
        <v/>
      </c>
      <c r="X495" s="33">
        <f>YEAR(T495)</f>
        <v/>
      </c>
      <c r="Y495" s="33">
        <f>IF(B495&lt;6.5,"&lt;6.5",IF(B495&lt;7,"6.5–6.9",IF(B495&lt;7.5,"7.0–7.4",IF(B495&lt;8,"7.5–7.9","8.0+"))))</f>
        <v/>
      </c>
      <c r="Z495" s="33">
        <f>IF(F495="","Blank",F495)</f>
        <v/>
      </c>
    </row>
    <row r="496" ht="15" customHeight="1" s="34">
      <c r="A496" s="33" t="inlineStr">
        <is>
          <t>M 7.0 - 64 km ESE of Contamana, Peru</t>
        </is>
      </c>
      <c r="B496" s="33" t="n">
        <v>7</v>
      </c>
      <c r="C496" s="33" t="inlineStr">
        <is>
          <t>24/08/2011 17:46</t>
        </is>
      </c>
      <c r="D496" s="33" t="n">
        <v>6</v>
      </c>
      <c r="E496" s="33" t="n">
        <v>6</v>
      </c>
      <c r="G496" s="33" t="n">
        <v>0</v>
      </c>
      <c r="H496" s="33" t="n">
        <v>913</v>
      </c>
      <c r="I496" s="33" t="inlineStr">
        <is>
          <t>us</t>
        </is>
      </c>
      <c r="J496" s="33" t="n">
        <v>471</v>
      </c>
      <c r="K496" s="33" t="n">
        <v>0</v>
      </c>
      <c r="L496" s="33" t="n">
        <v>26.9</v>
      </c>
      <c r="M496" s="33" t="inlineStr">
        <is>
          <t>mww</t>
        </is>
      </c>
      <c r="N496" s="33" t="n">
        <v>147</v>
      </c>
      <c r="O496" s="33" t="n">
        <v>-7.641</v>
      </c>
      <c r="P496" s="33" t="n">
        <v>-74.52500000000001</v>
      </c>
      <c r="Q496" s="33" t="inlineStr">
        <is>
          <t>Contamana, Peru</t>
        </is>
      </c>
      <c r="R496" s="33" t="inlineStr">
        <is>
          <t>South America</t>
        </is>
      </c>
      <c r="S496" s="33" t="inlineStr">
        <is>
          <t>Peru</t>
        </is>
      </c>
      <c r="T496" s="36">
        <f>DATE(MID(C496,7,4),MID(C496,4,2),MID(C496,1,2))+TIME(MID(C496,12,2),MID(C496,15,2),0)</f>
        <v/>
      </c>
      <c r="U496" s="33">
        <f>IF(ISNUMBER(VALUE(MID(A496,7,1))),"Distance-prefix pattern","Named-region pattern")</f>
        <v/>
      </c>
      <c r="V496" s="33">
        <f>LOWER(M496)</f>
        <v/>
      </c>
      <c r="W496" s="33">
        <f>IF(COUNTIFS($A$2:$A$1001,A496,$C$2:$C$1001,C496)&gt;1,"Duplicate","Unique")</f>
        <v/>
      </c>
      <c r="X496" s="33">
        <f>YEAR(T496)</f>
        <v/>
      </c>
      <c r="Y496" s="33">
        <f>IF(B496&lt;6.5,"&lt;6.5",IF(B496&lt;7,"6.5–6.9",IF(B496&lt;7.5,"7.0–7.4",IF(B496&lt;8,"7.5–7.9","8.0+"))))</f>
        <v/>
      </c>
      <c r="Z496" s="33">
        <f>IF(F496="","Blank",F496)</f>
        <v/>
      </c>
    </row>
    <row r="497" ht="15" customHeight="1" s="34">
      <c r="A497" s="33" t="inlineStr">
        <is>
          <t>M 7.1 - 64 km S of Port-Vila, Vanuatu</t>
        </is>
      </c>
      <c r="B497" s="33" t="n">
        <v>7.1</v>
      </c>
      <c r="C497" s="33" t="inlineStr">
        <is>
          <t>20/08/2011 18:19</t>
        </is>
      </c>
      <c r="D497" s="33" t="n">
        <v>5</v>
      </c>
      <c r="E497" s="33" t="n">
        <v>6</v>
      </c>
      <c r="G497" s="33" t="n">
        <v>0</v>
      </c>
      <c r="H497" s="33" t="n">
        <v>787</v>
      </c>
      <c r="I497" s="33" t="inlineStr">
        <is>
          <t>us</t>
        </is>
      </c>
      <c r="J497" s="33" t="n">
        <v>564</v>
      </c>
      <c r="K497" s="33" t="n">
        <v>0</v>
      </c>
      <c r="L497" s="33" t="n">
        <v>12.3</v>
      </c>
      <c r="M497" s="33" t="inlineStr">
        <is>
          <t>mww</t>
        </is>
      </c>
      <c r="N497" s="33" t="n">
        <v>28</v>
      </c>
      <c r="O497" s="33" t="n">
        <v>-18.311</v>
      </c>
      <c r="P497" s="33" t="n">
        <v>168.218</v>
      </c>
      <c r="Q497" s="33" t="inlineStr">
        <is>
          <t>Port-Vila, Vanuatu</t>
        </is>
      </c>
      <c r="T497" s="36">
        <f>DATE(MID(C497,7,4),MID(C497,4,2),MID(C497,1,2))+TIME(MID(C497,12,2),MID(C497,15,2),0)</f>
        <v/>
      </c>
      <c r="U497" s="33">
        <f>IF(ISNUMBER(VALUE(MID(A497,7,1))),"Distance-prefix pattern","Named-region pattern")</f>
        <v/>
      </c>
      <c r="V497" s="33">
        <f>LOWER(M497)</f>
        <v/>
      </c>
      <c r="W497" s="33">
        <f>IF(COUNTIFS($A$2:$A$1001,A497,$C$2:$C$1001,C497)&gt;1,"Duplicate","Unique")</f>
        <v/>
      </c>
      <c r="X497" s="33">
        <f>YEAR(T497)</f>
        <v/>
      </c>
      <c r="Y497" s="33">
        <f>IF(B497&lt;6.5,"&lt;6.5",IF(B497&lt;7,"6.5–6.9",IF(B497&lt;7.5,"7.0–7.4",IF(B497&lt;8,"7.5–7.9","8.0+"))))</f>
        <v/>
      </c>
      <c r="Z497" s="33">
        <f>IF(F497="","Blank",F497)</f>
        <v/>
      </c>
    </row>
    <row r="498" ht="15" customHeight="1" s="34">
      <c r="A498" s="33" t="inlineStr">
        <is>
          <t>M 6.5 - 65 km SSW of Port-Vila, Vanuatu</t>
        </is>
      </c>
      <c r="B498" s="33" t="n">
        <v>6.5</v>
      </c>
      <c r="C498" s="33" t="inlineStr">
        <is>
          <t>20/08/2011 17:13</t>
        </is>
      </c>
      <c r="D498" s="33" t="n">
        <v>0</v>
      </c>
      <c r="E498" s="33" t="n">
        <v>5</v>
      </c>
      <c r="G498" s="33" t="n">
        <v>0</v>
      </c>
      <c r="H498" s="33" t="n">
        <v>650</v>
      </c>
      <c r="I498" s="33" t="inlineStr">
        <is>
          <t>us</t>
        </is>
      </c>
      <c r="J498" s="33" t="n">
        <v>322</v>
      </c>
      <c r="K498" s="33" t="n">
        <v>0</v>
      </c>
      <c r="L498" s="33" t="n">
        <v>15</v>
      </c>
      <c r="M498" s="33" t="inlineStr">
        <is>
          <t>mwc</t>
        </is>
      </c>
      <c r="N498" s="33" t="n">
        <v>35</v>
      </c>
      <c r="O498" s="33" t="n">
        <v>-18.308</v>
      </c>
      <c r="P498" s="33" t="n">
        <v>168.156</v>
      </c>
      <c r="Q498" s="33" t="inlineStr">
        <is>
          <t>Port-Vila, Vanuatu</t>
        </is>
      </c>
      <c r="T498" s="36">
        <f>DATE(MID(C498,7,4),MID(C498,4,2),MID(C498,1,2))+TIME(MID(C498,12,2),MID(C498,15,2),0)</f>
        <v/>
      </c>
      <c r="U498" s="33">
        <f>IF(ISNUMBER(VALUE(MID(A498,7,1))),"Distance-prefix pattern","Named-region pattern")</f>
        <v/>
      </c>
      <c r="V498" s="33">
        <f>LOWER(M498)</f>
        <v/>
      </c>
      <c r="W498" s="33">
        <f>IF(COUNTIFS($A$2:$A$1001,A498,$C$2:$C$1001,C498)&gt;1,"Duplicate","Unique")</f>
        <v/>
      </c>
      <c r="X498" s="33">
        <f>YEAR(T498)</f>
        <v/>
      </c>
      <c r="Y498" s="33">
        <f>IF(B498&lt;6.5,"&lt;6.5",IF(B498&lt;7,"6.5–6.9",IF(B498&lt;7.5,"7.0–7.4",IF(B498&lt;8,"7.5–7.9","8.0+"))))</f>
        <v/>
      </c>
      <c r="Z498" s="33">
        <f>IF(F498="","Blank",F498)</f>
        <v/>
      </c>
    </row>
    <row r="499" ht="15" customHeight="1" s="34">
      <c r="A499" s="33" t="inlineStr">
        <is>
          <t>M 7.2 - 71 km SSW of Port-Vila, Vanuatu</t>
        </is>
      </c>
      <c r="B499" s="33" t="n">
        <v>7.2</v>
      </c>
      <c r="C499" s="33" t="inlineStr">
        <is>
          <t>20/08/2011 16:55</t>
        </is>
      </c>
      <c r="D499" s="33" t="n">
        <v>8</v>
      </c>
      <c r="E499" s="33" t="n">
        <v>6</v>
      </c>
      <c r="G499" s="33" t="n">
        <v>0</v>
      </c>
      <c r="H499" s="33" t="n">
        <v>813</v>
      </c>
      <c r="I499" s="33" t="inlineStr">
        <is>
          <t>us</t>
        </is>
      </c>
      <c r="J499" s="33" t="n">
        <v>280</v>
      </c>
      <c r="K499" s="33" t="n">
        <v>0</v>
      </c>
      <c r="L499" s="33" t="n">
        <v>18.4</v>
      </c>
      <c r="M499" s="33" t="inlineStr">
        <is>
          <t>mww</t>
        </is>
      </c>
      <c r="N499" s="33" t="n">
        <v>32</v>
      </c>
      <c r="O499" s="33" t="n">
        <v>-18.365</v>
      </c>
      <c r="P499" s="33" t="n">
        <v>168.143</v>
      </c>
      <c r="Q499" s="33" t="inlineStr">
        <is>
          <t>Port-Vila, Vanuatu</t>
        </is>
      </c>
      <c r="T499" s="36">
        <f>DATE(MID(C499,7,4),MID(C499,4,2),MID(C499,1,2))+TIME(MID(C499,12,2),MID(C499,15,2),0)</f>
        <v/>
      </c>
      <c r="U499" s="33">
        <f>IF(ISNUMBER(VALUE(MID(A499,7,1))),"Distance-prefix pattern","Named-region pattern")</f>
        <v/>
      </c>
      <c r="V499" s="33">
        <f>LOWER(M499)</f>
        <v/>
      </c>
      <c r="W499" s="33">
        <f>IF(COUNTIFS($A$2:$A$1001,A499,$C$2:$C$1001,C499)&gt;1,"Duplicate","Unique")</f>
        <v/>
      </c>
      <c r="X499" s="33">
        <f>YEAR(T499)</f>
        <v/>
      </c>
      <c r="Y499" s="33">
        <f>IF(B499&lt;6.5,"&lt;6.5",IF(B499&lt;7,"6.5–6.9",IF(B499&lt;7.5,"7.0–7.4",IF(B499&lt;8,"7.5–7.9","8.0+"))))</f>
        <v/>
      </c>
      <c r="Z499" s="33">
        <f>IF(F499="","Blank",F499)</f>
        <v/>
      </c>
    </row>
    <row r="500" ht="15" customHeight="1" s="34">
      <c r="A500" s="33" t="inlineStr">
        <is>
          <t>M 6.6 - 103 km NE of Angoram, Papua New Guinea</t>
        </is>
      </c>
      <c r="B500" s="33" t="n">
        <v>6.6</v>
      </c>
      <c r="C500" s="33" t="inlineStr">
        <is>
          <t>31/07/2011 23:38</t>
        </is>
      </c>
      <c r="D500" s="33" t="n">
        <v>3</v>
      </c>
      <c r="E500" s="33" t="n">
        <v>6</v>
      </c>
      <c r="G500" s="33" t="n">
        <v>0</v>
      </c>
      <c r="H500" s="33" t="n">
        <v>674</v>
      </c>
      <c r="I500" s="33" t="inlineStr">
        <is>
          <t>us</t>
        </is>
      </c>
      <c r="J500" s="33" t="n">
        <v>229</v>
      </c>
      <c r="K500" s="33" t="n">
        <v>0</v>
      </c>
      <c r="L500" s="33" t="n">
        <v>16.6</v>
      </c>
      <c r="M500" s="33" t="inlineStr">
        <is>
          <t>mww</t>
        </is>
      </c>
      <c r="N500" s="33" t="n">
        <v>10</v>
      </c>
      <c r="O500" s="33" t="n">
        <v>-3.518</v>
      </c>
      <c r="P500" s="33" t="n">
        <v>144.828</v>
      </c>
      <c r="Q500" s="33" t="inlineStr">
        <is>
          <t>Angoram, Papua New Guinea</t>
        </is>
      </c>
      <c r="S500" s="33" t="inlineStr">
        <is>
          <t>Papua New Guinea</t>
        </is>
      </c>
      <c r="T500" s="36">
        <f>DATE(MID(C500,7,4),MID(C500,4,2),MID(C500,1,2))+TIME(MID(C500,12,2),MID(C500,15,2),0)</f>
        <v/>
      </c>
      <c r="U500" s="33">
        <f>IF(ISNUMBER(VALUE(MID(A500,7,1))),"Distance-prefix pattern","Named-region pattern")</f>
        <v/>
      </c>
      <c r="V500" s="33">
        <f>LOWER(M500)</f>
        <v/>
      </c>
      <c r="W500" s="33">
        <f>IF(COUNTIFS($A$2:$A$1001,A500,$C$2:$C$1001,C500)&gt;1,"Duplicate","Unique")</f>
        <v/>
      </c>
      <c r="X500" s="33">
        <f>YEAR(T500)</f>
        <v/>
      </c>
      <c r="Y500" s="33">
        <f>IF(B500&lt;6.5,"&lt;6.5",IF(B500&lt;7,"6.5–6.9",IF(B500&lt;7.5,"7.0–7.4",IF(B500&lt;8,"7.5–7.9","8.0+"))))</f>
        <v/>
      </c>
      <c r="Z500" s="33">
        <f>IF(F500="","Blank",F500)</f>
        <v/>
      </c>
    </row>
    <row r="501" ht="15" customHeight="1" s="34">
      <c r="A501" s="33" t="inlineStr">
        <is>
          <t>M 7.6 - Kermadec Islands region</t>
        </is>
      </c>
      <c r="B501" s="33" t="n">
        <v>7.6</v>
      </c>
      <c r="C501" s="33" t="inlineStr">
        <is>
          <t>06/07/2011 19:03</t>
        </is>
      </c>
      <c r="D501" s="33" t="n">
        <v>3</v>
      </c>
      <c r="E501" s="33" t="n">
        <v>7</v>
      </c>
      <c r="G501" s="33" t="n">
        <v>0</v>
      </c>
      <c r="H501" s="33" t="n">
        <v>893</v>
      </c>
      <c r="I501" s="33" t="inlineStr">
        <is>
          <t>us</t>
        </is>
      </c>
      <c r="J501" s="33" t="n">
        <v>567</v>
      </c>
      <c r="K501" s="33" t="n">
        <v>0</v>
      </c>
      <c r="L501" s="33" t="n">
        <v>33.5</v>
      </c>
      <c r="M501" s="33" t="inlineStr">
        <is>
          <t>mww</t>
        </is>
      </c>
      <c r="N501" s="33" t="n">
        <v>17</v>
      </c>
      <c r="O501" s="33" t="n">
        <v>-29.539</v>
      </c>
      <c r="P501" s="33" t="n">
        <v>-176.34</v>
      </c>
      <c r="Q501" s="33" t="inlineStr">
        <is>
          <t>Kermadec Islands region</t>
        </is>
      </c>
      <c r="T501" s="36">
        <f>DATE(MID(C501,7,4),MID(C501,4,2),MID(C501,1,2))+TIME(MID(C501,12,2),MID(C501,15,2),0)</f>
        <v/>
      </c>
      <c r="U501" s="33">
        <f>IF(ISNUMBER(VALUE(MID(A501,7,1))),"Distance-prefix pattern","Named-region pattern")</f>
        <v/>
      </c>
      <c r="V501" s="33">
        <f>LOWER(M501)</f>
        <v/>
      </c>
      <c r="W501" s="33">
        <f>IF(COUNTIFS($A$2:$A$1001,A501,$C$2:$C$1001,C501)&gt;1,"Duplicate","Unique")</f>
        <v/>
      </c>
      <c r="X501" s="33">
        <f>YEAR(T501)</f>
        <v/>
      </c>
      <c r="Y501" s="33">
        <f>IF(B501&lt;6.5,"&lt;6.5",IF(B501&lt;7,"6.5–6.9",IF(B501&lt;7.5,"7.0–7.4",IF(B501&lt;8,"7.5–7.9","8.0+"))))</f>
        <v/>
      </c>
      <c r="Z501" s="33">
        <f>IF(F501="","Blank",F501)</f>
        <v/>
      </c>
    </row>
    <row r="502" ht="15" customHeight="1" s="34">
      <c r="A502" s="33" t="inlineStr">
        <is>
          <t>M 6.7 - 41 km NNE of Miyako, Japan</t>
        </is>
      </c>
      <c r="B502" s="33" t="n">
        <v>6.7</v>
      </c>
      <c r="C502" s="33" t="inlineStr">
        <is>
          <t>22/06/2011 21:50</t>
        </is>
      </c>
      <c r="D502" s="33" t="n">
        <v>6</v>
      </c>
      <c r="E502" s="33" t="n">
        <v>6</v>
      </c>
      <c r="G502" s="33" t="n">
        <v>0</v>
      </c>
      <c r="H502" s="33" t="n">
        <v>749</v>
      </c>
      <c r="I502" s="33" t="inlineStr">
        <is>
          <t>us</t>
        </is>
      </c>
      <c r="J502" s="33" t="n">
        <v>592</v>
      </c>
      <c r="K502" s="33" t="n">
        <v>0</v>
      </c>
      <c r="L502" s="33" t="n">
        <v>24.9</v>
      </c>
      <c r="M502" s="33" t="inlineStr">
        <is>
          <t>mww</t>
        </is>
      </c>
      <c r="N502" s="33" t="n">
        <v>33</v>
      </c>
      <c r="O502" s="33" t="n">
        <v>39.955</v>
      </c>
      <c r="P502" s="33" t="n">
        <v>142.205</v>
      </c>
      <c r="Q502" s="33" t="inlineStr">
        <is>
          <t>Miyako, Japan</t>
        </is>
      </c>
      <c r="R502" s="33" t="inlineStr">
        <is>
          <t>Asia</t>
        </is>
      </c>
      <c r="S502" s="33" t="inlineStr">
        <is>
          <t>Japan</t>
        </is>
      </c>
      <c r="T502" s="36">
        <f>DATE(MID(C502,7,4),MID(C502,4,2),MID(C502,1,2))+TIME(MID(C502,12,2),MID(C502,15,2),0)</f>
        <v/>
      </c>
      <c r="U502" s="33">
        <f>IF(ISNUMBER(VALUE(MID(A502,7,1))),"Distance-prefix pattern","Named-region pattern")</f>
        <v/>
      </c>
      <c r="V502" s="33">
        <f>LOWER(M502)</f>
        <v/>
      </c>
      <c r="W502" s="33">
        <f>IF(COUNTIFS($A$2:$A$1001,A502,$C$2:$C$1001,C502)&gt;1,"Duplicate","Unique")</f>
        <v/>
      </c>
      <c r="X502" s="33">
        <f>YEAR(T502)</f>
        <v/>
      </c>
      <c r="Y502" s="33">
        <f>IF(B502&lt;6.5,"&lt;6.5",IF(B502&lt;7,"6.5–6.9",IF(B502&lt;7.5,"7.0–7.4",IF(B502&lt;8,"7.5–7.9","8.0+"))))</f>
        <v/>
      </c>
      <c r="Z502" s="33">
        <f>IF(F502="","Blank",F502)</f>
        <v/>
      </c>
    </row>
    <row r="503" ht="15" customHeight="1" s="34">
      <c r="A503" s="33" t="inlineStr">
        <is>
          <t>M 6.8 - 124 km NE of Wé, New Caledonia</t>
        </is>
      </c>
      <c r="B503" s="33" t="n">
        <v>6.8</v>
      </c>
      <c r="C503" s="33" t="inlineStr">
        <is>
          <t>10/05/2011 08:55</t>
        </is>
      </c>
      <c r="D503" s="33" t="n">
        <v>4</v>
      </c>
      <c r="E503" s="33" t="n">
        <v>5</v>
      </c>
      <c r="G503" s="33" t="n">
        <v>0</v>
      </c>
      <c r="H503" s="33" t="n">
        <v>734</v>
      </c>
      <c r="I503" s="33" t="inlineStr">
        <is>
          <t>us</t>
        </is>
      </c>
      <c r="J503" s="33" t="n">
        <v>519</v>
      </c>
      <c r="K503" s="33" t="n">
        <v>0</v>
      </c>
      <c r="L503" s="33" t="n">
        <v>12.5</v>
      </c>
      <c r="M503" s="33" t="inlineStr">
        <is>
          <t>mww</t>
        </is>
      </c>
      <c r="N503" s="33" t="n">
        <v>11</v>
      </c>
      <c r="O503" s="33" t="n">
        <v>-20.244</v>
      </c>
      <c r="P503" s="33" t="n">
        <v>168.226</v>
      </c>
      <c r="Q503" s="33" t="inlineStr">
        <is>
          <t>Wé, New Caledonia</t>
        </is>
      </c>
      <c r="T503" s="36">
        <f>DATE(MID(C503,7,4),MID(C503,4,2),MID(C503,1,2))+TIME(MID(C503,12,2),MID(C503,15,2),0)</f>
        <v/>
      </c>
      <c r="U503" s="33">
        <f>IF(ISNUMBER(VALUE(MID(A503,7,1))),"Distance-prefix pattern","Named-region pattern")</f>
        <v/>
      </c>
      <c r="V503" s="33">
        <f>LOWER(M503)</f>
        <v/>
      </c>
      <c r="W503" s="33">
        <f>IF(COUNTIFS($A$2:$A$1001,A503,$C$2:$C$1001,C503)&gt;1,"Duplicate","Unique")</f>
        <v/>
      </c>
      <c r="X503" s="33">
        <f>YEAR(T503)</f>
        <v/>
      </c>
      <c r="Y503" s="33">
        <f>IF(B503&lt;6.5,"&lt;6.5",IF(B503&lt;7,"6.5–6.9",IF(B503&lt;7.5,"7.0–7.4",IF(B503&lt;8,"7.5–7.9","8.0+"))))</f>
        <v/>
      </c>
      <c r="Z503" s="33">
        <f>IF(F503="","Blank",F503)</f>
        <v/>
      </c>
    </row>
    <row r="504" ht="15" customHeight="1" s="34">
      <c r="A504" s="33" t="inlineStr">
        <is>
          <t>M 6.8 - 79 km W of Kirakira, Solomon Islands</t>
        </is>
      </c>
      <c r="B504" s="33" t="n">
        <v>6.8</v>
      </c>
      <c r="C504" s="33" t="inlineStr">
        <is>
          <t>23/04/2011 04:16</t>
        </is>
      </c>
      <c r="D504" s="33" t="n">
        <v>5</v>
      </c>
      <c r="E504" s="33" t="n">
        <v>6</v>
      </c>
      <c r="G504" s="33" t="n">
        <v>0</v>
      </c>
      <c r="H504" s="33" t="n">
        <v>719</v>
      </c>
      <c r="I504" s="33" t="inlineStr">
        <is>
          <t>us</t>
        </is>
      </c>
      <c r="J504" s="33" t="n">
        <v>445</v>
      </c>
      <c r="K504" s="33" t="n">
        <v>0</v>
      </c>
      <c r="L504" s="33" t="n">
        <v>13</v>
      </c>
      <c r="M504" s="33" t="inlineStr">
        <is>
          <t>mww</t>
        </is>
      </c>
      <c r="N504" s="33" t="n">
        <v>79</v>
      </c>
      <c r="O504" s="33" t="n">
        <v>-10.375</v>
      </c>
      <c r="P504" s="33" t="n">
        <v>161.2</v>
      </c>
      <c r="Q504" s="33" t="inlineStr">
        <is>
          <t>Kirakira, Solomon Islands</t>
        </is>
      </c>
      <c r="S504" s="33" t="inlineStr">
        <is>
          <t>Solomon Islands</t>
        </is>
      </c>
      <c r="T504" s="36">
        <f>DATE(MID(C504,7,4),MID(C504,4,2),MID(C504,1,2))+TIME(MID(C504,12,2),MID(C504,15,2),0)</f>
        <v/>
      </c>
      <c r="U504" s="33">
        <f>IF(ISNUMBER(VALUE(MID(A504,7,1))),"Distance-prefix pattern","Named-region pattern")</f>
        <v/>
      </c>
      <c r="V504" s="33">
        <f>LOWER(M504)</f>
        <v/>
      </c>
      <c r="W504" s="33">
        <f>IF(COUNTIFS($A$2:$A$1001,A504,$C$2:$C$1001,C504)&gt;1,"Duplicate","Unique")</f>
        <v/>
      </c>
      <c r="X504" s="33">
        <f>YEAR(T504)</f>
        <v/>
      </c>
      <c r="Y504" s="33">
        <f>IF(B504&lt;6.5,"&lt;6.5",IF(B504&lt;7,"6.5–6.9",IF(B504&lt;7.5,"7.0–7.4",IF(B504&lt;8,"7.5–7.9","8.0+"))))</f>
        <v/>
      </c>
      <c r="Z504" s="33">
        <f>IF(F504="","Blank",F504)</f>
        <v/>
      </c>
    </row>
    <row r="505" ht="15" customHeight="1" s="34">
      <c r="A505" s="33" t="inlineStr">
        <is>
          <t>M 6.6 - 17 km SSW of Ishikawa, Japan</t>
        </is>
      </c>
      <c r="B505" s="33" t="n">
        <v>6.6</v>
      </c>
      <c r="C505" s="33" t="inlineStr">
        <is>
          <t>11/04/2011 08:16</t>
        </is>
      </c>
      <c r="D505" s="33" t="n">
        <v>7</v>
      </c>
      <c r="E505" s="33" t="n">
        <v>7</v>
      </c>
      <c r="G505" s="33" t="n">
        <v>0</v>
      </c>
      <c r="H505" s="33" t="n">
        <v>822</v>
      </c>
      <c r="I505" s="33" t="inlineStr">
        <is>
          <t>us</t>
        </is>
      </c>
      <c r="J505" s="33" t="n">
        <v>586</v>
      </c>
      <c r="K505" s="33" t="n">
        <v>0</v>
      </c>
      <c r="L505" s="33" t="n">
        <v>10.1</v>
      </c>
      <c r="M505" s="33" t="inlineStr">
        <is>
          <t>mww</t>
        </is>
      </c>
      <c r="N505" s="33" t="n">
        <v>11</v>
      </c>
      <c r="O505" s="33" t="n">
        <v>37.001</v>
      </c>
      <c r="P505" s="33" t="n">
        <v>140.401</v>
      </c>
      <c r="Q505" s="33" t="inlineStr">
        <is>
          <t>Ishikawa, Japan</t>
        </is>
      </c>
      <c r="R505" s="33" t="inlineStr">
        <is>
          <t>Asia</t>
        </is>
      </c>
      <c r="S505" s="33" t="inlineStr">
        <is>
          <t>Japan</t>
        </is>
      </c>
      <c r="T505" s="36">
        <f>DATE(MID(C505,7,4),MID(C505,4,2),MID(C505,1,2))+TIME(MID(C505,12,2),MID(C505,15,2),0)</f>
        <v/>
      </c>
      <c r="U505" s="33">
        <f>IF(ISNUMBER(VALUE(MID(A505,7,1))),"Distance-prefix pattern","Named-region pattern")</f>
        <v/>
      </c>
      <c r="V505" s="33">
        <f>LOWER(M505)</f>
        <v/>
      </c>
      <c r="W505" s="33">
        <f>IF(COUNTIFS($A$2:$A$1001,A505,$C$2:$C$1001,C505)&gt;1,"Duplicate","Unique")</f>
        <v/>
      </c>
      <c r="X505" s="33">
        <f>YEAR(T505)</f>
        <v/>
      </c>
      <c r="Y505" s="33">
        <f>IF(B505&lt;6.5,"&lt;6.5",IF(B505&lt;7,"6.5–6.9",IF(B505&lt;7.5,"7.0–7.4",IF(B505&lt;8,"7.5–7.9","8.0+"))))</f>
        <v/>
      </c>
      <c r="Z505" s="33">
        <f>IF(F505="","Blank",F505)</f>
        <v/>
      </c>
    </row>
    <row r="506" ht="15" customHeight="1" s="34">
      <c r="A506" s="33" t="inlineStr">
        <is>
          <t>M 7.1 - 29 km ESE of Ishinomaki, Japan</t>
        </is>
      </c>
      <c r="B506" s="33" t="n">
        <v>7.1</v>
      </c>
      <c r="C506" s="33" t="inlineStr">
        <is>
          <t>07/04/2011 14:32</t>
        </is>
      </c>
      <c r="D506" s="33" t="n">
        <v>8</v>
      </c>
      <c r="E506" s="33" t="n">
        <v>8</v>
      </c>
      <c r="G506" s="33" t="n">
        <v>0</v>
      </c>
      <c r="H506" s="33" t="n">
        <v>1114</v>
      </c>
      <c r="I506" s="33" t="inlineStr">
        <is>
          <t>us</t>
        </is>
      </c>
      <c r="J506" s="33" t="n">
        <v>446</v>
      </c>
      <c r="K506" s="33" t="n">
        <v>0</v>
      </c>
      <c r="L506" s="33" t="n">
        <v>17.7</v>
      </c>
      <c r="M506" s="33" t="inlineStr">
        <is>
          <t>mww</t>
        </is>
      </c>
      <c r="N506" s="33" t="n">
        <v>42</v>
      </c>
      <c r="O506" s="33" t="n">
        <v>38.276</v>
      </c>
      <c r="P506" s="33" t="n">
        <v>141.588</v>
      </c>
      <c r="Q506" s="33" t="inlineStr">
        <is>
          <t>Ishinomaki, Japan</t>
        </is>
      </c>
      <c r="R506" s="33" t="inlineStr">
        <is>
          <t>Asia</t>
        </is>
      </c>
      <c r="S506" s="33" t="inlineStr">
        <is>
          <t>Japan</t>
        </is>
      </c>
      <c r="T506" s="36">
        <f>DATE(MID(C506,7,4),MID(C506,4,2),MID(C506,1,2))+TIME(MID(C506,12,2),MID(C506,15,2),0)</f>
        <v/>
      </c>
      <c r="U506" s="33">
        <f>IF(ISNUMBER(VALUE(MID(A506,7,1))),"Distance-prefix pattern","Named-region pattern")</f>
        <v/>
      </c>
      <c r="V506" s="33">
        <f>LOWER(M506)</f>
        <v/>
      </c>
      <c r="W506" s="33">
        <f>IF(COUNTIFS($A$2:$A$1001,A506,$C$2:$C$1001,C506)&gt;1,"Duplicate","Unique")</f>
        <v/>
      </c>
      <c r="X506" s="33">
        <f>YEAR(T506)</f>
        <v/>
      </c>
      <c r="Y506" s="33">
        <f>IF(B506&lt;6.5,"&lt;6.5",IF(B506&lt;7,"6.5–6.9",IF(B506&lt;7.5,"7.0–7.4",IF(B506&lt;8,"7.5–7.9","8.0+"))))</f>
        <v/>
      </c>
      <c r="Z506" s="33">
        <f>IF(F506="","Blank",F506)</f>
        <v/>
      </c>
    </row>
    <row r="507" ht="15" customHeight="1" s="34">
      <c r="A507" s="33" t="inlineStr">
        <is>
          <t>M 6.6 - 7 km SW of Helio García Alfaro, Mexico</t>
        </is>
      </c>
      <c r="B507" s="33" t="n">
        <v>6.6</v>
      </c>
      <c r="C507" s="33" t="inlineStr">
        <is>
          <t>07/04/2011 13:11</t>
        </is>
      </c>
      <c r="D507" s="33" t="n">
        <v>7</v>
      </c>
      <c r="E507" s="33" t="n">
        <v>6</v>
      </c>
      <c r="G507" s="33" t="n">
        <v>0</v>
      </c>
      <c r="H507" s="33" t="n">
        <v>897</v>
      </c>
      <c r="I507" s="33" t="inlineStr">
        <is>
          <t>us</t>
        </is>
      </c>
      <c r="J507" s="33" t="n">
        <v>518</v>
      </c>
      <c r="K507" s="33" t="n">
        <v>0</v>
      </c>
      <c r="L507" s="33" t="n">
        <v>37.2</v>
      </c>
      <c r="M507" s="33" t="inlineStr">
        <is>
          <t>mww</t>
        </is>
      </c>
      <c r="N507" s="33" t="n">
        <v>166.2</v>
      </c>
      <c r="O507" s="33" t="n">
        <v>17.208</v>
      </c>
      <c r="P507" s="33" t="n">
        <v>-94.33799999999999</v>
      </c>
      <c r="Q507" s="33" t="inlineStr">
        <is>
          <t>Helio García Alfaro, Mexico</t>
        </is>
      </c>
      <c r="S507" s="33" t="inlineStr">
        <is>
          <t>Mexico</t>
        </is>
      </c>
      <c r="T507" s="36">
        <f>DATE(MID(C507,7,4),MID(C507,4,2),MID(C507,1,2))+TIME(MID(C507,12,2),MID(C507,15,2),0)</f>
        <v/>
      </c>
      <c r="U507" s="33">
        <f>IF(ISNUMBER(VALUE(MID(A507,7,1))),"Distance-prefix pattern","Named-region pattern")</f>
        <v/>
      </c>
      <c r="V507" s="33">
        <f>LOWER(M507)</f>
        <v/>
      </c>
      <c r="W507" s="33">
        <f>IF(COUNTIFS($A$2:$A$1001,A507,$C$2:$C$1001,C507)&gt;1,"Duplicate","Unique")</f>
        <v/>
      </c>
      <c r="X507" s="33">
        <f>YEAR(T507)</f>
        <v/>
      </c>
      <c r="Y507" s="33">
        <f>IF(B507&lt;6.5,"&lt;6.5",IF(B507&lt;7,"6.5–6.9",IF(B507&lt;7.5,"7.0–7.4",IF(B507&lt;8,"7.5–7.9","8.0+"))))</f>
        <v/>
      </c>
      <c r="Z507" s="33">
        <f>IF(F507="","Blank",F507)</f>
        <v/>
      </c>
    </row>
    <row r="508" ht="15" customHeight="1" s="34">
      <c r="A508" s="33" t="inlineStr">
        <is>
          <t>M 6.9 - 27 km NNW of Tachilek, Myanmar</t>
        </is>
      </c>
      <c r="B508" s="33" t="n">
        <v>6.9</v>
      </c>
      <c r="C508" s="33" t="inlineStr">
        <is>
          <t>24/03/2011 13:55</t>
        </is>
      </c>
      <c r="D508" s="33" t="n">
        <v>7</v>
      </c>
      <c r="E508" s="33" t="n">
        <v>9</v>
      </c>
      <c r="G508" s="33" t="n">
        <v>0</v>
      </c>
      <c r="H508" s="33" t="n">
        <v>1154</v>
      </c>
      <c r="I508" s="33" t="inlineStr">
        <is>
          <t>us</t>
        </is>
      </c>
      <c r="J508" s="33" t="n">
        <v>335</v>
      </c>
      <c r="K508" s="33" t="n">
        <v>0</v>
      </c>
      <c r="L508" s="33" t="n">
        <v>18.2</v>
      </c>
      <c r="M508" s="33" t="inlineStr">
        <is>
          <t>mww</t>
        </is>
      </c>
      <c r="N508" s="33" t="n">
        <v>8</v>
      </c>
      <c r="O508" s="33" t="n">
        <v>20.687</v>
      </c>
      <c r="P508" s="33" t="n">
        <v>99.822</v>
      </c>
      <c r="Q508" s="33" t="inlineStr">
        <is>
          <t>Tachilek, Myanmar</t>
        </is>
      </c>
      <c r="R508" s="33" t="inlineStr">
        <is>
          <t>Asia</t>
        </is>
      </c>
      <c r="S508" s="33" t="inlineStr">
        <is>
          <t>Myanmar</t>
        </is>
      </c>
      <c r="T508" s="36">
        <f>DATE(MID(C508,7,4),MID(C508,4,2),MID(C508,1,2))+TIME(MID(C508,12,2),MID(C508,15,2),0)</f>
        <v/>
      </c>
      <c r="U508" s="33">
        <f>IF(ISNUMBER(VALUE(MID(A508,7,1))),"Distance-prefix pattern","Named-region pattern")</f>
        <v/>
      </c>
      <c r="V508" s="33">
        <f>LOWER(M508)</f>
        <v/>
      </c>
      <c r="W508" s="33">
        <f>IF(COUNTIFS($A$2:$A$1001,A508,$C$2:$C$1001,C508)&gt;1,"Duplicate","Unique")</f>
        <v/>
      </c>
      <c r="X508" s="33">
        <f>YEAR(T508)</f>
        <v/>
      </c>
      <c r="Y508" s="33">
        <f>IF(B508&lt;6.5,"&lt;6.5",IF(B508&lt;7,"6.5–6.9",IF(B508&lt;7.5,"7.0–7.4",IF(B508&lt;8,"7.5–7.9","8.0+"))))</f>
        <v/>
      </c>
      <c r="Z508" s="33">
        <f>IF(F508="","Blank",F508)</f>
        <v/>
      </c>
    </row>
    <row r="509" ht="15" customHeight="1" s="34">
      <c r="A509" s="33" t="inlineStr">
        <is>
          <t>M 6.6 - 50 km ESE of ?tsuchi, Japan</t>
        </is>
      </c>
      <c r="B509" s="33" t="n">
        <v>6.6</v>
      </c>
      <c r="C509" s="33" t="inlineStr">
        <is>
          <t>11/03/2011 11:36</t>
        </is>
      </c>
      <c r="D509" s="33" t="n">
        <v>6</v>
      </c>
      <c r="E509" s="33" t="n">
        <v>5</v>
      </c>
      <c r="G509" s="33" t="n">
        <v>0</v>
      </c>
      <c r="H509" s="33" t="n">
        <v>673</v>
      </c>
      <c r="I509" s="33" t="inlineStr">
        <is>
          <t>us</t>
        </is>
      </c>
      <c r="J509" s="33" t="n">
        <v>668</v>
      </c>
      <c r="K509" s="33" t="n">
        <v>0</v>
      </c>
      <c r="L509" s="33" t="n">
        <v>9.5</v>
      </c>
      <c r="M509" s="33" t="inlineStr">
        <is>
          <t>ms</t>
        </is>
      </c>
      <c r="N509" s="33" t="n">
        <v>25.7</v>
      </c>
      <c r="O509" s="33" t="n">
        <v>39.241</v>
      </c>
      <c r="P509" s="33" t="n">
        <v>142.463</v>
      </c>
      <c r="Q509" s="33" t="inlineStr">
        <is>
          <t>?tsuchi, Japan</t>
        </is>
      </c>
      <c r="T509" s="36">
        <f>DATE(MID(C509,7,4),MID(C509,4,2),MID(C509,1,2))+TIME(MID(C509,12,2),MID(C509,15,2),0)</f>
        <v/>
      </c>
      <c r="U509" s="33">
        <f>IF(ISNUMBER(VALUE(MID(A509,7,1))),"Distance-prefix pattern","Named-region pattern")</f>
        <v/>
      </c>
      <c r="V509" s="33">
        <f>LOWER(M509)</f>
        <v/>
      </c>
      <c r="W509" s="33">
        <f>IF(COUNTIFS($A$2:$A$1001,A509,$C$2:$C$1001,C509)&gt;1,"Duplicate","Unique")</f>
        <v/>
      </c>
      <c r="X509" s="33">
        <f>YEAR(T509)</f>
        <v/>
      </c>
      <c r="Y509" s="33">
        <f>IF(B509&lt;6.5,"&lt;6.5",IF(B509&lt;7,"6.5–6.9",IF(B509&lt;7.5,"7.0–7.4",IF(B509&lt;8,"7.5–7.9","8.0+"))))</f>
        <v/>
      </c>
      <c r="Z509" s="33">
        <f>IF(F509="","Blank",F509)</f>
        <v/>
      </c>
    </row>
    <row r="510" ht="15" customHeight="1" s="34">
      <c r="A510" s="33" t="inlineStr">
        <is>
          <t>M 6.5 - 81 km NE of Hasaki, Japan</t>
        </is>
      </c>
      <c r="B510" s="33" t="n">
        <v>6.5</v>
      </c>
      <c r="C510" s="33" t="inlineStr">
        <is>
          <t>11/03/2011 08:19</t>
        </is>
      </c>
      <c r="D510" s="33" t="n">
        <v>0</v>
      </c>
      <c r="E510" s="33" t="n">
        <v>4</v>
      </c>
      <c r="G510" s="33" t="n">
        <v>0</v>
      </c>
      <c r="H510" s="33" t="n">
        <v>650</v>
      </c>
      <c r="I510" s="33" t="inlineStr">
        <is>
          <t>us</t>
        </is>
      </c>
      <c r="J510" s="33" t="n">
        <v>369</v>
      </c>
      <c r="K510" s="33" t="n">
        <v>0</v>
      </c>
      <c r="L510" s="33" t="n">
        <v>18.7</v>
      </c>
      <c r="M510" s="33" t="inlineStr">
        <is>
          <t>mb</t>
        </is>
      </c>
      <c r="N510" s="33" t="n">
        <v>6.8</v>
      </c>
      <c r="O510" s="33" t="n">
        <v>36.166</v>
      </c>
      <c r="P510" s="33" t="n">
        <v>141.562</v>
      </c>
      <c r="Q510" s="33" t="inlineStr">
        <is>
          <t>Hasaki, Japan</t>
        </is>
      </c>
      <c r="T510" s="36">
        <f>DATE(MID(C510,7,4),MID(C510,4,2),MID(C510,1,2))+TIME(MID(C510,12,2),MID(C510,15,2),0)</f>
        <v/>
      </c>
      <c r="U510" s="33">
        <f>IF(ISNUMBER(VALUE(MID(A510,7,1))),"Distance-prefix pattern","Named-region pattern")</f>
        <v/>
      </c>
      <c r="V510" s="33">
        <f>LOWER(M510)</f>
        <v/>
      </c>
      <c r="W510" s="33">
        <f>IF(COUNTIFS($A$2:$A$1001,A510,$C$2:$C$1001,C510)&gt;1,"Duplicate","Unique")</f>
        <v/>
      </c>
      <c r="X510" s="33">
        <f>YEAR(T510)</f>
        <v/>
      </c>
      <c r="Y510" s="33">
        <f>IF(B510&lt;6.5,"&lt;6.5",IF(B510&lt;7,"6.5–6.9",IF(B510&lt;7.5,"7.0–7.4",IF(B510&lt;8,"7.5–7.9","8.0+"))))</f>
        <v/>
      </c>
      <c r="Z510" s="33">
        <f>IF(F510="","Blank",F510)</f>
        <v/>
      </c>
    </row>
    <row r="511" ht="15" customHeight="1" s="34">
      <c r="A511" s="33" t="inlineStr">
        <is>
          <t>M 7.7 - 272 km ESE of Kamaishi, Japan</t>
        </is>
      </c>
      <c r="B511" s="33" t="n">
        <v>7.7</v>
      </c>
      <c r="C511" s="33" t="inlineStr">
        <is>
          <t>11/03/2011 06:25</t>
        </is>
      </c>
      <c r="D511" s="33" t="n">
        <v>7</v>
      </c>
      <c r="E511" s="33" t="n">
        <v>4</v>
      </c>
      <c r="G511" s="33" t="n">
        <v>0</v>
      </c>
      <c r="H511" s="33" t="n">
        <v>931</v>
      </c>
      <c r="I511" s="33" t="inlineStr">
        <is>
          <t>us</t>
        </is>
      </c>
      <c r="J511" s="33" t="n">
        <v>507</v>
      </c>
      <c r="K511" s="33" t="n">
        <v>0</v>
      </c>
      <c r="L511" s="33" t="n">
        <v>10.8</v>
      </c>
      <c r="M511" s="33" t="inlineStr">
        <is>
          <t>mwc</t>
        </is>
      </c>
      <c r="N511" s="33" t="n">
        <v>18.6</v>
      </c>
      <c r="O511" s="33" t="n">
        <v>38.058</v>
      </c>
      <c r="P511" s="33" t="n">
        <v>144.59</v>
      </c>
      <c r="Q511" s="33" t="inlineStr">
        <is>
          <t>Kamaishi, Japan</t>
        </is>
      </c>
      <c r="T511" s="36">
        <f>DATE(MID(C511,7,4),MID(C511,4,2),MID(C511,1,2))+TIME(MID(C511,12,2),MID(C511,15,2),0)</f>
        <v/>
      </c>
      <c r="U511" s="33">
        <f>IF(ISNUMBER(VALUE(MID(A511,7,1))),"Distance-prefix pattern","Named-region pattern")</f>
        <v/>
      </c>
      <c r="V511" s="33">
        <f>LOWER(M511)</f>
        <v/>
      </c>
      <c r="W511" s="33">
        <f>IF(COUNTIFS($A$2:$A$1001,A511,$C$2:$C$1001,C511)&gt;1,"Duplicate","Unique")</f>
        <v/>
      </c>
      <c r="X511" s="33">
        <f>YEAR(T511)</f>
        <v/>
      </c>
      <c r="Y511" s="33">
        <f>IF(B511&lt;6.5,"&lt;6.5",IF(B511&lt;7,"6.5–6.9",IF(B511&lt;7.5,"7.0–7.4",IF(B511&lt;8,"7.5–7.9","8.0+"))))</f>
        <v/>
      </c>
      <c r="Z511" s="33">
        <f>IF(F511="","Blank",F511)</f>
        <v/>
      </c>
    </row>
    <row r="512" ht="15" customHeight="1" s="34">
      <c r="A512" s="33" t="inlineStr">
        <is>
          <t>M 7.9 - 47 km E of ?arai, Japan</t>
        </is>
      </c>
      <c r="B512" s="33" t="n">
        <v>7.9</v>
      </c>
      <c r="C512" s="33" t="inlineStr">
        <is>
          <t>11/03/2011 06:15</t>
        </is>
      </c>
      <c r="D512" s="33" t="n">
        <v>8</v>
      </c>
      <c r="E512" s="33" t="n">
        <v>7</v>
      </c>
      <c r="G512" s="33" t="n">
        <v>0</v>
      </c>
      <c r="H512" s="33" t="n">
        <v>1140</v>
      </c>
      <c r="I512" s="33" t="inlineStr">
        <is>
          <t>us</t>
        </is>
      </c>
      <c r="J512" s="33" t="n">
        <v>163</v>
      </c>
      <c r="K512" s="33" t="n">
        <v>0</v>
      </c>
      <c r="L512" s="33" t="n">
        <v>48.4</v>
      </c>
      <c r="M512" s="33" t="inlineStr">
        <is>
          <t>mwc</t>
        </is>
      </c>
      <c r="N512" s="33" t="n">
        <v>42.6</v>
      </c>
      <c r="O512" s="33" t="n">
        <v>36.281</v>
      </c>
      <c r="P512" s="33" t="n">
        <v>141.111</v>
      </c>
      <c r="Q512" s="33" t="inlineStr">
        <is>
          <t>?arai, Japan</t>
        </is>
      </c>
      <c r="T512" s="36">
        <f>DATE(MID(C512,7,4),MID(C512,4,2),MID(C512,1,2))+TIME(MID(C512,12,2),MID(C512,15,2),0)</f>
        <v/>
      </c>
      <c r="U512" s="33">
        <f>IF(ISNUMBER(VALUE(MID(A512,7,1))),"Distance-prefix pattern","Named-region pattern")</f>
        <v/>
      </c>
      <c r="V512" s="33">
        <f>LOWER(M512)</f>
        <v/>
      </c>
      <c r="W512" s="33">
        <f>IF(COUNTIFS($A$2:$A$1001,A512,$C$2:$C$1001,C512)&gt;1,"Duplicate","Unique")</f>
        <v/>
      </c>
      <c r="X512" s="33">
        <f>YEAR(T512)</f>
        <v/>
      </c>
      <c r="Y512" s="33">
        <f>IF(B512&lt;6.5,"&lt;6.5",IF(B512&lt;7,"6.5–6.9",IF(B512&lt;7.5,"7.0–7.4",IF(B512&lt;8,"7.5–7.9","8.0+"))))</f>
        <v/>
      </c>
      <c r="Z512" s="33">
        <f>IF(F512="","Blank",F512)</f>
        <v/>
      </c>
    </row>
    <row r="513" ht="15" customHeight="1" s="34">
      <c r="A513" s="33" t="inlineStr">
        <is>
          <t>M 9.1 - 2011 Great Tohoku Earthquake, Japan</t>
        </is>
      </c>
      <c r="B513" s="33" t="n">
        <v>9.1</v>
      </c>
      <c r="C513" s="33" t="inlineStr">
        <is>
          <t>11/03/2011 05:46</t>
        </is>
      </c>
      <c r="D513" s="33" t="n">
        <v>9</v>
      </c>
      <c r="E513" s="33" t="n">
        <v>8</v>
      </c>
      <c r="G513" s="33" t="n">
        <v>0</v>
      </c>
      <c r="H513" s="33" t="n">
        <v>2184</v>
      </c>
      <c r="I513" s="33" t="inlineStr">
        <is>
          <t>official</t>
        </is>
      </c>
      <c r="J513" s="33" t="n">
        <v>541</v>
      </c>
      <c r="K513" s="33" t="n">
        <v>0</v>
      </c>
      <c r="L513" s="33" t="n">
        <v>9.5</v>
      </c>
      <c r="M513" s="33" t="inlineStr">
        <is>
          <t>mww</t>
        </is>
      </c>
      <c r="N513" s="33" t="n">
        <v>29</v>
      </c>
      <c r="O513" s="33" t="n">
        <v>38.297</v>
      </c>
      <c r="P513" s="33" t="n">
        <v>142.373</v>
      </c>
      <c r="Q513" s="33" t="inlineStr">
        <is>
          <t>2011 Great Tohoku Earthquake, Japan</t>
        </is>
      </c>
      <c r="T513" s="36">
        <f>DATE(MID(C513,7,4),MID(C513,4,2),MID(C513,1,2))+TIME(MID(C513,12,2),MID(C513,15,2),0)</f>
        <v/>
      </c>
      <c r="U513" s="33">
        <f>IF(ISNUMBER(VALUE(MID(A513,7,1))),"Distance-prefix pattern","Named-region pattern")</f>
        <v/>
      </c>
      <c r="V513" s="33">
        <f>LOWER(M513)</f>
        <v/>
      </c>
      <c r="W513" s="33">
        <f>IF(COUNTIFS($A$2:$A$1001,A513,$C$2:$C$1001,C513)&gt;1,"Duplicate","Unique")</f>
        <v/>
      </c>
      <c r="X513" s="33">
        <f>YEAR(T513)</f>
        <v/>
      </c>
      <c r="Y513" s="33">
        <f>IF(B513&lt;6.5,"&lt;6.5",IF(B513&lt;7,"6.5–6.9",IF(B513&lt;7.5,"7.0–7.4",IF(B513&lt;8,"7.5–7.9","8.0+"))))</f>
        <v/>
      </c>
      <c r="Z513" s="33">
        <f>IF(F513="","Blank",F513)</f>
        <v/>
      </c>
    </row>
    <row r="514" ht="15" customHeight="1" s="34">
      <c r="A514" s="33" t="inlineStr">
        <is>
          <t>M 7.3 - 120 km SE of ?funato, Japan</t>
        </is>
      </c>
      <c r="B514" s="33" t="n">
        <v>7.3</v>
      </c>
      <c r="C514" s="33" t="inlineStr">
        <is>
          <t>09/03/2011 02:45</t>
        </is>
      </c>
      <c r="D514" s="33" t="n">
        <v>5</v>
      </c>
      <c r="E514" s="33" t="n">
        <v>5</v>
      </c>
      <c r="G514" s="33" t="n">
        <v>0</v>
      </c>
      <c r="H514" s="33" t="n">
        <v>972</v>
      </c>
      <c r="I514" s="33" t="inlineStr">
        <is>
          <t>us</t>
        </is>
      </c>
      <c r="J514" s="33" t="n">
        <v>550</v>
      </c>
      <c r="K514" s="33" t="n">
        <v>0</v>
      </c>
      <c r="L514" s="33" t="n">
        <v>17.4</v>
      </c>
      <c r="M514" s="33" t="inlineStr">
        <is>
          <t>mww</t>
        </is>
      </c>
      <c r="N514" s="33" t="n">
        <v>32</v>
      </c>
      <c r="O514" s="33" t="n">
        <v>38.435</v>
      </c>
      <c r="P514" s="33" t="n">
        <v>142.842</v>
      </c>
      <c r="Q514" s="33" t="inlineStr">
        <is>
          <t>?funato, Japan</t>
        </is>
      </c>
      <c r="T514" s="36">
        <f>DATE(MID(C514,7,4),MID(C514,4,2),MID(C514,1,2))+TIME(MID(C514,12,2),MID(C514,15,2),0)</f>
        <v/>
      </c>
      <c r="U514" s="33">
        <f>IF(ISNUMBER(VALUE(MID(A514,7,1))),"Distance-prefix pattern","Named-region pattern")</f>
        <v/>
      </c>
      <c r="V514" s="33">
        <f>LOWER(M514)</f>
        <v/>
      </c>
      <c r="W514" s="33">
        <f>IF(COUNTIFS($A$2:$A$1001,A514,$C$2:$C$1001,C514)&gt;1,"Duplicate","Unique")</f>
        <v/>
      </c>
      <c r="X514" s="33">
        <f>YEAR(T514)</f>
        <v/>
      </c>
      <c r="Y514" s="33">
        <f>IF(B514&lt;6.5,"&lt;6.5",IF(B514&lt;7,"6.5–6.9",IF(B514&lt;7.5,"7.0–7.4",IF(B514&lt;8,"7.5–7.9","8.0+"))))</f>
        <v/>
      </c>
      <c r="Z514" s="33">
        <f>IF(F514="","Blank",F514)</f>
        <v/>
      </c>
    </row>
    <row r="515" ht="15" customHeight="1" s="34">
      <c r="A515" s="33" t="inlineStr">
        <is>
          <t>M 6.7 - 38 km W of Constitución, Chile</t>
        </is>
      </c>
      <c r="B515" s="33" t="n">
        <v>6.7</v>
      </c>
      <c r="C515" s="33" t="inlineStr">
        <is>
          <t>14/02/2011 03:40</t>
        </is>
      </c>
      <c r="D515" s="33" t="n">
        <v>5</v>
      </c>
      <c r="E515" s="33" t="n">
        <v>6</v>
      </c>
      <c r="G515" s="33" t="n">
        <v>0</v>
      </c>
      <c r="H515" s="33" t="n">
        <v>731</v>
      </c>
      <c r="I515" s="33" t="inlineStr">
        <is>
          <t>us</t>
        </is>
      </c>
      <c r="J515" s="33" t="n">
        <v>358</v>
      </c>
      <c r="K515" s="33" t="n">
        <v>0</v>
      </c>
      <c r="L515" s="33" t="n">
        <v>33.9</v>
      </c>
      <c r="M515" s="33" t="inlineStr">
        <is>
          <t>mww</t>
        </is>
      </c>
      <c r="N515" s="33" t="n">
        <v>21</v>
      </c>
      <c r="O515" s="33" t="n">
        <v>-35.38</v>
      </c>
      <c r="P515" s="33" t="n">
        <v>-72.834</v>
      </c>
      <c r="Q515" s="33" t="inlineStr">
        <is>
          <t>Constitución, Chile</t>
        </is>
      </c>
      <c r="T515" s="36">
        <f>DATE(MID(C515,7,4),MID(C515,4,2),MID(C515,1,2))+TIME(MID(C515,12,2),MID(C515,15,2),0)</f>
        <v/>
      </c>
      <c r="U515" s="33">
        <f>IF(ISNUMBER(VALUE(MID(A515,7,1))),"Distance-prefix pattern","Named-region pattern")</f>
        <v/>
      </c>
      <c r="V515" s="33">
        <f>LOWER(M515)</f>
        <v/>
      </c>
      <c r="W515" s="33">
        <f>IF(COUNTIFS($A$2:$A$1001,A515,$C$2:$C$1001,C515)&gt;1,"Duplicate","Unique")</f>
        <v/>
      </c>
      <c r="X515" s="33">
        <f>YEAR(T515)</f>
        <v/>
      </c>
      <c r="Y515" s="33">
        <f>IF(B515&lt;6.5,"&lt;6.5",IF(B515&lt;7,"6.5–6.9",IF(B515&lt;7.5,"7.0–7.4",IF(B515&lt;8,"7.5–7.9","8.0+"))))</f>
        <v/>
      </c>
      <c r="Z515" s="33">
        <f>IF(F515="","Blank",F515)</f>
        <v/>
      </c>
    </row>
    <row r="516" ht="15" customHeight="1" s="34">
      <c r="A516" s="33" t="inlineStr">
        <is>
          <t>M 6.9 - 21 km N of Tomé, Chile</t>
        </is>
      </c>
      <c r="B516" s="33" t="n">
        <v>6.9</v>
      </c>
      <c r="C516" s="33" t="inlineStr">
        <is>
          <t>11/02/2011 20:05</t>
        </is>
      </c>
      <c r="D516" s="33" t="n">
        <v>7</v>
      </c>
      <c r="E516" s="33" t="n">
        <v>7</v>
      </c>
      <c r="G516" s="33" t="n">
        <v>0</v>
      </c>
      <c r="H516" s="33" t="n">
        <v>988</v>
      </c>
      <c r="I516" s="33" t="inlineStr">
        <is>
          <t>us</t>
        </is>
      </c>
      <c r="J516" s="33" t="n">
        <v>382</v>
      </c>
      <c r="K516" s="33" t="n">
        <v>0</v>
      </c>
      <c r="L516" s="33" t="n">
        <v>34.7</v>
      </c>
      <c r="M516" s="33" t="inlineStr">
        <is>
          <t>mww</t>
        </is>
      </c>
      <c r="N516" s="33" t="n">
        <v>26</v>
      </c>
      <c r="O516" s="33" t="n">
        <v>-36.422</v>
      </c>
      <c r="P516" s="33" t="n">
        <v>-72.95999999999999</v>
      </c>
      <c r="Q516" s="33" t="inlineStr">
        <is>
          <t>Tomé, Chile</t>
        </is>
      </c>
      <c r="R516" s="33" t="inlineStr">
        <is>
          <t>South America</t>
        </is>
      </c>
      <c r="S516" s="33" t="inlineStr">
        <is>
          <t>Chile</t>
        </is>
      </c>
      <c r="T516" s="36">
        <f>DATE(MID(C516,7,4),MID(C516,4,2),MID(C516,1,2))+TIME(MID(C516,12,2),MID(C516,15,2),0)</f>
        <v/>
      </c>
      <c r="U516" s="33">
        <f>IF(ISNUMBER(VALUE(MID(A516,7,1))),"Distance-prefix pattern","Named-region pattern")</f>
        <v/>
      </c>
      <c r="V516" s="33">
        <f>LOWER(M516)</f>
        <v/>
      </c>
      <c r="W516" s="33">
        <f>IF(COUNTIFS($A$2:$A$1001,A516,$C$2:$C$1001,C516)&gt;1,"Duplicate","Unique")</f>
        <v/>
      </c>
      <c r="X516" s="33">
        <f>YEAR(T516)</f>
        <v/>
      </c>
      <c r="Y516" s="33">
        <f>IF(B516&lt;6.5,"&lt;6.5",IF(B516&lt;7,"6.5–6.9",IF(B516&lt;7.5,"7.0–7.4",IF(B516&lt;8,"7.5–7.9","8.0+"))))</f>
        <v/>
      </c>
      <c r="Z516" s="33">
        <f>IF(F516="","Blank",F516)</f>
        <v/>
      </c>
    </row>
    <row r="517" ht="15" customHeight="1" s="34">
      <c r="A517" s="33" t="inlineStr">
        <is>
          <t>M 7.2 - 46 km WSW of Dalbandin, Pakistan</t>
        </is>
      </c>
      <c r="B517" s="33" t="n">
        <v>7.2</v>
      </c>
      <c r="C517" s="33" t="inlineStr">
        <is>
          <t>18/01/2011 20:23</t>
        </is>
      </c>
      <c r="D517" s="33" t="n">
        <v>7</v>
      </c>
      <c r="E517" s="33" t="n">
        <v>7</v>
      </c>
      <c r="G517" s="33" t="n">
        <v>0</v>
      </c>
      <c r="H517" s="33" t="n">
        <v>1449</v>
      </c>
      <c r="I517" s="33" t="inlineStr">
        <is>
          <t>us</t>
        </is>
      </c>
      <c r="J517" s="33" t="n">
        <v>372</v>
      </c>
      <c r="K517" s="33" t="n">
        <v>0</v>
      </c>
      <c r="L517" s="33" t="n">
        <v>25.3</v>
      </c>
      <c r="M517" s="33" t="inlineStr">
        <is>
          <t>mww</t>
        </is>
      </c>
      <c r="N517" s="33" t="n">
        <v>68</v>
      </c>
      <c r="O517" s="33" t="n">
        <v>28.777</v>
      </c>
      <c r="P517" s="33" t="n">
        <v>63.951</v>
      </c>
      <c r="Q517" s="33" t="inlineStr">
        <is>
          <t>Dalbandin, Pakistan</t>
        </is>
      </c>
      <c r="R517" s="33" t="inlineStr">
        <is>
          <t>Asia</t>
        </is>
      </c>
      <c r="S517" s="33" t="inlineStr">
        <is>
          <t>Pakistan</t>
        </is>
      </c>
      <c r="T517" s="36">
        <f>DATE(MID(C517,7,4),MID(C517,4,2),MID(C517,1,2))+TIME(MID(C517,12,2),MID(C517,15,2),0)</f>
        <v/>
      </c>
      <c r="U517" s="33">
        <f>IF(ISNUMBER(VALUE(MID(A517,7,1))),"Distance-prefix pattern","Named-region pattern")</f>
        <v/>
      </c>
      <c r="V517" s="33">
        <f>LOWER(M517)</f>
        <v/>
      </c>
      <c r="W517" s="33">
        <f>IF(COUNTIFS($A$2:$A$1001,A517,$C$2:$C$1001,C517)&gt;1,"Duplicate","Unique")</f>
        <v/>
      </c>
      <c r="X517" s="33">
        <f>YEAR(T517)</f>
        <v/>
      </c>
      <c r="Y517" s="33">
        <f>IF(B517&lt;6.5,"&lt;6.5",IF(B517&lt;7,"6.5–6.9",IF(B517&lt;7.5,"7.0–7.4",IF(B517&lt;8,"7.5–7.9","8.0+"))))</f>
        <v/>
      </c>
      <c r="Z517" s="33">
        <f>IF(F517="","Blank",F517)</f>
        <v/>
      </c>
    </row>
    <row r="518" ht="15" customHeight="1" s="34">
      <c r="A518" s="33" t="inlineStr">
        <is>
          <t>M 7.0 - 118 km NNE of Tadine, New Caledonia</t>
        </is>
      </c>
      <c r="B518" s="33" t="n">
        <v>7</v>
      </c>
      <c r="C518" s="33" t="inlineStr">
        <is>
          <t>13/01/2011 16:16</t>
        </is>
      </c>
      <c r="D518" s="33" t="n">
        <v>2</v>
      </c>
      <c r="E518" s="33" t="n">
        <v>5</v>
      </c>
      <c r="G518" s="33" t="n">
        <v>0</v>
      </c>
      <c r="H518" s="33" t="n">
        <v>755</v>
      </c>
      <c r="I518" s="33" t="inlineStr">
        <is>
          <t>us</t>
        </is>
      </c>
      <c r="J518" s="33" t="n">
        <v>578</v>
      </c>
      <c r="K518" s="33" t="n">
        <v>0</v>
      </c>
      <c r="L518" s="33" t="n">
        <v>13.3</v>
      </c>
      <c r="M518" s="33" t="inlineStr">
        <is>
          <t>mww</t>
        </is>
      </c>
      <c r="N518" s="33" t="n">
        <v>9</v>
      </c>
      <c r="O518" s="33" t="n">
        <v>-20.628</v>
      </c>
      <c r="P518" s="33" t="n">
        <v>168.471</v>
      </c>
      <c r="Q518" s="33" t="inlineStr">
        <is>
          <t>Tadine, New Caledonia</t>
        </is>
      </c>
      <c r="T518" s="36">
        <f>DATE(MID(C518,7,4),MID(C518,4,2),MID(C518,1,2))+TIME(MID(C518,12,2),MID(C518,15,2),0)</f>
        <v/>
      </c>
      <c r="U518" s="33">
        <f>IF(ISNUMBER(VALUE(MID(A518,7,1))),"Distance-prefix pattern","Named-region pattern")</f>
        <v/>
      </c>
      <c r="V518" s="33">
        <f>LOWER(M518)</f>
        <v/>
      </c>
      <c r="W518" s="33">
        <f>IF(COUNTIFS($A$2:$A$1001,A518,$C$2:$C$1001,C518)&gt;1,"Duplicate","Unique")</f>
        <v/>
      </c>
      <c r="X518" s="33">
        <f>YEAR(T518)</f>
        <v/>
      </c>
      <c r="Y518" s="33">
        <f>IF(B518&lt;6.5,"&lt;6.5",IF(B518&lt;7,"6.5–6.9",IF(B518&lt;7.5,"7.0–7.4",IF(B518&lt;8,"7.5–7.9","8.0+"))))</f>
        <v/>
      </c>
      <c r="Z518" s="33">
        <f>IF(F518="","Blank",F518)</f>
        <v/>
      </c>
    </row>
    <row r="519" ht="15" customHeight="1" s="34">
      <c r="A519" s="33" t="inlineStr">
        <is>
          <t>M 7.2 - 42 km NNW of Carahue, Chile</t>
        </is>
      </c>
      <c r="B519" s="33" t="n">
        <v>7.2</v>
      </c>
      <c r="C519" s="33" t="inlineStr">
        <is>
          <t>02/01/2011 20:20</t>
        </is>
      </c>
      <c r="D519" s="33" t="n">
        <v>8</v>
      </c>
      <c r="E519" s="33" t="n">
        <v>7</v>
      </c>
      <c r="G519" s="33" t="n">
        <v>0</v>
      </c>
      <c r="H519" s="33" t="n">
        <v>1054</v>
      </c>
      <c r="I519" s="33" t="inlineStr">
        <is>
          <t>us</t>
        </is>
      </c>
      <c r="J519" s="33" t="n">
        <v>397</v>
      </c>
      <c r="K519" s="33" t="n">
        <v>0</v>
      </c>
      <c r="L519" s="33" t="n">
        <v>30.1</v>
      </c>
      <c r="M519" s="33" t="inlineStr">
        <is>
          <t>mww</t>
        </is>
      </c>
      <c r="N519" s="33" t="n">
        <v>24</v>
      </c>
      <c r="O519" s="33" t="n">
        <v>-38.355</v>
      </c>
      <c r="P519" s="33" t="n">
        <v>-73.32599999999999</v>
      </c>
      <c r="Q519" s="33" t="inlineStr">
        <is>
          <t>Carahue, Chile</t>
        </is>
      </c>
      <c r="R519" s="33" t="inlineStr">
        <is>
          <t>South America</t>
        </is>
      </c>
      <c r="S519" s="33" t="inlineStr">
        <is>
          <t>Chile</t>
        </is>
      </c>
      <c r="T519" s="36">
        <f>DATE(MID(C519,7,4),MID(C519,4,2),MID(C519,1,2))+TIME(MID(C519,12,2),MID(C519,15,2),0)</f>
        <v/>
      </c>
      <c r="U519" s="33">
        <f>IF(ISNUMBER(VALUE(MID(A519,7,1))),"Distance-prefix pattern","Named-region pattern")</f>
        <v/>
      </c>
      <c r="V519" s="33">
        <f>LOWER(M519)</f>
        <v/>
      </c>
      <c r="W519" s="33">
        <f>IF(COUNTIFS($A$2:$A$1001,A519,$C$2:$C$1001,C519)&gt;1,"Duplicate","Unique")</f>
        <v/>
      </c>
      <c r="X519" s="33">
        <f>YEAR(T519)</f>
        <v/>
      </c>
      <c r="Y519" s="33">
        <f>IF(B519&lt;6.5,"&lt;6.5",IF(B519&lt;7,"6.5–6.9",IF(B519&lt;7.5,"7.0–7.4",IF(B519&lt;8,"7.5–7.9","8.0+"))))</f>
        <v/>
      </c>
      <c r="Z519" s="33">
        <f>IF(F519="","Blank",F519)</f>
        <v/>
      </c>
    </row>
    <row r="520" ht="15" customHeight="1" s="34">
      <c r="A520" s="33" t="inlineStr">
        <is>
          <t>M 7.3 - 141 km W of Isangel, Vanuatu</t>
        </is>
      </c>
      <c r="B520" s="33" t="n">
        <v>7.3</v>
      </c>
      <c r="C520" s="33" t="inlineStr">
        <is>
          <t>25/12/2010 13:16</t>
        </is>
      </c>
      <c r="D520" s="33" t="n">
        <v>0</v>
      </c>
      <c r="E520" s="33" t="n">
        <v>5</v>
      </c>
      <c r="G520" s="33" t="n">
        <v>0</v>
      </c>
      <c r="H520" s="33" t="n">
        <v>820</v>
      </c>
      <c r="I520" s="33" t="inlineStr">
        <is>
          <t>us</t>
        </is>
      </c>
      <c r="J520" s="33" t="n">
        <v>409</v>
      </c>
      <c r="K520" s="33" t="n">
        <v>0</v>
      </c>
      <c r="L520" s="33" t="n">
        <v>12</v>
      </c>
      <c r="M520" s="33" t="inlineStr">
        <is>
          <t>mwc</t>
        </is>
      </c>
      <c r="N520" s="33" t="n">
        <v>16</v>
      </c>
      <c r="O520" s="33" t="n">
        <v>-19.702</v>
      </c>
      <c r="P520" s="33" t="n">
        <v>167.947</v>
      </c>
      <c r="Q520" s="33" t="inlineStr">
        <is>
          <t>Isangel, Vanuatu</t>
        </is>
      </c>
      <c r="T520" s="36">
        <f>DATE(MID(C520,7,4),MID(C520,4,2),MID(C520,1,2))+TIME(MID(C520,12,2),MID(C520,15,2),0)</f>
        <v/>
      </c>
      <c r="U520" s="33">
        <f>IF(ISNUMBER(VALUE(MID(A520,7,1))),"Distance-prefix pattern","Named-region pattern")</f>
        <v/>
      </c>
      <c r="V520" s="33">
        <f>LOWER(M520)</f>
        <v/>
      </c>
      <c r="W520" s="33">
        <f>IF(COUNTIFS($A$2:$A$1001,A520,$C$2:$C$1001,C520)&gt;1,"Duplicate","Unique")</f>
        <v/>
      </c>
      <c r="X520" s="33">
        <f>YEAR(T520)</f>
        <v/>
      </c>
      <c r="Y520" s="33">
        <f>IF(B520&lt;6.5,"&lt;6.5",IF(B520&lt;7,"6.5–6.9",IF(B520&lt;7.5,"7.0–7.4",IF(B520&lt;8,"7.5–7.9","8.0+"))))</f>
        <v/>
      </c>
      <c r="Z520" s="33">
        <f>IF(F520="","Blank",F520)</f>
        <v/>
      </c>
    </row>
    <row r="521" ht="15" customHeight="1" s="34">
      <c r="A521" s="33" t="inlineStr">
        <is>
          <t>M 6.7 - 111 km SE of Bam, Iran</t>
        </is>
      </c>
      <c r="B521" s="33" t="n">
        <v>6.7</v>
      </c>
      <c r="C521" s="33" t="inlineStr">
        <is>
          <t>20/12/2010 18:41</t>
        </is>
      </c>
      <c r="D521" s="33" t="n">
        <v>3</v>
      </c>
      <c r="E521" s="33" t="n">
        <v>7</v>
      </c>
      <c r="G521" s="33" t="n">
        <v>0</v>
      </c>
      <c r="H521" s="33" t="n">
        <v>708</v>
      </c>
      <c r="I521" s="33" t="inlineStr">
        <is>
          <t>us</t>
        </is>
      </c>
      <c r="J521" s="33" t="n">
        <v>279</v>
      </c>
      <c r="K521" s="33" t="n">
        <v>0</v>
      </c>
      <c r="L521" s="33" t="n">
        <v>24.3</v>
      </c>
      <c r="M521" s="33" t="inlineStr">
        <is>
          <t>mwc</t>
        </is>
      </c>
      <c r="N521" s="33" t="n">
        <v>12</v>
      </c>
      <c r="O521" s="33" t="n">
        <v>28.412</v>
      </c>
      <c r="P521" s="33" t="n">
        <v>59.18</v>
      </c>
      <c r="Q521" s="33" t="inlineStr">
        <is>
          <t>Bam, Iran</t>
        </is>
      </c>
      <c r="R521" s="33" t="inlineStr">
        <is>
          <t>Asia</t>
        </is>
      </c>
      <c r="S521" s="33" t="inlineStr">
        <is>
          <t>Iran</t>
        </is>
      </c>
      <c r="T521" s="36">
        <f>DATE(MID(C521,7,4),MID(C521,4,2),MID(C521,1,2))+TIME(MID(C521,12,2),MID(C521,15,2),0)</f>
        <v/>
      </c>
      <c r="U521" s="33">
        <f>IF(ISNUMBER(VALUE(MID(A521,7,1))),"Distance-prefix pattern","Named-region pattern")</f>
        <v/>
      </c>
      <c r="V521" s="33">
        <f>LOWER(M521)</f>
        <v/>
      </c>
      <c r="W521" s="33">
        <f>IF(COUNTIFS($A$2:$A$1001,A521,$C$2:$C$1001,C521)&gt;1,"Duplicate","Unique")</f>
        <v/>
      </c>
      <c r="X521" s="33">
        <f>YEAR(T521)</f>
        <v/>
      </c>
      <c r="Y521" s="33">
        <f>IF(B521&lt;6.5,"&lt;6.5",IF(B521&lt;7,"6.5–6.9",IF(B521&lt;7.5,"7.0–7.4",IF(B521&lt;8,"7.5–7.9","8.0+"))))</f>
        <v/>
      </c>
      <c r="Z521" s="33">
        <f>IF(F521="","Blank",F521)</f>
        <v/>
      </c>
    </row>
    <row r="522" ht="15" customHeight="1" s="34">
      <c r="A522" s="33" t="inlineStr">
        <is>
          <t>M 6.6 - 52 km ENE of Kandrian, Papua New Guinea</t>
        </is>
      </c>
      <c r="B522" s="33" t="n">
        <v>6.6</v>
      </c>
      <c r="C522" s="33" t="inlineStr">
        <is>
          <t>02/12/2010 03:12</t>
        </is>
      </c>
      <c r="D522" s="33" t="n">
        <v>0</v>
      </c>
      <c r="E522" s="33" t="n">
        <v>6</v>
      </c>
      <c r="G522" s="33" t="n">
        <v>0</v>
      </c>
      <c r="H522" s="33" t="n">
        <v>670</v>
      </c>
      <c r="I522" s="33" t="inlineStr">
        <is>
          <t>us</t>
        </is>
      </c>
      <c r="J522" s="33" t="n">
        <v>306</v>
      </c>
      <c r="K522" s="33" t="n">
        <v>0</v>
      </c>
      <c r="L522" s="33" t="n">
        <v>18.5</v>
      </c>
      <c r="M522" s="33" t="inlineStr">
        <is>
          <t>mwb</t>
        </is>
      </c>
      <c r="N522" s="33" t="n">
        <v>33</v>
      </c>
      <c r="O522" s="33" t="n">
        <v>-6.001</v>
      </c>
      <c r="P522" s="33" t="n">
        <v>149.977</v>
      </c>
      <c r="Q522" s="33" t="inlineStr">
        <is>
          <t>Kandrian, Papua New Guinea</t>
        </is>
      </c>
      <c r="S522" s="33" t="inlineStr">
        <is>
          <t>Papua New Guinea</t>
        </is>
      </c>
      <c r="T522" s="36">
        <f>DATE(MID(C522,7,4),MID(C522,4,2),MID(C522,1,2))+TIME(MID(C522,12,2),MID(C522,15,2),0)</f>
        <v/>
      </c>
      <c r="U522" s="33">
        <f>IF(ISNUMBER(VALUE(MID(A522,7,1))),"Distance-prefix pattern","Named-region pattern")</f>
        <v/>
      </c>
      <c r="V522" s="33">
        <f>LOWER(M522)</f>
        <v/>
      </c>
      <c r="W522" s="33">
        <f>IF(COUNTIFS($A$2:$A$1001,A522,$C$2:$C$1001,C522)&gt;1,"Duplicate","Unique")</f>
        <v/>
      </c>
      <c r="X522" s="33">
        <f>YEAR(T522)</f>
        <v/>
      </c>
      <c r="Y522" s="33">
        <f>IF(B522&lt;6.5,"&lt;6.5",IF(B522&lt;7,"6.5–6.9",IF(B522&lt;7.5,"7.0–7.4",IF(B522&lt;8,"7.5–7.9","8.0+"))))</f>
        <v/>
      </c>
      <c r="Z522" s="33">
        <f>IF(F522="","Blank",F522)</f>
        <v/>
      </c>
    </row>
    <row r="523" ht="15" customHeight="1" s="34">
      <c r="A523" s="33" t="inlineStr">
        <is>
          <t>M 7.8 - 215 km SW of Sungai Penuh, Indonesia</t>
        </is>
      </c>
      <c r="B523" s="33" t="n">
        <v>7.8</v>
      </c>
      <c r="C523" s="33" t="inlineStr">
        <is>
          <t>25/10/2010 14:42</t>
        </is>
      </c>
      <c r="D523" s="33" t="n">
        <v>4</v>
      </c>
      <c r="E523" s="33" t="n">
        <v>7</v>
      </c>
      <c r="G523" s="33" t="n">
        <v>0</v>
      </c>
      <c r="H523" s="33" t="n">
        <v>946</v>
      </c>
      <c r="I523" s="33" t="inlineStr">
        <is>
          <t>us</t>
        </is>
      </c>
      <c r="J523" s="33" t="n">
        <v>379</v>
      </c>
      <c r="K523" s="33" t="n">
        <v>0</v>
      </c>
      <c r="L523" s="33" t="n">
        <v>23</v>
      </c>
      <c r="M523" s="33" t="inlineStr">
        <is>
          <t>mwc</t>
        </is>
      </c>
      <c r="N523" s="33" t="n">
        <v>20.1</v>
      </c>
      <c r="O523" s="33" t="n">
        <v>-3.487</v>
      </c>
      <c r="P523" s="33" t="n">
        <v>100.082</v>
      </c>
      <c r="Q523" s="33" t="inlineStr">
        <is>
          <t>Sungai Penuh, Indonesia</t>
        </is>
      </c>
      <c r="T523" s="36">
        <f>DATE(MID(C523,7,4),MID(C523,4,2),MID(C523,1,2))+TIME(MID(C523,12,2),MID(C523,15,2),0)</f>
        <v/>
      </c>
      <c r="U523" s="33">
        <f>IF(ISNUMBER(VALUE(MID(A523,7,1))),"Distance-prefix pattern","Named-region pattern")</f>
        <v/>
      </c>
      <c r="V523" s="33">
        <f>LOWER(M523)</f>
        <v/>
      </c>
      <c r="W523" s="33">
        <f>IF(COUNTIFS($A$2:$A$1001,A523,$C$2:$C$1001,C523)&gt;1,"Duplicate","Unique")</f>
        <v/>
      </c>
      <c r="X523" s="33">
        <f>YEAR(T523)</f>
        <v/>
      </c>
      <c r="Y523" s="33">
        <f>IF(B523&lt;6.5,"&lt;6.5",IF(B523&lt;7,"6.5–6.9",IF(B523&lt;7.5,"7.0–7.4",IF(B523&lt;8,"7.5–7.9","8.0+"))))</f>
        <v/>
      </c>
      <c r="Z523" s="33">
        <f>IF(F523="","Blank",F523)</f>
        <v/>
      </c>
    </row>
    <row r="524" ht="15" customHeight="1" s="34">
      <c r="A524" s="33" t="inlineStr">
        <is>
          <t>M 6.7 - 97 km SSW of El Huitusi, Mexico</t>
        </is>
      </c>
      <c r="B524" s="33" t="n">
        <v>6.7</v>
      </c>
      <c r="C524" s="33" t="inlineStr">
        <is>
          <t>21/10/2010 17:53</t>
        </is>
      </c>
      <c r="D524" s="33" t="n">
        <v>5</v>
      </c>
      <c r="E524" s="33" t="n">
        <v>5</v>
      </c>
      <c r="G524" s="33" t="n">
        <v>0</v>
      </c>
      <c r="H524" s="33" t="n">
        <v>776</v>
      </c>
      <c r="I524" s="33" t="inlineStr">
        <is>
          <t>us</t>
        </is>
      </c>
      <c r="J524" s="33" t="n">
        <v>352</v>
      </c>
      <c r="K524" s="33" t="n">
        <v>0</v>
      </c>
      <c r="L524" s="33" t="n">
        <v>50.3</v>
      </c>
      <c r="M524" s="33" t="inlineStr">
        <is>
          <t>mwc</t>
        </is>
      </c>
      <c r="N524" s="33" t="n">
        <v>13</v>
      </c>
      <c r="O524" s="33" t="n">
        <v>24.696</v>
      </c>
      <c r="P524" s="33" t="n">
        <v>-109.156</v>
      </c>
      <c r="Q524" s="33" t="inlineStr">
        <is>
          <t>El Huitusi, Mexico</t>
        </is>
      </c>
      <c r="T524" s="36">
        <f>DATE(MID(C524,7,4),MID(C524,4,2),MID(C524,1,2))+TIME(MID(C524,12,2),MID(C524,15,2),0)</f>
        <v/>
      </c>
      <c r="U524" s="33">
        <f>IF(ISNUMBER(VALUE(MID(A524,7,1))),"Distance-prefix pattern","Named-region pattern")</f>
        <v/>
      </c>
      <c r="V524" s="33">
        <f>LOWER(M524)</f>
        <v/>
      </c>
      <c r="W524" s="33">
        <f>IF(COUNTIFS($A$2:$A$1001,A524,$C$2:$C$1001,C524)&gt;1,"Duplicate","Unique")</f>
        <v/>
      </c>
      <c r="X524" s="33">
        <f>YEAR(T524)</f>
        <v/>
      </c>
      <c r="Y524" s="33">
        <f>IF(B524&lt;6.5,"&lt;6.5",IF(B524&lt;7,"6.5–6.9",IF(B524&lt;7.5,"7.0–7.4",IF(B524&lt;8,"7.5–7.9","8.0+"))))</f>
        <v/>
      </c>
      <c r="Z524" s="33">
        <f>IF(F524="","Blank",F524)</f>
        <v/>
      </c>
    </row>
    <row r="525" ht="15" customHeight="1" s="34">
      <c r="A525" s="33" t="inlineStr">
        <is>
          <t>M 7.0 - Near the south coast of Papua, Indonesia</t>
        </is>
      </c>
      <c r="B525" s="33" t="n">
        <v>7</v>
      </c>
      <c r="C525" s="33" t="inlineStr">
        <is>
          <t>29/09/2010 17:11</t>
        </is>
      </c>
      <c r="D525" s="33" t="n">
        <v>8</v>
      </c>
      <c r="E525" s="33" t="n">
        <v>5</v>
      </c>
      <c r="G525" s="33" t="n">
        <v>0</v>
      </c>
      <c r="H525" s="33" t="n">
        <v>772</v>
      </c>
      <c r="I525" s="33" t="inlineStr">
        <is>
          <t>us</t>
        </is>
      </c>
      <c r="J525" s="33" t="n">
        <v>271</v>
      </c>
      <c r="K525" s="33" t="n">
        <v>0</v>
      </c>
      <c r="L525" s="33" t="n">
        <v>15.1</v>
      </c>
      <c r="M525" s="33" t="inlineStr">
        <is>
          <t>mwc</t>
        </is>
      </c>
      <c r="N525" s="33" t="n">
        <v>26</v>
      </c>
      <c r="O525" s="33" t="n">
        <v>-4.963</v>
      </c>
      <c r="P525" s="33" t="n">
        <v>133.76</v>
      </c>
      <c r="Q525" s="33" t="inlineStr">
        <is>
          <t>Papua, Indonesia</t>
        </is>
      </c>
      <c r="S525" s="33" t="inlineStr">
        <is>
          <t>Indonesia</t>
        </is>
      </c>
      <c r="T525" s="36">
        <f>DATE(MID(C525,7,4),MID(C525,4,2),MID(C525,1,2))+TIME(MID(C525,12,2),MID(C525,15,2),0)</f>
        <v/>
      </c>
      <c r="U525" s="33">
        <f>IF(ISNUMBER(VALUE(MID(A525,7,1))),"Distance-prefix pattern","Named-region pattern")</f>
        <v/>
      </c>
      <c r="V525" s="33">
        <f>LOWER(M525)</f>
        <v/>
      </c>
      <c r="W525" s="33">
        <f>IF(COUNTIFS($A$2:$A$1001,A525,$C$2:$C$1001,C525)&gt;1,"Duplicate","Unique")</f>
        <v/>
      </c>
      <c r="X525" s="33">
        <f>YEAR(T525)</f>
        <v/>
      </c>
      <c r="Y525" s="33">
        <f>IF(B525&lt;6.5,"&lt;6.5",IF(B525&lt;7,"6.5–6.9",IF(B525&lt;7.5,"7.0–7.4",IF(B525&lt;8,"7.5–7.9","8.0+"))))</f>
        <v/>
      </c>
      <c r="Z525" s="33">
        <f>IF(F525="","Blank",F525)</f>
        <v/>
      </c>
    </row>
    <row r="526" ht="15" customHeight="1" s="34">
      <c r="A526" s="33" t="inlineStr">
        <is>
          <t>M 7.0 - 19 km NE of Methven, New Zealand</t>
        </is>
      </c>
      <c r="B526" s="33" t="n">
        <v>7</v>
      </c>
      <c r="C526" s="33" t="inlineStr">
        <is>
          <t>03/09/2010 16:35</t>
        </is>
      </c>
      <c r="D526" s="33" t="n">
        <v>8</v>
      </c>
      <c r="E526" s="33" t="n">
        <v>8</v>
      </c>
      <c r="G526" s="33" t="n">
        <v>0</v>
      </c>
      <c r="H526" s="33" t="n">
        <v>1245</v>
      </c>
      <c r="I526" s="33" t="inlineStr">
        <is>
          <t>us</t>
        </is>
      </c>
      <c r="J526" s="33" t="n">
        <v>365</v>
      </c>
      <c r="K526" s="33" t="n">
        <v>0</v>
      </c>
      <c r="L526" s="33" t="n">
        <v>15.8</v>
      </c>
      <c r="M526" s="33" t="inlineStr">
        <is>
          <t>mwc</t>
        </is>
      </c>
      <c r="N526" s="33" t="n">
        <v>12</v>
      </c>
      <c r="O526" s="33" t="n">
        <v>-43.522</v>
      </c>
      <c r="P526" s="33" t="n">
        <v>171.83</v>
      </c>
      <c r="Q526" s="33" t="inlineStr">
        <is>
          <t>Methven, New Zealand</t>
        </is>
      </c>
      <c r="S526" s="33" t="inlineStr">
        <is>
          <t>New Zealand</t>
        </is>
      </c>
      <c r="T526" s="36">
        <f>DATE(MID(C526,7,4),MID(C526,4,2),MID(C526,1,2))+TIME(MID(C526,12,2),MID(C526,15,2),0)</f>
        <v/>
      </c>
      <c r="U526" s="33">
        <f>IF(ISNUMBER(VALUE(MID(A526,7,1))),"Distance-prefix pattern","Named-region pattern")</f>
        <v/>
      </c>
      <c r="V526" s="33">
        <f>LOWER(M526)</f>
        <v/>
      </c>
      <c r="W526" s="33">
        <f>IF(COUNTIFS($A$2:$A$1001,A526,$C$2:$C$1001,C526)&gt;1,"Duplicate","Unique")</f>
        <v/>
      </c>
      <c r="X526" s="33">
        <f>YEAR(T526)</f>
        <v/>
      </c>
      <c r="Y526" s="33">
        <f>IF(B526&lt;6.5,"&lt;6.5",IF(B526&lt;7,"6.5–6.9",IF(B526&lt;7.5,"7.0–7.4",IF(B526&lt;8,"7.5–7.9","8.0+"))))</f>
        <v/>
      </c>
      <c r="Z526" s="33">
        <f>IF(F526="","Blank",F526)</f>
        <v/>
      </c>
    </row>
    <row r="527" ht="15" customHeight="1" s="34">
      <c r="A527" s="33" t="inlineStr">
        <is>
          <t>M 7.1 - Ecuador</t>
        </is>
      </c>
      <c r="B527" s="33" t="n">
        <v>7.1</v>
      </c>
      <c r="C527" s="33" t="inlineStr">
        <is>
          <t>12/08/2010 11:54</t>
        </is>
      </c>
      <c r="D527" s="33" t="n">
        <v>6</v>
      </c>
      <c r="E527" s="33" t="n">
        <v>5</v>
      </c>
      <c r="G527" s="33" t="n">
        <v>0</v>
      </c>
      <c r="H527" s="33" t="n">
        <v>945</v>
      </c>
      <c r="I527" s="33" t="inlineStr">
        <is>
          <t>us</t>
        </is>
      </c>
      <c r="J527" s="33" t="n">
        <v>672</v>
      </c>
      <c r="K527" s="33" t="n">
        <v>0</v>
      </c>
      <c r="L527" s="33" t="n">
        <v>12.4</v>
      </c>
      <c r="M527" s="33" t="inlineStr">
        <is>
          <t>mwc</t>
        </is>
      </c>
      <c r="N527" s="33" t="n">
        <v>206.7</v>
      </c>
      <c r="O527" s="33" t="n">
        <v>-1.266</v>
      </c>
      <c r="P527" s="33" t="n">
        <v>-77.306</v>
      </c>
      <c r="Q527" s="33" t="inlineStr">
        <is>
          <t>Ecuador</t>
        </is>
      </c>
      <c r="R527" s="33" t="inlineStr">
        <is>
          <t>South America</t>
        </is>
      </c>
      <c r="S527" s="33" t="inlineStr">
        <is>
          <t>Ecuador</t>
        </is>
      </c>
      <c r="T527" s="36">
        <f>DATE(MID(C527,7,4),MID(C527,4,2),MID(C527,1,2))+TIME(MID(C527,12,2),MID(C527,15,2),0)</f>
        <v/>
      </c>
      <c r="U527" s="33">
        <f>IF(ISNUMBER(VALUE(MID(A527,7,1))),"Distance-prefix pattern","Named-region pattern")</f>
        <v/>
      </c>
      <c r="V527" s="33">
        <f>LOWER(M527)</f>
        <v/>
      </c>
      <c r="W527" s="33">
        <f>IF(COUNTIFS($A$2:$A$1001,A527,$C$2:$C$1001,C527)&gt;1,"Duplicate","Unique")</f>
        <v/>
      </c>
      <c r="X527" s="33">
        <f>YEAR(T527)</f>
        <v/>
      </c>
      <c r="Y527" s="33">
        <f>IF(B527&lt;6.5,"&lt;6.5",IF(B527&lt;7,"6.5–6.9",IF(B527&lt;7.5,"7.0–7.4",IF(B527&lt;8,"7.5–7.9","8.0+"))))</f>
        <v/>
      </c>
      <c r="Z527" s="33">
        <f>IF(F527="","Blank",F527)</f>
        <v/>
      </c>
    </row>
    <row r="528" ht="15" customHeight="1" s="34">
      <c r="A528" s="33" t="inlineStr">
        <is>
          <t>M 7.3 - 33 km NW of Port-Vila, Vanuatu</t>
        </is>
      </c>
      <c r="B528" s="33" t="n">
        <v>7.3</v>
      </c>
      <c r="C528" s="33" t="inlineStr">
        <is>
          <t>10/08/2010 05:23</t>
        </is>
      </c>
      <c r="D528" s="33" t="n">
        <v>7</v>
      </c>
      <c r="E528" s="33" t="n">
        <v>7</v>
      </c>
      <c r="G528" s="33" t="n">
        <v>0</v>
      </c>
      <c r="H528" s="33" t="n">
        <v>850</v>
      </c>
      <c r="I528" s="33" t="inlineStr">
        <is>
          <t>us</t>
        </is>
      </c>
      <c r="J528" s="33" t="n">
        <v>405</v>
      </c>
      <c r="K528" s="33" t="n">
        <v>0</v>
      </c>
      <c r="L528" s="33" t="n">
        <v>20.2</v>
      </c>
      <c r="M528" s="33" t="inlineStr">
        <is>
          <t>mwc</t>
        </is>
      </c>
      <c r="N528" s="33" t="n">
        <v>25</v>
      </c>
      <c r="O528" s="33" t="n">
        <v>-17.541</v>
      </c>
      <c r="P528" s="33" t="n">
        <v>168.069</v>
      </c>
      <c r="Q528" s="33" t="inlineStr">
        <is>
          <t>Port-Vila, Vanuatu</t>
        </is>
      </c>
      <c r="S528" s="33" t="inlineStr">
        <is>
          <t>Vanuatu</t>
        </is>
      </c>
      <c r="T528" s="36">
        <f>DATE(MID(C528,7,4),MID(C528,4,2),MID(C528,1,2))+TIME(MID(C528,12,2),MID(C528,15,2),0)</f>
        <v/>
      </c>
      <c r="U528" s="33">
        <f>IF(ISNUMBER(VALUE(MID(A528,7,1))),"Distance-prefix pattern","Named-region pattern")</f>
        <v/>
      </c>
      <c r="V528" s="33">
        <f>LOWER(M528)</f>
        <v/>
      </c>
      <c r="W528" s="33">
        <f>IF(COUNTIFS($A$2:$A$1001,A528,$C$2:$C$1001,C528)&gt;1,"Duplicate","Unique")</f>
        <v/>
      </c>
      <c r="X528" s="33">
        <f>YEAR(T528)</f>
        <v/>
      </c>
      <c r="Y528" s="33">
        <f>IF(B528&lt;6.5,"&lt;6.5",IF(B528&lt;7,"6.5–6.9",IF(B528&lt;7.5,"7.0–7.4",IF(B528&lt;8,"7.5–7.9","8.0+"))))</f>
        <v/>
      </c>
      <c r="Z528" s="33">
        <f>IF(F528="","Blank",F528)</f>
        <v/>
      </c>
    </row>
    <row r="529" ht="15" customHeight="1" s="34">
      <c r="A529" s="33" t="inlineStr">
        <is>
          <t>M 7.0 - 72 km ESE of Kimbe, Papua New Guinea</t>
        </is>
      </c>
      <c r="B529" s="33" t="n">
        <v>7</v>
      </c>
      <c r="C529" s="33" t="inlineStr">
        <is>
          <t>04/08/2010 22:01</t>
        </is>
      </c>
      <c r="D529" s="33" t="n">
        <v>4</v>
      </c>
      <c r="E529" s="33" t="n">
        <v>6</v>
      </c>
      <c r="G529" s="33" t="n">
        <v>0</v>
      </c>
      <c r="H529" s="33" t="n">
        <v>757</v>
      </c>
      <c r="I529" s="33" t="inlineStr">
        <is>
          <t>us</t>
        </is>
      </c>
      <c r="J529" s="33" t="n">
        <v>396</v>
      </c>
      <c r="K529" s="33" t="n">
        <v>0</v>
      </c>
      <c r="L529" s="33" t="n">
        <v>12.7</v>
      </c>
      <c r="M529" s="33" t="inlineStr">
        <is>
          <t>mww</t>
        </is>
      </c>
      <c r="N529" s="33" t="n">
        <v>44</v>
      </c>
      <c r="O529" s="33" t="n">
        <v>-5.746</v>
      </c>
      <c r="P529" s="33" t="n">
        <v>150.765</v>
      </c>
      <c r="Q529" s="33" t="inlineStr">
        <is>
          <t>Kimbe, Papua New Guinea</t>
        </is>
      </c>
      <c r="S529" s="33" t="inlineStr">
        <is>
          <t>Papua New Guinea</t>
        </is>
      </c>
      <c r="T529" s="36">
        <f>DATE(MID(C529,7,4),MID(C529,4,2),MID(C529,1,2))+TIME(MID(C529,12,2),MID(C529,15,2),0)</f>
        <v/>
      </c>
      <c r="U529" s="33">
        <f>IF(ISNUMBER(VALUE(MID(A529,7,1))),"Distance-prefix pattern","Named-region pattern")</f>
        <v/>
      </c>
      <c r="V529" s="33">
        <f>LOWER(M529)</f>
        <v/>
      </c>
      <c r="W529" s="33">
        <f>IF(COUNTIFS($A$2:$A$1001,A529,$C$2:$C$1001,C529)&gt;1,"Duplicate","Unique")</f>
        <v/>
      </c>
      <c r="X529" s="33">
        <f>YEAR(T529)</f>
        <v/>
      </c>
      <c r="Y529" s="33">
        <f>IF(B529&lt;6.5,"&lt;6.5",IF(B529&lt;7,"6.5–6.9",IF(B529&lt;7.5,"7.0–7.4",IF(B529&lt;8,"7.5–7.9","8.0+"))))</f>
        <v/>
      </c>
      <c r="Z529" s="33">
        <f>IF(F529="","Blank",F529)</f>
        <v/>
      </c>
    </row>
    <row r="530" ht="15" customHeight="1" s="34">
      <c r="A530" s="33" t="inlineStr">
        <is>
          <t>M 6.5 - 118 km ESE of Madang, Papua New Guinea</t>
        </is>
      </c>
      <c r="B530" s="33" t="n">
        <v>6.5</v>
      </c>
      <c r="C530" s="33" t="inlineStr">
        <is>
          <t>04/08/2010 07:15</t>
        </is>
      </c>
      <c r="D530" s="33" t="n">
        <v>5</v>
      </c>
      <c r="E530" s="33" t="n">
        <v>4</v>
      </c>
      <c r="G530" s="33" t="n">
        <v>0</v>
      </c>
      <c r="H530" s="33" t="n">
        <v>659</v>
      </c>
      <c r="I530" s="33" t="inlineStr">
        <is>
          <t>us</t>
        </is>
      </c>
      <c r="J530" s="33" t="n">
        <v>403</v>
      </c>
      <c r="K530" s="33" t="n">
        <v>0</v>
      </c>
      <c r="L530" s="33" t="n">
        <v>11.1</v>
      </c>
      <c r="M530" s="33" t="inlineStr">
        <is>
          <t>mwc</t>
        </is>
      </c>
      <c r="N530" s="33" t="n">
        <v>220</v>
      </c>
      <c r="O530" s="33" t="n">
        <v>-5.486</v>
      </c>
      <c r="P530" s="33" t="n">
        <v>146.822</v>
      </c>
      <c r="Q530" s="33" t="inlineStr">
        <is>
          <t>Madang, Papua New Guinea</t>
        </is>
      </c>
      <c r="S530" s="33" t="inlineStr">
        <is>
          <t>Papua New Guinea</t>
        </is>
      </c>
      <c r="T530" s="36">
        <f>DATE(MID(C530,7,4),MID(C530,4,2),MID(C530,1,2))+TIME(MID(C530,12,2),MID(C530,15,2),0)</f>
        <v/>
      </c>
      <c r="U530" s="33">
        <f>IF(ISNUMBER(VALUE(MID(A530,7,1))),"Distance-prefix pattern","Named-region pattern")</f>
        <v/>
      </c>
      <c r="V530" s="33">
        <f>LOWER(M530)</f>
        <v/>
      </c>
      <c r="W530" s="33">
        <f>IF(COUNTIFS($A$2:$A$1001,A530,$C$2:$C$1001,C530)&gt;1,"Duplicate","Unique")</f>
        <v/>
      </c>
      <c r="X530" s="33">
        <f>YEAR(T530)</f>
        <v/>
      </c>
      <c r="Y530" s="33">
        <f>IF(B530&lt;6.5,"&lt;6.5",IF(B530&lt;7,"6.5–6.9",IF(B530&lt;7.5,"7.0–7.4",IF(B530&lt;8,"7.5–7.9","8.0+"))))</f>
        <v/>
      </c>
      <c r="Z530" s="33">
        <f>IF(F530="","Blank",F530)</f>
        <v/>
      </c>
    </row>
    <row r="531" ht="15" customHeight="1" s="34">
      <c r="A531" s="33" t="inlineStr">
        <is>
          <t>M 7.6 - 61 km W of Bantogon, Philippines</t>
        </is>
      </c>
      <c r="B531" s="33" t="n">
        <v>7.6</v>
      </c>
      <c r="C531" s="33" t="inlineStr">
        <is>
          <t>23/07/2010 22:51</t>
        </is>
      </c>
      <c r="D531" s="33" t="n">
        <v>5</v>
      </c>
      <c r="E531" s="33" t="n">
        <v>3</v>
      </c>
      <c r="G531" s="33" t="n">
        <v>0</v>
      </c>
      <c r="H531" s="33" t="n">
        <v>902</v>
      </c>
      <c r="I531" s="33" t="inlineStr">
        <is>
          <t>us</t>
        </is>
      </c>
      <c r="J531" s="33" t="n">
        <v>340</v>
      </c>
      <c r="K531" s="33" t="n">
        <v>0</v>
      </c>
      <c r="L531" s="33" t="n">
        <v>15.1</v>
      </c>
      <c r="M531" s="33" t="inlineStr">
        <is>
          <t>mwc</t>
        </is>
      </c>
      <c r="N531" s="33" t="n">
        <v>578</v>
      </c>
      <c r="O531" s="33" t="n">
        <v>6.497</v>
      </c>
      <c r="P531" s="33" t="n">
        <v>123.48</v>
      </c>
      <c r="Q531" s="33" t="inlineStr">
        <is>
          <t>Bantogon, Philippines</t>
        </is>
      </c>
      <c r="S531" s="33" t="inlineStr">
        <is>
          <t>Philippines</t>
        </is>
      </c>
      <c r="T531" s="36">
        <f>DATE(MID(C531,7,4),MID(C531,4,2),MID(C531,1,2))+TIME(MID(C531,12,2),MID(C531,15,2),0)</f>
        <v/>
      </c>
      <c r="U531" s="33">
        <f>IF(ISNUMBER(VALUE(MID(A531,7,1))),"Distance-prefix pattern","Named-region pattern")</f>
        <v/>
      </c>
      <c r="V531" s="33">
        <f>LOWER(M531)</f>
        <v/>
      </c>
      <c r="W531" s="33">
        <f>IF(COUNTIFS($A$2:$A$1001,A531,$C$2:$C$1001,C531)&gt;1,"Duplicate","Unique")</f>
        <v/>
      </c>
      <c r="X531" s="33">
        <f>YEAR(T531)</f>
        <v/>
      </c>
      <c r="Y531" s="33">
        <f>IF(B531&lt;6.5,"&lt;6.5",IF(B531&lt;7,"6.5–6.9",IF(B531&lt;7.5,"7.0–7.4",IF(B531&lt;8,"7.5–7.9","8.0+"))))</f>
        <v/>
      </c>
      <c r="Z531" s="33">
        <f>IF(F531="","Blank",F531)</f>
        <v/>
      </c>
    </row>
    <row r="532" ht="15" customHeight="1" s="34">
      <c r="A532" s="33" t="inlineStr">
        <is>
          <t>M 7.3 - New Britain region, Papua New Guinea</t>
        </is>
      </c>
      <c r="B532" s="33" t="n">
        <v>7.3</v>
      </c>
      <c r="C532" s="33" t="inlineStr">
        <is>
          <t>18/07/2010 13:34</t>
        </is>
      </c>
      <c r="D532" s="33" t="n">
        <v>8</v>
      </c>
      <c r="E532" s="33" t="n">
        <v>7</v>
      </c>
      <c r="G532" s="33" t="n">
        <v>0</v>
      </c>
      <c r="H532" s="33" t="n">
        <v>831</v>
      </c>
      <c r="I532" s="33" t="inlineStr">
        <is>
          <t>us</t>
        </is>
      </c>
      <c r="J532" s="33" t="n">
        <v>397</v>
      </c>
      <c r="K532" s="33" t="n">
        <v>0</v>
      </c>
      <c r="L532" s="33" t="n">
        <v>18.2</v>
      </c>
      <c r="M532" s="33" t="inlineStr">
        <is>
          <t>mwc</t>
        </is>
      </c>
      <c r="N532" s="33" t="n">
        <v>35</v>
      </c>
      <c r="O532" s="33" t="n">
        <v>-5.931</v>
      </c>
      <c r="P532" s="33" t="n">
        <v>150.59</v>
      </c>
      <c r="Q532" s="33" t="inlineStr">
        <is>
          <t>New Britain region, Papua New Guinea</t>
        </is>
      </c>
      <c r="S532" s="33" t="inlineStr">
        <is>
          <t>Papua New Guinea</t>
        </is>
      </c>
      <c r="T532" s="36">
        <f>DATE(MID(C532,7,4),MID(C532,4,2),MID(C532,1,2))+TIME(MID(C532,12,2),MID(C532,15,2),0)</f>
        <v/>
      </c>
      <c r="U532" s="33">
        <f>IF(ISNUMBER(VALUE(MID(A532,7,1))),"Distance-prefix pattern","Named-region pattern")</f>
        <v/>
      </c>
      <c r="V532" s="33">
        <f>LOWER(M532)</f>
        <v/>
      </c>
      <c r="W532" s="33">
        <f>IF(COUNTIFS($A$2:$A$1001,A532,$C$2:$C$1001,C532)&gt;1,"Duplicate","Unique")</f>
        <v/>
      </c>
      <c r="X532" s="33">
        <f>YEAR(T532)</f>
        <v/>
      </c>
      <c r="Y532" s="33">
        <f>IF(B532&lt;6.5,"&lt;6.5",IF(B532&lt;7,"6.5–6.9",IF(B532&lt;7.5,"7.0–7.4",IF(B532&lt;8,"7.5–7.9","8.0+"))))</f>
        <v/>
      </c>
      <c r="Z532" s="33">
        <f>IF(F532="","Blank",F532)</f>
        <v/>
      </c>
    </row>
    <row r="533" ht="15" customHeight="1" s="34">
      <c r="A533" s="33" t="inlineStr">
        <is>
          <t>M 6.9 - 56 km SE of Kimbe, Papua New Guinea</t>
        </is>
      </c>
      <c r="B533" s="33" t="n">
        <v>6.9</v>
      </c>
      <c r="C533" s="33" t="inlineStr">
        <is>
          <t>18/07/2010 13:04</t>
        </is>
      </c>
      <c r="D533" s="33" t="n">
        <v>4</v>
      </c>
      <c r="E533" s="33" t="n">
        <v>7</v>
      </c>
      <c r="G533" s="33" t="n">
        <v>0</v>
      </c>
      <c r="H533" s="33" t="n">
        <v>737</v>
      </c>
      <c r="I533" s="33" t="inlineStr">
        <is>
          <t>us</t>
        </is>
      </c>
      <c r="J533" s="33" t="n">
        <v>456</v>
      </c>
      <c r="K533" s="33" t="n">
        <v>0</v>
      </c>
      <c r="L533" s="33" t="n">
        <v>15.7</v>
      </c>
      <c r="M533" s="33" t="inlineStr">
        <is>
          <t>mwc</t>
        </is>
      </c>
      <c r="N533" s="33" t="n">
        <v>28</v>
      </c>
      <c r="O533" s="33" t="n">
        <v>-5.966</v>
      </c>
      <c r="P533" s="33" t="n">
        <v>150.428</v>
      </c>
      <c r="Q533" s="33" t="inlineStr">
        <is>
          <t>Kimbe, Papua New Guinea</t>
        </is>
      </c>
      <c r="S533" s="33" t="inlineStr">
        <is>
          <t>Papua New Guinea</t>
        </is>
      </c>
      <c r="T533" s="36">
        <f>DATE(MID(C533,7,4),MID(C533,4,2),MID(C533,1,2))+TIME(MID(C533,12,2),MID(C533,15,2),0)</f>
        <v/>
      </c>
      <c r="U533" s="33">
        <f>IF(ISNUMBER(VALUE(MID(A533,7,1))),"Distance-prefix pattern","Named-region pattern")</f>
        <v/>
      </c>
      <c r="V533" s="33">
        <f>LOWER(M533)</f>
        <v/>
      </c>
      <c r="W533" s="33">
        <f>IF(COUNTIFS($A$2:$A$1001,A533,$C$2:$C$1001,C533)&gt;1,"Duplicate","Unique")</f>
        <v/>
      </c>
      <c r="X533" s="33">
        <f>YEAR(T533)</f>
        <v/>
      </c>
      <c r="Y533" s="33">
        <f>IF(B533&lt;6.5,"&lt;6.5",IF(B533&lt;7,"6.5–6.9",IF(B533&lt;7.5,"7.0–7.4",IF(B533&lt;8,"7.5–7.9","8.0+"))))</f>
        <v/>
      </c>
      <c r="Z533" s="33">
        <f>IF(F533="","Blank",F533)</f>
        <v/>
      </c>
    </row>
    <row r="534" ht="15" customHeight="1" s="34">
      <c r="A534" s="33" t="inlineStr">
        <is>
          <t>M 6.6 - 30 km SSE of Cañete, Chile</t>
        </is>
      </c>
      <c r="B534" s="33" t="n">
        <v>6.6</v>
      </c>
      <c r="C534" s="33" t="inlineStr">
        <is>
          <t>14/07/2010 08:32</t>
        </is>
      </c>
      <c r="D534" s="33" t="n">
        <v>6</v>
      </c>
      <c r="E534" s="33" t="n">
        <v>7</v>
      </c>
      <c r="G534" s="33" t="n">
        <v>0</v>
      </c>
      <c r="H534" s="33" t="n">
        <v>753</v>
      </c>
      <c r="I534" s="33" t="inlineStr">
        <is>
          <t>us</t>
        </is>
      </c>
      <c r="J534" s="33" t="n">
        <v>295</v>
      </c>
      <c r="K534" s="33" t="n">
        <v>0</v>
      </c>
      <c r="L534" s="33" t="n">
        <v>52.8</v>
      </c>
      <c r="M534" s="33" t="inlineStr">
        <is>
          <t>mwc</t>
        </is>
      </c>
      <c r="N534" s="33" t="n">
        <v>22</v>
      </c>
      <c r="O534" s="33" t="n">
        <v>-38.067</v>
      </c>
      <c r="P534" s="33" t="n">
        <v>-73.31</v>
      </c>
      <c r="Q534" s="33" t="inlineStr">
        <is>
          <t>Cañete, Chile</t>
        </is>
      </c>
      <c r="R534" s="33" t="inlineStr">
        <is>
          <t>South America</t>
        </is>
      </c>
      <c r="S534" s="33" t="inlineStr">
        <is>
          <t>Chile</t>
        </is>
      </c>
      <c r="T534" s="36">
        <f>DATE(MID(C534,7,4),MID(C534,4,2),MID(C534,1,2))+TIME(MID(C534,12,2),MID(C534,15,2),0)</f>
        <v/>
      </c>
      <c r="U534" s="33">
        <f>IF(ISNUMBER(VALUE(MID(A534,7,1))),"Distance-prefix pattern","Named-region pattern")</f>
        <v/>
      </c>
      <c r="V534" s="33">
        <f>LOWER(M534)</f>
        <v/>
      </c>
      <c r="W534" s="33">
        <f>IF(COUNTIFS($A$2:$A$1001,A534,$C$2:$C$1001,C534)&gt;1,"Duplicate","Unique")</f>
        <v/>
      </c>
      <c r="X534" s="33">
        <f>YEAR(T534)</f>
        <v/>
      </c>
      <c r="Y534" s="33">
        <f>IF(B534&lt;6.5,"&lt;6.5",IF(B534&lt;7,"6.5–6.9",IF(B534&lt;7.5,"7.0–7.4",IF(B534&lt;8,"7.5–7.9","8.0+"))))</f>
        <v/>
      </c>
      <c r="Z534" s="33">
        <f>IF(F534="","Blank",F534)</f>
        <v/>
      </c>
    </row>
    <row r="535" ht="15" customHeight="1" s="34">
      <c r="A535" s="33" t="inlineStr">
        <is>
          <t>M 6.7 - 55 km WSW of Kirakira, Solomon Islands</t>
        </is>
      </c>
      <c r="B535" s="33" t="n">
        <v>6.7</v>
      </c>
      <c r="C535" s="33" t="inlineStr">
        <is>
          <t>26/06/2010 05:30</t>
        </is>
      </c>
      <c r="D535" s="33" t="n">
        <v>5</v>
      </c>
      <c r="E535" s="33" t="n">
        <v>6</v>
      </c>
      <c r="G535" s="33" t="n">
        <v>0</v>
      </c>
      <c r="H535" s="33" t="n">
        <v>696</v>
      </c>
      <c r="I535" s="33" t="inlineStr">
        <is>
          <t>us</t>
        </is>
      </c>
      <c r="J535" s="33" t="n">
        <v>392</v>
      </c>
      <c r="K535" s="33" t="n">
        <v>0</v>
      </c>
      <c r="L535" s="33" t="n">
        <v>18.7</v>
      </c>
      <c r="M535" s="33" t="inlineStr">
        <is>
          <t>mwc</t>
        </is>
      </c>
      <c r="N535" s="33" t="n">
        <v>35</v>
      </c>
      <c r="O535" s="33" t="n">
        <v>-10.627</v>
      </c>
      <c r="P535" s="33" t="n">
        <v>161.447</v>
      </c>
      <c r="Q535" s="33" t="inlineStr">
        <is>
          <t>Kirakira, Solomon Islands</t>
        </is>
      </c>
      <c r="S535" s="33" t="inlineStr">
        <is>
          <t>Solomon Islands</t>
        </is>
      </c>
      <c r="T535" s="36">
        <f>DATE(MID(C535,7,4),MID(C535,4,2),MID(C535,1,2))+TIME(MID(C535,12,2),MID(C535,15,2),0)</f>
        <v/>
      </c>
      <c r="U535" s="33">
        <f>IF(ISNUMBER(VALUE(MID(A535,7,1))),"Distance-prefix pattern","Named-region pattern")</f>
        <v/>
      </c>
      <c r="V535" s="33">
        <f>LOWER(M535)</f>
        <v/>
      </c>
      <c r="W535" s="33">
        <f>IF(COUNTIFS($A$2:$A$1001,A535,$C$2:$C$1001,C535)&gt;1,"Duplicate","Unique")</f>
        <v/>
      </c>
      <c r="X535" s="33">
        <f>YEAR(T535)</f>
        <v/>
      </c>
      <c r="Y535" s="33">
        <f>IF(B535&lt;6.5,"&lt;6.5",IF(B535&lt;7,"6.5–6.9",IF(B535&lt;7.5,"7.0–7.4",IF(B535&lt;8,"7.5–7.9","8.0+"))))</f>
        <v/>
      </c>
      <c r="Z535" s="33">
        <f>IF(F535="","Blank",F535)</f>
        <v/>
      </c>
    </row>
    <row r="536" ht="15" customHeight="1" s="34">
      <c r="A536" s="33" t="inlineStr">
        <is>
          <t>M 6.6 - 135 km SSE of Biak, Indonesia</t>
        </is>
      </c>
      <c r="B536" s="33" t="n">
        <v>6.6</v>
      </c>
      <c r="C536" s="33" t="inlineStr">
        <is>
          <t>16/06/2010 03:58</t>
        </is>
      </c>
      <c r="D536" s="33" t="n">
        <v>0</v>
      </c>
      <c r="E536" s="33" t="n">
        <v>7</v>
      </c>
      <c r="G536" s="33" t="n">
        <v>0</v>
      </c>
      <c r="H536" s="33" t="n">
        <v>670</v>
      </c>
      <c r="I536" s="33" t="inlineStr">
        <is>
          <t>us</t>
        </is>
      </c>
      <c r="J536" s="33" t="n">
        <v>309</v>
      </c>
      <c r="K536" s="33" t="n">
        <v>0</v>
      </c>
      <c r="L536" s="33" t="n">
        <v>25</v>
      </c>
      <c r="M536" s="33" t="inlineStr">
        <is>
          <t>mwc</t>
        </is>
      </c>
      <c r="N536" s="33" t="n">
        <v>10.5</v>
      </c>
      <c r="O536" s="33" t="n">
        <v>-2.329</v>
      </c>
      <c r="P536" s="33" t="n">
        <v>136.484</v>
      </c>
      <c r="Q536" s="33" t="inlineStr">
        <is>
          <t>Biak, Indonesia</t>
        </is>
      </c>
      <c r="S536" s="33" t="inlineStr">
        <is>
          <t>Indonesia</t>
        </is>
      </c>
      <c r="T536" s="36">
        <f>DATE(MID(C536,7,4),MID(C536,4,2),MID(C536,1,2))+TIME(MID(C536,12,2),MID(C536,15,2),0)</f>
        <v/>
      </c>
      <c r="U536" s="33">
        <f>IF(ISNUMBER(VALUE(MID(A536,7,1))),"Distance-prefix pattern","Named-region pattern")</f>
        <v/>
      </c>
      <c r="V536" s="33">
        <f>LOWER(M536)</f>
        <v/>
      </c>
      <c r="W536" s="33">
        <f>IF(COUNTIFS($A$2:$A$1001,A536,$C$2:$C$1001,C536)&gt;1,"Duplicate","Unique")</f>
        <v/>
      </c>
      <c r="X536" s="33">
        <f>YEAR(T536)</f>
        <v/>
      </c>
      <c r="Y536" s="33">
        <f>IF(B536&lt;6.5,"&lt;6.5",IF(B536&lt;7,"6.5–6.9",IF(B536&lt;7.5,"7.0–7.4",IF(B536&lt;8,"7.5–7.9","8.0+"))))</f>
        <v/>
      </c>
      <c r="Z536" s="33">
        <f>IF(F536="","Blank",F536)</f>
        <v/>
      </c>
    </row>
    <row r="537" ht="15" customHeight="1" s="34">
      <c r="A537" s="33" t="inlineStr">
        <is>
          <t>M 7.0 - 121 km SSE of Biak, Indonesia</t>
        </is>
      </c>
      <c r="B537" s="33" t="n">
        <v>7</v>
      </c>
      <c r="C537" s="33" t="inlineStr">
        <is>
          <t>16/06/2010 03:16</t>
        </is>
      </c>
      <c r="D537" s="33" t="n">
        <v>3</v>
      </c>
      <c r="E537" s="33" t="n">
        <v>7</v>
      </c>
      <c r="G537" s="33" t="n">
        <v>0</v>
      </c>
      <c r="H537" s="33" t="n">
        <v>755</v>
      </c>
      <c r="I537" s="33" t="inlineStr">
        <is>
          <t>us</t>
        </is>
      </c>
      <c r="J537" s="33" t="n">
        <v>307</v>
      </c>
      <c r="K537" s="33" t="n">
        <v>0</v>
      </c>
      <c r="L537" s="33" t="n">
        <v>18.1</v>
      </c>
      <c r="M537" s="33" t="inlineStr">
        <is>
          <t>mwc</t>
        </is>
      </c>
      <c r="N537" s="33" t="n">
        <v>18</v>
      </c>
      <c r="O537" s="33" t="n">
        <v>-2.174</v>
      </c>
      <c r="P537" s="33" t="n">
        <v>136.543</v>
      </c>
      <c r="Q537" s="33" t="inlineStr">
        <is>
          <t>Biak, Indonesia</t>
        </is>
      </c>
      <c r="S537" s="33" t="inlineStr">
        <is>
          <t>Indonesia</t>
        </is>
      </c>
      <c r="T537" s="36">
        <f>DATE(MID(C537,7,4),MID(C537,4,2),MID(C537,1,2))+TIME(MID(C537,12,2),MID(C537,15,2),0)</f>
        <v/>
      </c>
      <c r="U537" s="33">
        <f>IF(ISNUMBER(VALUE(MID(A537,7,1))),"Distance-prefix pattern","Named-region pattern")</f>
        <v/>
      </c>
      <c r="V537" s="33">
        <f>LOWER(M537)</f>
        <v/>
      </c>
      <c r="W537" s="33">
        <f>IF(COUNTIFS($A$2:$A$1001,A537,$C$2:$C$1001,C537)&gt;1,"Duplicate","Unique")</f>
        <v/>
      </c>
      <c r="X537" s="33">
        <f>YEAR(T537)</f>
        <v/>
      </c>
      <c r="Y537" s="33">
        <f>IF(B537&lt;6.5,"&lt;6.5",IF(B537&lt;7,"6.5–6.9",IF(B537&lt;7.5,"7.0–7.4",IF(B537&lt;8,"7.5–7.9","8.0+"))))</f>
        <v/>
      </c>
      <c r="Z537" s="33">
        <f>IF(F537="","Blank",F537)</f>
        <v/>
      </c>
    </row>
    <row r="538" ht="15" customHeight="1" s="34">
      <c r="A538" s="33" t="inlineStr">
        <is>
          <t>M 7.5 - Nicobar Islands, India region</t>
        </is>
      </c>
      <c r="B538" s="33" t="n">
        <v>7.5</v>
      </c>
      <c r="C538" s="33" t="inlineStr">
        <is>
          <t>12/06/2010 19:26</t>
        </is>
      </c>
      <c r="D538" s="33" t="n">
        <v>6</v>
      </c>
      <c r="E538" s="33" t="n">
        <v>5</v>
      </c>
      <c r="G538" s="33" t="n">
        <v>0</v>
      </c>
      <c r="H538" s="33" t="n">
        <v>1144</v>
      </c>
      <c r="I538" s="33" t="inlineStr">
        <is>
          <t>us</t>
        </is>
      </c>
      <c r="J538" s="33" t="n">
        <v>514</v>
      </c>
      <c r="K538" s="33" t="n">
        <v>0</v>
      </c>
      <c r="L538" s="33" t="n">
        <v>18.6</v>
      </c>
      <c r="M538" s="33" t="inlineStr">
        <is>
          <t>mwc</t>
        </is>
      </c>
      <c r="N538" s="33" t="n">
        <v>35</v>
      </c>
      <c r="O538" s="33" t="n">
        <v>7.881</v>
      </c>
      <c r="P538" s="33" t="n">
        <v>91.93600000000001</v>
      </c>
      <c r="Q538" s="33" t="inlineStr">
        <is>
          <t>Nicobar Islands, India region</t>
        </is>
      </c>
      <c r="T538" s="36">
        <f>DATE(MID(C538,7,4),MID(C538,4,2),MID(C538,1,2))+TIME(MID(C538,12,2),MID(C538,15,2),0)</f>
        <v/>
      </c>
      <c r="U538" s="33">
        <f>IF(ISNUMBER(VALUE(MID(A538,7,1))),"Distance-prefix pattern","Named-region pattern")</f>
        <v/>
      </c>
      <c r="V538" s="33">
        <f>LOWER(M538)</f>
        <v/>
      </c>
      <c r="W538" s="33">
        <f>IF(COUNTIFS($A$2:$A$1001,A538,$C$2:$C$1001,C538)&gt;1,"Duplicate","Unique")</f>
        <v/>
      </c>
      <c r="X538" s="33">
        <f>YEAR(T538)</f>
        <v/>
      </c>
      <c r="Y538" s="33">
        <f>IF(B538&lt;6.5,"&lt;6.5",IF(B538&lt;7,"6.5–6.9",IF(B538&lt;7.5,"7.0–7.4",IF(B538&lt;8,"7.5–7.9","8.0+"))))</f>
        <v/>
      </c>
      <c r="Z538" s="33">
        <f>IF(F538="","Blank",F538)</f>
        <v/>
      </c>
    </row>
    <row r="539" ht="15" customHeight="1" s="34">
      <c r="A539" s="33" t="inlineStr">
        <is>
          <t>M 7.2 - 100 km WNW of Sola, Vanuatu</t>
        </is>
      </c>
      <c r="B539" s="33" t="n">
        <v>7.2</v>
      </c>
      <c r="C539" s="33" t="inlineStr">
        <is>
          <t>27/05/2010 17:14</t>
        </is>
      </c>
      <c r="D539" s="33" t="n">
        <v>5</v>
      </c>
      <c r="E539" s="33" t="n">
        <v>6</v>
      </c>
      <c r="G539" s="33" t="n">
        <v>0</v>
      </c>
      <c r="H539" s="33" t="n">
        <v>804</v>
      </c>
      <c r="I539" s="33" t="inlineStr">
        <is>
          <t>us</t>
        </is>
      </c>
      <c r="J539" s="33" t="n">
        <v>327</v>
      </c>
      <c r="K539" s="33" t="n">
        <v>0</v>
      </c>
      <c r="L539" s="33" t="n">
        <v>11.7</v>
      </c>
      <c r="M539" s="33" t="inlineStr">
        <is>
          <t>mwc</t>
        </is>
      </c>
      <c r="N539" s="33" t="n">
        <v>31</v>
      </c>
      <c r="O539" s="33" t="n">
        <v>-13.698</v>
      </c>
      <c r="P539" s="33" t="n">
        <v>166.643</v>
      </c>
      <c r="Q539" s="33" t="inlineStr">
        <is>
          <t>Sola, Vanuatu</t>
        </is>
      </c>
      <c r="S539" s="33" t="inlineStr">
        <is>
          <t>Vanuatu</t>
        </is>
      </c>
      <c r="T539" s="36">
        <f>DATE(MID(C539,7,4),MID(C539,4,2),MID(C539,1,2))+TIME(MID(C539,12,2),MID(C539,15,2),0)</f>
        <v/>
      </c>
      <c r="U539" s="33">
        <f>IF(ISNUMBER(VALUE(MID(A539,7,1))),"Distance-prefix pattern","Named-region pattern")</f>
        <v/>
      </c>
      <c r="V539" s="33">
        <f>LOWER(M539)</f>
        <v/>
      </c>
      <c r="W539" s="33">
        <f>IF(COUNTIFS($A$2:$A$1001,A539,$C$2:$C$1001,C539)&gt;1,"Duplicate","Unique")</f>
        <v/>
      </c>
      <c r="X539" s="33">
        <f>YEAR(T539)</f>
        <v/>
      </c>
      <c r="Y539" s="33">
        <f>IF(B539&lt;6.5,"&lt;6.5",IF(B539&lt;7,"6.5–6.9",IF(B539&lt;7.5,"7.0–7.4",IF(B539&lt;8,"7.5–7.9","8.0+"))))</f>
        <v/>
      </c>
      <c r="Z539" s="33">
        <f>IF(F539="","Blank",F539)</f>
        <v/>
      </c>
    </row>
    <row r="540" ht="15" customHeight="1" s="34">
      <c r="A540" s="33" t="inlineStr">
        <is>
          <t>M 7.2 - 45 km SSW of Meulaboh, Indonesia</t>
        </is>
      </c>
      <c r="B540" s="33" t="n">
        <v>7.2</v>
      </c>
      <c r="C540" s="33" t="inlineStr">
        <is>
          <t>09/05/2010 05:59</t>
        </is>
      </c>
      <c r="D540" s="33" t="n">
        <v>5</v>
      </c>
      <c r="E540" s="33" t="n">
        <v>6</v>
      </c>
      <c r="G540" s="33" t="n">
        <v>0</v>
      </c>
      <c r="H540" s="33" t="n">
        <v>918</v>
      </c>
      <c r="I540" s="33" t="inlineStr">
        <is>
          <t>us</t>
        </is>
      </c>
      <c r="J540" s="33" t="n">
        <v>611</v>
      </c>
      <c r="K540" s="33" t="n">
        <v>0</v>
      </c>
      <c r="L540" s="33" t="n">
        <v>20.6</v>
      </c>
      <c r="M540" s="33" t="inlineStr">
        <is>
          <t>mwc</t>
        </is>
      </c>
      <c r="N540" s="33" t="n">
        <v>38</v>
      </c>
      <c r="O540" s="33" t="n">
        <v>3.748</v>
      </c>
      <c r="P540" s="33" t="n">
        <v>96.018</v>
      </c>
      <c r="Q540" s="33" t="inlineStr">
        <is>
          <t>Meulaboh, Indonesia</t>
        </is>
      </c>
      <c r="S540" s="33" t="inlineStr">
        <is>
          <t>Indonesia</t>
        </is>
      </c>
      <c r="T540" s="36">
        <f>DATE(MID(C540,7,4),MID(C540,4,2),MID(C540,1,2))+TIME(MID(C540,12,2),MID(C540,15,2),0)</f>
        <v/>
      </c>
      <c r="U540" s="33">
        <f>IF(ISNUMBER(VALUE(MID(A540,7,1))),"Distance-prefix pattern","Named-region pattern")</f>
        <v/>
      </c>
      <c r="V540" s="33">
        <f>LOWER(M540)</f>
        <v/>
      </c>
      <c r="W540" s="33">
        <f>IF(COUNTIFS($A$2:$A$1001,A540,$C$2:$C$1001,C540)&gt;1,"Duplicate","Unique")</f>
        <v/>
      </c>
      <c r="X540" s="33">
        <f>YEAR(T540)</f>
        <v/>
      </c>
      <c r="Y540" s="33">
        <f>IF(B540&lt;6.5,"&lt;6.5",IF(B540&lt;7,"6.5–6.9",IF(B540&lt;7.5,"7.0–7.4",IF(B540&lt;8,"7.5–7.9","8.0+"))))</f>
        <v/>
      </c>
      <c r="Z540" s="33">
        <f>IF(F540="","Blank",F540)</f>
        <v/>
      </c>
    </row>
    <row r="541" ht="15" customHeight="1" s="34">
      <c r="A541" s="33" t="inlineStr">
        <is>
          <t>M 6.9 - 233 km NNW of Qamdo, China</t>
        </is>
      </c>
      <c r="B541" s="33" t="n">
        <v>6.9</v>
      </c>
      <c r="C541" s="33" t="inlineStr">
        <is>
          <t>13/04/2010 23:49</t>
        </is>
      </c>
      <c r="D541" s="33" t="n">
        <v>6</v>
      </c>
      <c r="E541" s="33" t="n">
        <v>9</v>
      </c>
      <c r="G541" s="33" t="n">
        <v>0</v>
      </c>
      <c r="H541" s="33" t="n">
        <v>773</v>
      </c>
      <c r="I541" s="33" t="inlineStr">
        <is>
          <t>us</t>
        </is>
      </c>
      <c r="J541" s="33" t="n">
        <v>410</v>
      </c>
      <c r="K541" s="33" t="n">
        <v>0</v>
      </c>
      <c r="L541" s="33" t="n">
        <v>14.9</v>
      </c>
      <c r="M541" s="33" t="inlineStr">
        <is>
          <t>mwc</t>
        </is>
      </c>
      <c r="N541" s="33" t="n">
        <v>17</v>
      </c>
      <c r="O541" s="33" t="n">
        <v>33.165</v>
      </c>
      <c r="P541" s="33" t="n">
        <v>96.548</v>
      </c>
      <c r="Q541" s="33" t="inlineStr">
        <is>
          <t>Qamdo, China</t>
        </is>
      </c>
      <c r="R541" s="33" t="inlineStr">
        <is>
          <t>Asia</t>
        </is>
      </c>
      <c r="S541" s="33" t="inlineStr">
        <is>
          <t>People's Republic of China</t>
        </is>
      </c>
      <c r="T541" s="36">
        <f>DATE(MID(C541,7,4),MID(C541,4,2),MID(C541,1,2))+TIME(MID(C541,12,2),MID(C541,15,2),0)</f>
        <v/>
      </c>
      <c r="U541" s="33">
        <f>IF(ISNUMBER(VALUE(MID(A541,7,1))),"Distance-prefix pattern","Named-region pattern")</f>
        <v/>
      </c>
      <c r="V541" s="33">
        <f>LOWER(M541)</f>
        <v/>
      </c>
      <c r="W541" s="33">
        <f>IF(COUNTIFS($A$2:$A$1001,A541,$C$2:$C$1001,C541)&gt;1,"Duplicate","Unique")</f>
        <v/>
      </c>
      <c r="X541" s="33">
        <f>YEAR(T541)</f>
        <v/>
      </c>
      <c r="Y541" s="33">
        <f>IF(B541&lt;6.5,"&lt;6.5",IF(B541&lt;7,"6.5–6.9",IF(B541&lt;7.5,"7.0–7.4",IF(B541&lt;8,"7.5–7.9","8.0+"))))</f>
        <v/>
      </c>
      <c r="Z541" s="33">
        <f>IF(F541="","Blank",F541)</f>
        <v/>
      </c>
    </row>
    <row r="542" ht="15" customHeight="1" s="34">
      <c r="A542" s="33" t="inlineStr">
        <is>
          <t>M 6.9 - 99 km WSW of Kirakira, Solomon Islands</t>
        </is>
      </c>
      <c r="B542" s="33" t="n">
        <v>6.9</v>
      </c>
      <c r="C542" s="33" t="inlineStr">
        <is>
          <t>11/04/2010 09:40</t>
        </is>
      </c>
      <c r="D542" s="33" t="n">
        <v>4</v>
      </c>
      <c r="E542" s="33" t="n">
        <v>5</v>
      </c>
      <c r="G542" s="33" t="n">
        <v>0</v>
      </c>
      <c r="H542" s="33" t="n">
        <v>740</v>
      </c>
      <c r="I542" s="33" t="inlineStr">
        <is>
          <t>us</t>
        </is>
      </c>
      <c r="J542" s="33" t="n">
        <v>399</v>
      </c>
      <c r="K542" s="33" t="n">
        <v>0</v>
      </c>
      <c r="L542" s="33" t="n">
        <v>12.1</v>
      </c>
      <c r="M542" s="33" t="inlineStr">
        <is>
          <t>mwc</t>
        </is>
      </c>
      <c r="N542" s="33" t="n">
        <v>21</v>
      </c>
      <c r="O542" s="33" t="n">
        <v>-10.878</v>
      </c>
      <c r="P542" s="33" t="n">
        <v>161.116</v>
      </c>
      <c r="Q542" s="33" t="inlineStr">
        <is>
          <t>Kirakira, Solomon Islands</t>
        </is>
      </c>
      <c r="T542" s="36">
        <f>DATE(MID(C542,7,4),MID(C542,4,2),MID(C542,1,2))+TIME(MID(C542,12,2),MID(C542,15,2),0)</f>
        <v/>
      </c>
      <c r="U542" s="33">
        <f>IF(ISNUMBER(VALUE(MID(A542,7,1))),"Distance-prefix pattern","Named-region pattern")</f>
        <v/>
      </c>
      <c r="V542" s="33">
        <f>LOWER(M542)</f>
        <v/>
      </c>
      <c r="W542" s="33">
        <f>IF(COUNTIFS($A$2:$A$1001,A542,$C$2:$C$1001,C542)&gt;1,"Duplicate","Unique")</f>
        <v/>
      </c>
      <c r="X542" s="33">
        <f>YEAR(T542)</f>
        <v/>
      </c>
      <c r="Y542" s="33">
        <f>IF(B542&lt;6.5,"&lt;6.5",IF(B542&lt;7,"6.5–6.9",IF(B542&lt;7.5,"7.0–7.4",IF(B542&lt;8,"7.5–7.9","8.0+"))))</f>
        <v/>
      </c>
      <c r="Z542" s="33">
        <f>IF(F542="","Blank",F542)</f>
        <v/>
      </c>
    </row>
    <row r="543" ht="15" customHeight="1" s="34">
      <c r="A543" s="33" t="inlineStr">
        <is>
          <t>M 7.8 - 75 km E of Sinabang, Indonesia</t>
        </is>
      </c>
      <c r="B543" s="33" t="n">
        <v>7.8</v>
      </c>
      <c r="C543" s="33" t="inlineStr">
        <is>
          <t>06/04/2010 22:15</t>
        </is>
      </c>
      <c r="D543" s="33" t="n">
        <v>0</v>
      </c>
      <c r="E543" s="33" t="n">
        <v>7</v>
      </c>
      <c r="G543" s="33" t="n">
        <v>0</v>
      </c>
      <c r="H543" s="33" t="n">
        <v>936</v>
      </c>
      <c r="I543" s="33" t="inlineStr">
        <is>
          <t>us</t>
        </is>
      </c>
      <c r="J543" s="33" t="n">
        <v>352</v>
      </c>
      <c r="K543" s="33" t="n">
        <v>0</v>
      </c>
      <c r="L543" s="33" t="n">
        <v>19.2</v>
      </c>
      <c r="M543" s="33" t="inlineStr">
        <is>
          <t>mwc</t>
        </is>
      </c>
      <c r="N543" s="33" t="n">
        <v>31</v>
      </c>
      <c r="O543" s="33" t="n">
        <v>2.383</v>
      </c>
      <c r="P543" s="33" t="n">
        <v>97.048</v>
      </c>
      <c r="Q543" s="33" t="inlineStr">
        <is>
          <t>Sinabang, Indonesia</t>
        </is>
      </c>
      <c r="S543" s="33" t="inlineStr">
        <is>
          <t>Indonesia</t>
        </is>
      </c>
      <c r="T543" s="36">
        <f>DATE(MID(C543,7,4),MID(C543,4,2),MID(C543,1,2))+TIME(MID(C543,12,2),MID(C543,15,2),0)</f>
        <v/>
      </c>
      <c r="U543" s="33">
        <f>IF(ISNUMBER(VALUE(MID(A543,7,1))),"Distance-prefix pattern","Named-region pattern")</f>
        <v/>
      </c>
      <c r="V543" s="33">
        <f>LOWER(M543)</f>
        <v/>
      </c>
      <c r="W543" s="33">
        <f>IF(COUNTIFS($A$2:$A$1001,A543,$C$2:$C$1001,C543)&gt;1,"Duplicate","Unique")</f>
        <v/>
      </c>
      <c r="X543" s="33">
        <f>YEAR(T543)</f>
        <v/>
      </c>
      <c r="Y543" s="33">
        <f>IF(B543&lt;6.5,"&lt;6.5",IF(B543&lt;7,"6.5–6.9",IF(B543&lt;7.5,"7.0–7.4",IF(B543&lt;8,"7.5–7.9","8.0+"))))</f>
        <v/>
      </c>
      <c r="Z543" s="33">
        <f>IF(F543="","Blank",F543)</f>
        <v/>
      </c>
    </row>
    <row r="544" ht="15" customHeight="1" s="34">
      <c r="A544" s="33" t="inlineStr">
        <is>
          <t>M 7.2 - 12km SW of Delta, B.C., MX</t>
        </is>
      </c>
      <c r="B544" s="33" t="n">
        <v>7.2</v>
      </c>
      <c r="C544" s="33" t="inlineStr">
        <is>
          <t>04/04/2010 22:40</t>
        </is>
      </c>
      <c r="D544" s="33" t="n">
        <v>9</v>
      </c>
      <c r="E544" s="33" t="n">
        <v>9</v>
      </c>
      <c r="F544" s="33" t="inlineStr">
        <is>
          <t>red</t>
        </is>
      </c>
      <c r="G544" s="33" t="n">
        <v>0</v>
      </c>
      <c r="H544" s="33" t="n">
        <v>2910</v>
      </c>
      <c r="I544" s="33" t="inlineStr">
        <is>
          <t>ci</t>
        </is>
      </c>
      <c r="J544" s="33" t="n">
        <v>10</v>
      </c>
      <c r="K544" s="33" t="n">
        <v>0.5137</v>
      </c>
      <c r="L544" s="33" t="n">
        <v>239</v>
      </c>
      <c r="M544" s="33" t="inlineStr">
        <is>
          <t>mw</t>
        </is>
      </c>
      <c r="N544" s="33" t="n">
        <v>9.987</v>
      </c>
      <c r="O544" s="33" t="n">
        <v>32.2862</v>
      </c>
      <c r="P544" s="33" t="n">
        <v>-115.295</v>
      </c>
      <c r="Q544" s="33" t="inlineStr">
        <is>
          <t>Delta, B.C., MX</t>
        </is>
      </c>
      <c r="R544" s="33" t="inlineStr">
        <is>
          <t>North America</t>
        </is>
      </c>
      <c r="S544" s="33" t="inlineStr">
        <is>
          <t>Mexico</t>
        </is>
      </c>
      <c r="T544" s="36">
        <f>DATE(MID(C544,7,4),MID(C544,4,2),MID(C544,1,2))+TIME(MID(C544,12,2),MID(C544,15,2),0)</f>
        <v/>
      </c>
      <c r="U544" s="33">
        <f>IF(ISNUMBER(VALUE(MID(A544,7,1))),"Distance-prefix pattern","Named-region pattern")</f>
        <v/>
      </c>
      <c r="V544" s="33">
        <f>LOWER(M544)</f>
        <v/>
      </c>
      <c r="W544" s="33">
        <f>IF(COUNTIFS($A$2:$A$1001,A544,$C$2:$C$1001,C544)&gt;1,"Duplicate","Unique")</f>
        <v/>
      </c>
      <c r="X544" s="33">
        <f>YEAR(T544)</f>
        <v/>
      </c>
      <c r="Y544" s="33">
        <f>IF(B544&lt;6.5,"&lt;6.5",IF(B544&lt;7,"6.5–6.9",IF(B544&lt;7.5,"7.0–7.4",IF(B544&lt;8,"7.5–7.9","8.0+"))))</f>
        <v/>
      </c>
      <c r="Z544" s="33">
        <f>IF(F544="","Blank",F544)</f>
        <v/>
      </c>
    </row>
    <row r="545" ht="15" customHeight="1" s="34">
      <c r="A545" s="33" t="inlineStr">
        <is>
          <t>M 6.6 - 217 km N of Bamboo Flat, India</t>
        </is>
      </c>
      <c r="B545" s="33" t="n">
        <v>6.6</v>
      </c>
      <c r="C545" s="33" t="inlineStr">
        <is>
          <t>30/03/2010 16:54</t>
        </is>
      </c>
      <c r="D545" s="33" t="n">
        <v>5</v>
      </c>
      <c r="E545" s="33" t="n">
        <v>6</v>
      </c>
      <c r="G545" s="33" t="n">
        <v>0</v>
      </c>
      <c r="H545" s="33" t="n">
        <v>701</v>
      </c>
      <c r="I545" s="33" t="inlineStr">
        <is>
          <t>us</t>
        </is>
      </c>
      <c r="J545" s="33" t="n">
        <v>413</v>
      </c>
      <c r="K545" s="33" t="n">
        <v>0</v>
      </c>
      <c r="L545" s="33" t="n">
        <v>16.7</v>
      </c>
      <c r="M545" s="33" t="inlineStr">
        <is>
          <t>mwc</t>
        </is>
      </c>
      <c r="N545" s="33" t="n">
        <v>34</v>
      </c>
      <c r="O545" s="33" t="n">
        <v>13.667</v>
      </c>
      <c r="P545" s="33" t="n">
        <v>92.831</v>
      </c>
      <c r="Q545" s="33" t="inlineStr">
        <is>
          <t>Bamboo Flat, India</t>
        </is>
      </c>
      <c r="S545" s="33" t="inlineStr">
        <is>
          <t>India</t>
        </is>
      </c>
      <c r="T545" s="36">
        <f>DATE(MID(C545,7,4),MID(C545,4,2),MID(C545,1,2))+TIME(MID(C545,12,2),MID(C545,15,2),0)</f>
        <v/>
      </c>
      <c r="U545" s="33">
        <f>IF(ISNUMBER(VALUE(MID(A545,7,1))),"Distance-prefix pattern","Named-region pattern")</f>
        <v/>
      </c>
      <c r="V545" s="33">
        <f>LOWER(M545)</f>
        <v/>
      </c>
      <c r="W545" s="33">
        <f>IF(COUNTIFS($A$2:$A$1001,A545,$C$2:$C$1001,C545)&gt;1,"Duplicate","Unique")</f>
        <v/>
      </c>
      <c r="X545" s="33">
        <f>YEAR(T545)</f>
        <v/>
      </c>
      <c r="Y545" s="33">
        <f>IF(B545&lt;6.5,"&lt;6.5",IF(B545&lt;7,"6.5–6.9",IF(B545&lt;7.5,"7.0–7.4",IF(B545&lt;8,"7.5–7.9","8.0+"))))</f>
        <v/>
      </c>
      <c r="Z545" s="33">
        <f>IF(F545="","Blank",F545)</f>
        <v/>
      </c>
    </row>
    <row r="546" ht="15" customHeight="1" s="34">
      <c r="A546" s="33" t="inlineStr">
        <is>
          <t>M 6.7 - 52 km NNW of Tomé, Chile</t>
        </is>
      </c>
      <c r="B546" s="33" t="n">
        <v>6.7</v>
      </c>
      <c r="C546" s="33" t="inlineStr">
        <is>
          <t>16/03/2010 02:21</t>
        </is>
      </c>
      <c r="D546" s="33" t="n">
        <v>5</v>
      </c>
      <c r="E546" s="33" t="n">
        <v>6</v>
      </c>
      <c r="G546" s="33" t="n">
        <v>0</v>
      </c>
      <c r="H546" s="33" t="n">
        <v>856</v>
      </c>
      <c r="I546" s="33" t="inlineStr">
        <is>
          <t>us</t>
        </is>
      </c>
      <c r="J546" s="33" t="n">
        <v>312</v>
      </c>
      <c r="K546" s="33" t="n">
        <v>0</v>
      </c>
      <c r="L546" s="33" t="n">
        <v>34.7</v>
      </c>
      <c r="M546" s="33" t="inlineStr">
        <is>
          <t>mwc</t>
        </is>
      </c>
      <c r="N546" s="33" t="n">
        <v>18</v>
      </c>
      <c r="O546" s="33" t="n">
        <v>-36.217</v>
      </c>
      <c r="P546" s="33" t="n">
        <v>-73.25700000000001</v>
      </c>
      <c r="Q546" s="33" t="inlineStr">
        <is>
          <t>Tomé, Chile</t>
        </is>
      </c>
      <c r="T546" s="36">
        <f>DATE(MID(C546,7,4),MID(C546,4,2),MID(C546,1,2))+TIME(MID(C546,12,2),MID(C546,15,2),0)</f>
        <v/>
      </c>
      <c r="U546" s="33">
        <f>IF(ISNUMBER(VALUE(MID(A546,7,1))),"Distance-prefix pattern","Named-region pattern")</f>
        <v/>
      </c>
      <c r="V546" s="33">
        <f>LOWER(M546)</f>
        <v/>
      </c>
      <c r="W546" s="33">
        <f>IF(COUNTIFS($A$2:$A$1001,A546,$C$2:$C$1001,C546)&gt;1,"Duplicate","Unique")</f>
        <v/>
      </c>
      <c r="X546" s="33">
        <f>YEAR(T546)</f>
        <v/>
      </c>
      <c r="Y546" s="33">
        <f>IF(B546&lt;6.5,"&lt;6.5",IF(B546&lt;7,"6.5–6.9",IF(B546&lt;7.5,"7.0–7.4",IF(B546&lt;8,"7.5–7.9","8.0+"))))</f>
        <v/>
      </c>
      <c r="Z546" s="33">
        <f>IF(F546="","Blank",F546)</f>
        <v/>
      </c>
    </row>
    <row r="547" ht="15" customHeight="1" s="34">
      <c r="A547" s="33" t="inlineStr">
        <is>
          <t>M 6.5 - 59 km ENE of Namie, Japan</t>
        </is>
      </c>
      <c r="B547" s="33" t="n">
        <v>6.5</v>
      </c>
      <c r="C547" s="33" t="inlineStr">
        <is>
          <t>14/03/2010 08:08</t>
        </is>
      </c>
      <c r="D547" s="33" t="n">
        <v>6</v>
      </c>
      <c r="E547" s="33" t="n">
        <v>5</v>
      </c>
      <c r="G547" s="33" t="n">
        <v>0</v>
      </c>
      <c r="H547" s="33" t="n">
        <v>810</v>
      </c>
      <c r="I547" s="33" t="inlineStr">
        <is>
          <t>us</t>
        </is>
      </c>
      <c r="J547" s="33" t="n">
        <v>491</v>
      </c>
      <c r="K547" s="33" t="n">
        <v>0</v>
      </c>
      <c r="L547" s="33" t="n">
        <v>27</v>
      </c>
      <c r="M547" s="33" t="inlineStr">
        <is>
          <t>mwc</t>
        </is>
      </c>
      <c r="N547" s="33" t="n">
        <v>32</v>
      </c>
      <c r="O547" s="33" t="n">
        <v>37.745</v>
      </c>
      <c r="P547" s="33" t="n">
        <v>141.59</v>
      </c>
      <c r="Q547" s="33" t="inlineStr">
        <is>
          <t>Namie, Japan</t>
        </is>
      </c>
      <c r="T547" s="36">
        <f>DATE(MID(C547,7,4),MID(C547,4,2),MID(C547,1,2))+TIME(MID(C547,12,2),MID(C547,15,2),0)</f>
        <v/>
      </c>
      <c r="U547" s="33">
        <f>IF(ISNUMBER(VALUE(MID(A547,7,1))),"Distance-prefix pattern","Named-region pattern")</f>
        <v/>
      </c>
      <c r="V547" s="33">
        <f>LOWER(M547)</f>
        <v/>
      </c>
      <c r="W547" s="33">
        <f>IF(COUNTIFS($A$2:$A$1001,A547,$C$2:$C$1001,C547)&gt;1,"Duplicate","Unique")</f>
        <v/>
      </c>
      <c r="X547" s="33">
        <f>YEAR(T547)</f>
        <v/>
      </c>
      <c r="Y547" s="33">
        <f>IF(B547&lt;6.5,"&lt;6.5",IF(B547&lt;7,"6.5–6.9",IF(B547&lt;7.5,"7.0–7.4",IF(B547&lt;8,"7.5–7.9","8.0+"))))</f>
        <v/>
      </c>
      <c r="Z547" s="33">
        <f>IF(F547="","Blank",F547)</f>
        <v/>
      </c>
    </row>
    <row r="548" ht="15" customHeight="1" s="34">
      <c r="A548" s="33" t="inlineStr">
        <is>
          <t>M 7.0 - 52 km NW of Santa Cruz, Chile</t>
        </is>
      </c>
      <c r="B548" s="33" t="n">
        <v>7</v>
      </c>
      <c r="C548" s="33" t="inlineStr">
        <is>
          <t>11/03/2010 14:55</t>
        </is>
      </c>
      <c r="D548" s="33" t="n">
        <v>7</v>
      </c>
      <c r="E548" s="33" t="n">
        <v>7</v>
      </c>
      <c r="G548" s="33" t="n">
        <v>0</v>
      </c>
      <c r="H548" s="33" t="n">
        <v>874</v>
      </c>
      <c r="I548" s="33" t="inlineStr">
        <is>
          <t>us</t>
        </is>
      </c>
      <c r="J548" s="33" t="n">
        <v>403</v>
      </c>
      <c r="K548" s="33" t="n">
        <v>0</v>
      </c>
      <c r="L548" s="33" t="n">
        <v>17.1</v>
      </c>
      <c r="M548" s="33" t="inlineStr">
        <is>
          <t>mwc</t>
        </is>
      </c>
      <c r="N548" s="33" t="n">
        <v>18</v>
      </c>
      <c r="O548" s="33" t="n">
        <v>-34.326</v>
      </c>
      <c r="P548" s="33" t="n">
        <v>-71.79900000000001</v>
      </c>
      <c r="Q548" s="33" t="inlineStr">
        <is>
          <t>Santa Cruz, Chile</t>
        </is>
      </c>
      <c r="R548" s="33" t="inlineStr">
        <is>
          <t>South America</t>
        </is>
      </c>
      <c r="S548" s="33" t="inlineStr">
        <is>
          <t>Chile</t>
        </is>
      </c>
      <c r="T548" s="36">
        <f>DATE(MID(C548,7,4),MID(C548,4,2),MID(C548,1,2))+TIME(MID(C548,12,2),MID(C548,15,2),0)</f>
        <v/>
      </c>
      <c r="U548" s="33">
        <f>IF(ISNUMBER(VALUE(MID(A548,7,1))),"Distance-prefix pattern","Named-region pattern")</f>
        <v/>
      </c>
      <c r="V548" s="33">
        <f>LOWER(M548)</f>
        <v/>
      </c>
      <c r="W548" s="33">
        <f>IF(COUNTIFS($A$2:$A$1001,A548,$C$2:$C$1001,C548)&gt;1,"Duplicate","Unique")</f>
        <v/>
      </c>
      <c r="X548" s="33">
        <f>YEAR(T548)</f>
        <v/>
      </c>
      <c r="Y548" s="33">
        <f>IF(B548&lt;6.5,"&lt;6.5",IF(B548&lt;7,"6.5–6.9",IF(B548&lt;7.5,"7.0–7.4",IF(B548&lt;8,"7.5–7.9","8.0+"))))</f>
        <v/>
      </c>
      <c r="Z548" s="33">
        <f>IF(F548="","Blank",F548)</f>
        <v/>
      </c>
    </row>
    <row r="549" ht="15" customHeight="1" s="34">
      <c r="A549" s="33" t="inlineStr">
        <is>
          <t>M 6.9 - 61 km NW of Santa Cruz, Chile</t>
        </is>
      </c>
      <c r="B549" s="33" t="n">
        <v>6.9</v>
      </c>
      <c r="C549" s="33" t="inlineStr">
        <is>
          <t>11/03/2010 14:39</t>
        </is>
      </c>
      <c r="D549" s="33" t="n">
        <v>7</v>
      </c>
      <c r="E549" s="33" t="n">
        <v>7</v>
      </c>
      <c r="G549" s="33" t="n">
        <v>0</v>
      </c>
      <c r="H549" s="33" t="n">
        <v>1280</v>
      </c>
      <c r="I549" s="33" t="inlineStr">
        <is>
          <t>us</t>
        </is>
      </c>
      <c r="J549" s="33" t="n">
        <v>415</v>
      </c>
      <c r="K549" s="33" t="n">
        <v>0</v>
      </c>
      <c r="L549" s="33" t="n">
        <v>12.5</v>
      </c>
      <c r="M549" s="33" t="inlineStr">
        <is>
          <t>mwc</t>
        </is>
      </c>
      <c r="N549" s="33" t="n">
        <v>11</v>
      </c>
      <c r="O549" s="33" t="n">
        <v>-34.29</v>
      </c>
      <c r="P549" s="33" t="n">
        <v>-71.89100000000001</v>
      </c>
      <c r="Q549" s="33" t="inlineStr">
        <is>
          <t>Santa Cruz, Chile</t>
        </is>
      </c>
      <c r="R549" s="33" t="inlineStr">
        <is>
          <t>South America</t>
        </is>
      </c>
      <c r="S549" s="33" t="inlineStr">
        <is>
          <t>Chile</t>
        </is>
      </c>
      <c r="T549" s="36">
        <f>DATE(MID(C549,7,4),MID(C549,4,2),MID(C549,1,2))+TIME(MID(C549,12,2),MID(C549,15,2),0)</f>
        <v/>
      </c>
      <c r="U549" s="33">
        <f>IF(ISNUMBER(VALUE(MID(A549,7,1))),"Distance-prefix pattern","Named-region pattern")</f>
        <v/>
      </c>
      <c r="V549" s="33">
        <f>LOWER(M549)</f>
        <v/>
      </c>
      <c r="W549" s="33">
        <f>IF(COUNTIFS($A$2:$A$1001,A549,$C$2:$C$1001,C549)&gt;1,"Duplicate","Unique")</f>
        <v/>
      </c>
      <c r="X549" s="33">
        <f>YEAR(T549)</f>
        <v/>
      </c>
      <c r="Y549" s="33">
        <f>IF(B549&lt;6.5,"&lt;6.5",IF(B549&lt;7,"6.5–6.9",IF(B549&lt;7.5,"7.0–7.4",IF(B549&lt;8,"7.5–7.9","8.0+"))))</f>
        <v/>
      </c>
      <c r="Z549" s="33">
        <f>IF(F549="","Blank",F549)</f>
        <v/>
      </c>
    </row>
    <row r="550" ht="15" customHeight="1" s="34">
      <c r="A550" s="33" t="inlineStr">
        <is>
          <t>M 6.8 - 141 km W of Bengkulu, Indonesia</t>
        </is>
      </c>
      <c r="B550" s="33" t="n">
        <v>6.8</v>
      </c>
      <c r="C550" s="33" t="inlineStr">
        <is>
          <t>05/03/2010 16:07</t>
        </is>
      </c>
      <c r="D550" s="33" t="n">
        <v>4</v>
      </c>
      <c r="E550" s="33" t="n">
        <v>6</v>
      </c>
      <c r="G550" s="33" t="n">
        <v>0</v>
      </c>
      <c r="H550" s="33" t="n">
        <v>717</v>
      </c>
      <c r="I550" s="33" t="inlineStr">
        <is>
          <t>us</t>
        </is>
      </c>
      <c r="J550" s="33" t="n">
        <v>401</v>
      </c>
      <c r="K550" s="33" t="n">
        <v>0</v>
      </c>
      <c r="L550" s="33" t="n">
        <v>23.2</v>
      </c>
      <c r="M550" s="33" t="inlineStr">
        <is>
          <t>mwc</t>
        </is>
      </c>
      <c r="N550" s="33" t="n">
        <v>26</v>
      </c>
      <c r="O550" s="33" t="n">
        <v>-3.762</v>
      </c>
      <c r="P550" s="33" t="n">
        <v>100.991</v>
      </c>
      <c r="Q550" s="33" t="inlineStr">
        <is>
          <t>Bengkulu, Indonesia</t>
        </is>
      </c>
      <c r="S550" s="33" t="inlineStr">
        <is>
          <t>Indonesia</t>
        </is>
      </c>
      <c r="T550" s="36">
        <f>DATE(MID(C550,7,4),MID(C550,4,2),MID(C550,1,2))+TIME(MID(C550,12,2),MID(C550,15,2),0)</f>
        <v/>
      </c>
      <c r="U550" s="33">
        <f>IF(ISNUMBER(VALUE(MID(A550,7,1))),"Distance-prefix pattern","Named-region pattern")</f>
        <v/>
      </c>
      <c r="V550" s="33">
        <f>LOWER(M550)</f>
        <v/>
      </c>
      <c r="W550" s="33">
        <f>IF(COUNTIFS($A$2:$A$1001,A550,$C$2:$C$1001,C550)&gt;1,"Duplicate","Unique")</f>
        <v/>
      </c>
      <c r="X550" s="33">
        <f>YEAR(T550)</f>
        <v/>
      </c>
      <c r="Y550" s="33">
        <f>IF(B550&lt;6.5,"&lt;6.5",IF(B550&lt;7,"6.5–6.9",IF(B550&lt;7.5,"7.0–7.4",IF(B550&lt;8,"7.5–7.9","8.0+"))))</f>
        <v/>
      </c>
      <c r="Z550" s="33">
        <f>IF(F550="","Blank",F550)</f>
        <v/>
      </c>
    </row>
    <row r="551" ht="15" customHeight="1" s="34">
      <c r="A551" s="33" t="inlineStr">
        <is>
          <t>M 6.6 - 23 km WNW of Talcahuano, Chile</t>
        </is>
      </c>
      <c r="B551" s="33" t="n">
        <v>6.6</v>
      </c>
      <c r="C551" s="33" t="inlineStr">
        <is>
          <t>05/03/2010 11:47</t>
        </is>
      </c>
      <c r="D551" s="33" t="n">
        <v>7</v>
      </c>
      <c r="E551" s="33" t="n">
        <v>7</v>
      </c>
      <c r="G551" s="33" t="n">
        <v>0</v>
      </c>
      <c r="H551" s="33" t="n">
        <v>736</v>
      </c>
      <c r="I551" s="33" t="inlineStr">
        <is>
          <t>us</t>
        </is>
      </c>
      <c r="J551" s="33" t="n">
        <v>255</v>
      </c>
      <c r="K551" s="33" t="n">
        <v>0</v>
      </c>
      <c r="L551" s="33" t="n">
        <v>27.8</v>
      </c>
      <c r="M551" s="33" t="inlineStr">
        <is>
          <t>mwb</t>
        </is>
      </c>
      <c r="N551" s="33" t="n">
        <v>18</v>
      </c>
      <c r="O551" s="33" t="n">
        <v>-36.665</v>
      </c>
      <c r="P551" s="33" t="n">
        <v>-73.374</v>
      </c>
      <c r="Q551" s="33" t="inlineStr">
        <is>
          <t>Talcahuano, Chile</t>
        </is>
      </c>
      <c r="S551" s="33" t="inlineStr">
        <is>
          <t>Chile</t>
        </is>
      </c>
      <c r="T551" s="36">
        <f>DATE(MID(C551,7,4),MID(C551,4,2),MID(C551,1,2))+TIME(MID(C551,12,2),MID(C551,15,2),0)</f>
        <v/>
      </c>
      <c r="U551" s="33">
        <f>IF(ISNUMBER(VALUE(MID(A551,7,1))),"Distance-prefix pattern","Named-region pattern")</f>
        <v/>
      </c>
      <c r="V551" s="33">
        <f>LOWER(M551)</f>
        <v/>
      </c>
      <c r="W551" s="33">
        <f>IF(COUNTIFS($A$2:$A$1001,A551,$C$2:$C$1001,C551)&gt;1,"Duplicate","Unique")</f>
        <v/>
      </c>
      <c r="X551" s="33">
        <f>YEAR(T551)</f>
        <v/>
      </c>
      <c r="Y551" s="33">
        <f>IF(B551&lt;6.5,"&lt;6.5",IF(B551&lt;7,"6.5–6.9",IF(B551&lt;7.5,"7.0–7.4",IF(B551&lt;8,"7.5–7.9","8.0+"))))</f>
        <v/>
      </c>
      <c r="Z551" s="33">
        <f>IF(F551="","Blank",F551)</f>
        <v/>
      </c>
    </row>
    <row r="552" ht="15" customHeight="1" s="34">
      <c r="A552" s="33" t="inlineStr">
        <is>
          <t>M 6.5 - 48 km NW of Sola, Vanuatu</t>
        </is>
      </c>
      <c r="B552" s="33" t="n">
        <v>6.5</v>
      </c>
      <c r="C552" s="33" t="inlineStr">
        <is>
          <t>04/03/2010 14:02</t>
        </is>
      </c>
      <c r="D552" s="33" t="n">
        <v>0</v>
      </c>
      <c r="E552" s="33" t="n">
        <v>4</v>
      </c>
      <c r="G552" s="33" t="n">
        <v>0</v>
      </c>
      <c r="H552" s="33" t="n">
        <v>650</v>
      </c>
      <c r="I552" s="33" t="inlineStr">
        <is>
          <t>us</t>
        </is>
      </c>
      <c r="J552" s="33" t="n">
        <v>426</v>
      </c>
      <c r="K552" s="33" t="n">
        <v>0</v>
      </c>
      <c r="L552" s="33" t="n">
        <v>18.7</v>
      </c>
      <c r="M552" s="33" t="inlineStr">
        <is>
          <t>mwb</t>
        </is>
      </c>
      <c r="N552" s="33" t="n">
        <v>176</v>
      </c>
      <c r="O552" s="33" t="n">
        <v>-13.571</v>
      </c>
      <c r="P552" s="33" t="n">
        <v>167.227</v>
      </c>
      <c r="Q552" s="33" t="inlineStr">
        <is>
          <t>Sola, Vanuatu</t>
        </is>
      </c>
      <c r="S552" s="33" t="inlineStr">
        <is>
          <t>Vanuatu</t>
        </is>
      </c>
      <c r="T552" s="36">
        <f>DATE(MID(C552,7,4),MID(C552,4,2),MID(C552,1,2))+TIME(MID(C552,12,2),MID(C552,15,2),0)</f>
        <v/>
      </c>
      <c r="U552" s="33">
        <f>IF(ISNUMBER(VALUE(MID(A552,7,1))),"Distance-prefix pattern","Named-region pattern")</f>
        <v/>
      </c>
      <c r="V552" s="33">
        <f>LOWER(M552)</f>
        <v/>
      </c>
      <c r="W552" s="33">
        <f>IF(COUNTIFS($A$2:$A$1001,A552,$C$2:$C$1001,C552)&gt;1,"Duplicate","Unique")</f>
        <v/>
      </c>
      <c r="X552" s="33">
        <f>YEAR(T552)</f>
        <v/>
      </c>
      <c r="Y552" s="33">
        <f>IF(B552&lt;6.5,"&lt;6.5",IF(B552&lt;7,"6.5–6.9",IF(B552&lt;7.5,"7.0–7.4",IF(B552&lt;8,"7.5–7.9","8.0+"))))</f>
        <v/>
      </c>
      <c r="Z552" s="33">
        <f>IF(F552="","Blank",F552)</f>
        <v/>
      </c>
    </row>
    <row r="553" ht="15" customHeight="1" s="34">
      <c r="A553" s="33" t="inlineStr">
        <is>
          <t>M 7.4 - 124 km W of Lebu, Chile</t>
        </is>
      </c>
      <c r="B553" s="33" t="n">
        <v>7.4</v>
      </c>
      <c r="C553" s="33" t="inlineStr">
        <is>
          <t>27/02/2010 08:01</t>
        </is>
      </c>
      <c r="D553" s="33" t="n">
        <v>0</v>
      </c>
      <c r="E553" s="33" t="n">
        <v>5</v>
      </c>
      <c r="G553" s="33" t="n">
        <v>0</v>
      </c>
      <c r="H553" s="33" t="n">
        <v>842</v>
      </c>
      <c r="I553" s="33" t="inlineStr">
        <is>
          <t>us</t>
        </is>
      </c>
      <c r="J553" s="33" t="n">
        <v>409</v>
      </c>
      <c r="K553" s="33" t="n">
        <v>0</v>
      </c>
      <c r="L553" s="33" t="n">
        <v>17.6</v>
      </c>
      <c r="M553" s="33" t="inlineStr">
        <is>
          <t>mwc</t>
        </is>
      </c>
      <c r="N553" s="33" t="n">
        <v>35</v>
      </c>
      <c r="O553" s="33" t="n">
        <v>-37.773</v>
      </c>
      <c r="P553" s="33" t="n">
        <v>-75.048</v>
      </c>
      <c r="Q553" s="33" t="inlineStr">
        <is>
          <t>Lebu, Chile</t>
        </is>
      </c>
      <c r="T553" s="36">
        <f>DATE(MID(C553,7,4),MID(C553,4,2),MID(C553,1,2))+TIME(MID(C553,12,2),MID(C553,15,2),0)</f>
        <v/>
      </c>
      <c r="U553" s="33">
        <f>IF(ISNUMBER(VALUE(MID(A553,7,1))),"Distance-prefix pattern","Named-region pattern")</f>
        <v/>
      </c>
      <c r="V553" s="33">
        <f>LOWER(M553)</f>
        <v/>
      </c>
      <c r="W553" s="33">
        <f>IF(COUNTIFS($A$2:$A$1001,A553,$C$2:$C$1001,C553)&gt;1,"Duplicate","Unique")</f>
        <v/>
      </c>
      <c r="X553" s="33">
        <f>YEAR(T553)</f>
        <v/>
      </c>
      <c r="Y553" s="33">
        <f>IF(B553&lt;6.5,"&lt;6.5",IF(B553&lt;7,"6.5–6.9",IF(B553&lt;7.5,"7.0–7.4",IF(B553&lt;8,"7.5–7.9","8.0+"))))</f>
        <v/>
      </c>
      <c r="Z553" s="33">
        <f>IF(F553="","Blank",F553)</f>
        <v/>
      </c>
    </row>
    <row r="554" ht="15" customHeight="1" s="34">
      <c r="A554" s="33" t="inlineStr">
        <is>
          <t>M 8.8 - 36 km WNW of Quirihue, Chile</t>
        </is>
      </c>
      <c r="B554" s="33" t="n">
        <v>8.800000000000001</v>
      </c>
      <c r="C554" s="33" t="inlineStr">
        <is>
          <t>27/02/2010 06:34</t>
        </is>
      </c>
      <c r="D554" s="33" t="n">
        <v>8</v>
      </c>
      <c r="E554" s="33" t="n">
        <v>8</v>
      </c>
      <c r="G554" s="33" t="n">
        <v>0</v>
      </c>
      <c r="H554" s="33" t="n">
        <v>1991</v>
      </c>
      <c r="I554" s="33" t="inlineStr">
        <is>
          <t>official</t>
        </is>
      </c>
      <c r="J554" s="33" t="n">
        <v>454</v>
      </c>
      <c r="K554" s="33" t="n">
        <v>0</v>
      </c>
      <c r="L554" s="33" t="n">
        <v>17.8</v>
      </c>
      <c r="M554" s="33" t="inlineStr">
        <is>
          <t>mww</t>
        </is>
      </c>
      <c r="N554" s="33" t="n">
        <v>22.9</v>
      </c>
      <c r="O554" s="33" t="n">
        <v>-36.122</v>
      </c>
      <c r="P554" s="33" t="n">
        <v>-72.898</v>
      </c>
      <c r="Q554" s="33" t="inlineStr">
        <is>
          <t>Quirihue, Chile</t>
        </is>
      </c>
      <c r="R554" s="33" t="inlineStr">
        <is>
          <t>South America</t>
        </is>
      </c>
      <c r="S554" s="33" t="inlineStr">
        <is>
          <t>Chile</t>
        </is>
      </c>
      <c r="T554" s="36">
        <f>DATE(MID(C554,7,4),MID(C554,4,2),MID(C554,1,2))+TIME(MID(C554,12,2),MID(C554,15,2),0)</f>
        <v/>
      </c>
      <c r="U554" s="33">
        <f>IF(ISNUMBER(VALUE(MID(A554,7,1))),"Distance-prefix pattern","Named-region pattern")</f>
        <v/>
      </c>
      <c r="V554" s="33">
        <f>LOWER(M554)</f>
        <v/>
      </c>
      <c r="W554" s="33">
        <f>IF(COUNTIFS($A$2:$A$1001,A554,$C$2:$C$1001,C554)&gt;1,"Duplicate","Unique")</f>
        <v/>
      </c>
      <c r="X554" s="33">
        <f>YEAR(T554)</f>
        <v/>
      </c>
      <c r="Y554" s="33">
        <f>IF(B554&lt;6.5,"&lt;6.5",IF(B554&lt;7,"6.5–6.9",IF(B554&lt;7.5,"7.0–7.4",IF(B554&lt;8,"7.5–7.9","8.0+"))))</f>
        <v/>
      </c>
      <c r="Z554" s="33">
        <f>IF(F554="","Blank",F554)</f>
        <v/>
      </c>
    </row>
    <row r="555" ht="15" customHeight="1" s="34">
      <c r="A555" s="33" t="inlineStr">
        <is>
          <t>M 7.0 - 70 km SE of Katsuren-haebaru, Japan</t>
        </is>
      </c>
      <c r="B555" s="33" t="n">
        <v>7</v>
      </c>
      <c r="C555" s="33" t="inlineStr">
        <is>
          <t>26/02/2010 20:31</t>
        </is>
      </c>
      <c r="D555" s="33" t="n">
        <v>6</v>
      </c>
      <c r="E555" s="33" t="n">
        <v>6</v>
      </c>
      <c r="G555" s="33" t="n">
        <v>0</v>
      </c>
      <c r="H555" s="33" t="n">
        <v>1180</v>
      </c>
      <c r="I555" s="33" t="inlineStr">
        <is>
          <t>us</t>
        </is>
      </c>
      <c r="J555" s="33" t="n">
        <v>487</v>
      </c>
      <c r="K555" s="33" t="n">
        <v>0</v>
      </c>
      <c r="L555" s="33" t="n">
        <v>15.7</v>
      </c>
      <c r="M555" s="33" t="inlineStr">
        <is>
          <t>mwc</t>
        </is>
      </c>
      <c r="N555" s="33" t="n">
        <v>25</v>
      </c>
      <c r="O555" s="33" t="n">
        <v>25.93</v>
      </c>
      <c r="P555" s="33" t="n">
        <v>128.425</v>
      </c>
      <c r="Q555" s="33" t="inlineStr">
        <is>
          <t>Katsuren-haebaru, Japan</t>
        </is>
      </c>
      <c r="T555" s="36">
        <f>DATE(MID(C555,7,4),MID(C555,4,2),MID(C555,1,2))+TIME(MID(C555,12,2),MID(C555,15,2),0)</f>
        <v/>
      </c>
      <c r="U555" s="33">
        <f>IF(ISNUMBER(VALUE(MID(A555,7,1))),"Distance-prefix pattern","Named-region pattern")</f>
        <v/>
      </c>
      <c r="V555" s="33">
        <f>LOWER(M555)</f>
        <v/>
      </c>
      <c r="W555" s="33">
        <f>IF(COUNTIFS($A$2:$A$1001,A555,$C$2:$C$1001,C555)&gt;1,"Duplicate","Unique")</f>
        <v/>
      </c>
      <c r="X555" s="33">
        <f>YEAR(T555)</f>
        <v/>
      </c>
      <c r="Y555" s="33">
        <f>IF(B555&lt;6.5,"&lt;6.5",IF(B555&lt;7,"6.5–6.9",IF(B555&lt;7.5,"7.0–7.4",IF(B555&lt;8,"7.5–7.9","8.0+"))))</f>
        <v/>
      </c>
      <c r="Z555" s="33">
        <f>IF(F555="","Blank",F555)</f>
        <v/>
      </c>
    </row>
    <row r="556" ht="15" customHeight="1" s="34">
      <c r="A556" s="33" t="inlineStr">
        <is>
          <t>M 7.0 - 10 km SE of Léogâne, Haiti</t>
        </is>
      </c>
      <c r="B556" s="33" t="n">
        <v>7</v>
      </c>
      <c r="C556" s="33" t="inlineStr">
        <is>
          <t>12/01/2010 21:53</t>
        </is>
      </c>
      <c r="D556" s="33" t="n">
        <v>9</v>
      </c>
      <c r="E556" s="33" t="n">
        <v>9</v>
      </c>
      <c r="G556" s="33" t="n">
        <v>0</v>
      </c>
      <c r="H556" s="33" t="n">
        <v>1623</v>
      </c>
      <c r="I556" s="33" t="inlineStr">
        <is>
          <t>us</t>
        </is>
      </c>
      <c r="J556" s="33" t="n">
        <v>500</v>
      </c>
      <c r="K556" s="33" t="n">
        <v>0</v>
      </c>
      <c r="L556" s="33" t="n">
        <v>22.7</v>
      </c>
      <c r="M556" s="33" t="inlineStr">
        <is>
          <t>mwc</t>
        </is>
      </c>
      <c r="N556" s="33" t="n">
        <v>13</v>
      </c>
      <c r="O556" s="33" t="n">
        <v>18.443</v>
      </c>
      <c r="P556" s="33" t="n">
        <v>-72.571</v>
      </c>
      <c r="Q556" s="33" t="inlineStr">
        <is>
          <t>Léogâne, Haiti</t>
        </is>
      </c>
      <c r="S556" s="33" t="inlineStr">
        <is>
          <t>Haiti</t>
        </is>
      </c>
      <c r="T556" s="36">
        <f>DATE(MID(C556,7,4),MID(C556,4,2),MID(C556,1,2))+TIME(MID(C556,12,2),MID(C556,15,2),0)</f>
        <v/>
      </c>
      <c r="U556" s="33">
        <f>IF(ISNUMBER(VALUE(MID(A556,7,1))),"Distance-prefix pattern","Named-region pattern")</f>
        <v/>
      </c>
      <c r="V556" s="33">
        <f>LOWER(M556)</f>
        <v/>
      </c>
      <c r="W556" s="33">
        <f>IF(COUNTIFS($A$2:$A$1001,A556,$C$2:$C$1001,C556)&gt;1,"Duplicate","Unique")</f>
        <v/>
      </c>
      <c r="X556" s="33">
        <f>YEAR(T556)</f>
        <v/>
      </c>
      <c r="Y556" s="33">
        <f>IF(B556&lt;6.5,"&lt;6.5",IF(B556&lt;7,"6.5–6.9",IF(B556&lt;7.5,"7.0–7.4",IF(B556&lt;8,"7.5–7.9","8.0+"))))</f>
        <v/>
      </c>
      <c r="Z556" s="33">
        <f>IF(F556="","Blank",F556)</f>
        <v/>
      </c>
    </row>
    <row r="557" ht="15" customHeight="1" s="34">
      <c r="A557" s="33" t="inlineStr">
        <is>
          <t>M 6.5 - 37 km WNW of Ferndale, California</t>
        </is>
      </c>
      <c r="B557" s="33" t="n">
        <v>6.5</v>
      </c>
      <c r="C557" s="33" t="inlineStr">
        <is>
          <t>10/01/2010 00:27</t>
        </is>
      </c>
      <c r="D557" s="33" t="n">
        <v>7</v>
      </c>
      <c r="E557" s="33" t="n">
        <v>7</v>
      </c>
      <c r="G557" s="33" t="n">
        <v>0</v>
      </c>
      <c r="H557" s="33" t="n">
        <v>1360</v>
      </c>
      <c r="I557" s="33" t="inlineStr">
        <is>
          <t>nc</t>
        </is>
      </c>
      <c r="J557" s="33" t="n">
        <v>51</v>
      </c>
      <c r="K557" s="33" t="n">
        <v>0.3225</v>
      </c>
      <c r="L557" s="33" t="n">
        <v>220</v>
      </c>
      <c r="M557" s="33" t="inlineStr">
        <is>
          <t>mw</t>
        </is>
      </c>
      <c r="N557" s="33" t="n">
        <v>28.737</v>
      </c>
      <c r="O557" s="33" t="n">
        <v>40.652</v>
      </c>
      <c r="P557" s="33" t="n">
        <v>-124.692</v>
      </c>
      <c r="Q557" s="33" t="inlineStr">
        <is>
          <t>Ferndale, California</t>
        </is>
      </c>
      <c r="R557" s="33" t="inlineStr">
        <is>
          <t>North America</t>
        </is>
      </c>
      <c r="T557" s="36">
        <f>DATE(MID(C557,7,4),MID(C557,4,2),MID(C557,1,2))+TIME(MID(C557,12,2),MID(C557,15,2),0)</f>
        <v/>
      </c>
      <c r="U557" s="33">
        <f>IF(ISNUMBER(VALUE(MID(A557,7,1))),"Distance-prefix pattern","Named-region pattern")</f>
        <v/>
      </c>
      <c r="V557" s="33">
        <f>LOWER(M557)</f>
        <v/>
      </c>
      <c r="W557" s="33">
        <f>IF(COUNTIFS($A$2:$A$1001,A557,$C$2:$C$1001,C557)&gt;1,"Duplicate","Unique")</f>
        <v/>
      </c>
      <c r="X557" s="33">
        <f>YEAR(T557)</f>
        <v/>
      </c>
      <c r="Y557" s="33">
        <f>IF(B557&lt;6.5,"&lt;6.5",IF(B557&lt;7,"6.5–6.9",IF(B557&lt;7.5,"7.0–7.4",IF(B557&lt;8,"7.5–7.9","8.0+"))))</f>
        <v/>
      </c>
      <c r="Z557" s="33">
        <f>IF(F557="","Blank",F557)</f>
        <v/>
      </c>
    </row>
    <row r="558" ht="15" customHeight="1" s="34">
      <c r="A558" s="33" t="inlineStr">
        <is>
          <t>M 6.8 - 127 km SE of Gizo, Solomon Islands</t>
        </is>
      </c>
      <c r="B558" s="33" t="n">
        <v>6.8</v>
      </c>
      <c r="C558" s="33" t="inlineStr">
        <is>
          <t>05/01/2010 12:15</t>
        </is>
      </c>
      <c r="D558" s="33" t="n">
        <v>3</v>
      </c>
      <c r="E558" s="33" t="n">
        <v>6</v>
      </c>
      <c r="G558" s="33" t="n">
        <v>0</v>
      </c>
      <c r="H558" s="33" t="n">
        <v>713</v>
      </c>
      <c r="I558" s="33" t="inlineStr">
        <is>
          <t>us</t>
        </is>
      </c>
      <c r="J558" s="33" t="n">
        <v>338</v>
      </c>
      <c r="K558" s="33" t="n">
        <v>0</v>
      </c>
      <c r="L558" s="33" t="n">
        <v>15</v>
      </c>
      <c r="M558" s="33" t="inlineStr">
        <is>
          <t>mwc</t>
        </is>
      </c>
      <c r="N558" s="33" t="n">
        <v>15.4</v>
      </c>
      <c r="O558" s="33" t="n">
        <v>-9.019</v>
      </c>
      <c r="P558" s="33" t="n">
        <v>157.551</v>
      </c>
      <c r="Q558" s="33" t="inlineStr">
        <is>
          <t>Gizo, Solomon Islands</t>
        </is>
      </c>
      <c r="T558" s="36">
        <f>DATE(MID(C558,7,4),MID(C558,4,2),MID(C558,1,2))+TIME(MID(C558,12,2),MID(C558,15,2),0)</f>
        <v/>
      </c>
      <c r="U558" s="33">
        <f>IF(ISNUMBER(VALUE(MID(A558,7,1))),"Distance-prefix pattern","Named-region pattern")</f>
        <v/>
      </c>
      <c r="V558" s="33">
        <f>LOWER(M558)</f>
        <v/>
      </c>
      <c r="W558" s="33">
        <f>IF(COUNTIFS($A$2:$A$1001,A558,$C$2:$C$1001,C558)&gt;1,"Duplicate","Unique")</f>
        <v/>
      </c>
      <c r="X558" s="33">
        <f>YEAR(T558)</f>
        <v/>
      </c>
      <c r="Y558" s="33">
        <f>IF(B558&lt;6.5,"&lt;6.5",IF(B558&lt;7,"6.5–6.9",IF(B558&lt;7.5,"7.0–7.4",IF(B558&lt;8,"7.5–7.9","8.0+"))))</f>
        <v/>
      </c>
      <c r="Z558" s="33">
        <f>IF(F558="","Blank",F558)</f>
        <v/>
      </c>
    </row>
    <row r="559" ht="15" customHeight="1" s="34">
      <c r="A559" s="33" t="inlineStr">
        <is>
          <t>M 7.1 - 94 km SE of Gizo, Solomon Islands</t>
        </is>
      </c>
      <c r="B559" s="33" t="n">
        <v>7.1</v>
      </c>
      <c r="C559" s="33" t="inlineStr">
        <is>
          <t>03/01/2010 22:36</t>
        </is>
      </c>
      <c r="D559" s="33" t="n">
        <v>5</v>
      </c>
      <c r="E559" s="33" t="n">
        <v>7</v>
      </c>
      <c r="G559" s="33" t="n">
        <v>0</v>
      </c>
      <c r="H559" s="33" t="n">
        <v>780</v>
      </c>
      <c r="I559" s="33" t="inlineStr">
        <is>
          <t>us</t>
        </is>
      </c>
      <c r="J559" s="33" t="n">
        <v>377</v>
      </c>
      <c r="K559" s="33" t="n">
        <v>0</v>
      </c>
      <c r="L559" s="33" t="n">
        <v>15</v>
      </c>
      <c r="M559" s="33" t="inlineStr">
        <is>
          <t>mwc</t>
        </is>
      </c>
      <c r="N559" s="33" t="n">
        <v>10</v>
      </c>
      <c r="O559" s="33" t="n">
        <v>-8.782999999999999</v>
      </c>
      <c r="P559" s="33" t="n">
        <v>157.354</v>
      </c>
      <c r="Q559" s="33" t="inlineStr">
        <is>
          <t>Gizo, Solomon Islands</t>
        </is>
      </c>
      <c r="S559" s="33" t="inlineStr">
        <is>
          <t>Solomon Islands</t>
        </is>
      </c>
      <c r="T559" s="36">
        <f>DATE(MID(C559,7,4),MID(C559,4,2),MID(C559,1,2))+TIME(MID(C559,12,2),MID(C559,15,2),0)</f>
        <v/>
      </c>
      <c r="U559" s="33">
        <f>IF(ISNUMBER(VALUE(MID(A559,7,1))),"Distance-prefix pattern","Named-region pattern")</f>
        <v/>
      </c>
      <c r="V559" s="33">
        <f>LOWER(M559)</f>
        <v/>
      </c>
      <c r="W559" s="33">
        <f>IF(COUNTIFS($A$2:$A$1001,A559,$C$2:$C$1001,C559)&gt;1,"Duplicate","Unique")</f>
        <v/>
      </c>
      <c r="X559" s="33">
        <f>YEAR(T559)</f>
        <v/>
      </c>
      <c r="Y559" s="33">
        <f>IF(B559&lt;6.5,"&lt;6.5",IF(B559&lt;7,"6.5–6.9",IF(B559&lt;7.5,"7.0–7.4",IF(B559&lt;8,"7.5–7.9","8.0+"))))</f>
        <v/>
      </c>
      <c r="Z559" s="33">
        <f>IF(F559="","Blank",F559)</f>
        <v/>
      </c>
    </row>
    <row r="560" ht="15" customHeight="1" s="34">
      <c r="A560" s="33" t="inlineStr">
        <is>
          <t>M 6.6 - 98 km SE of Gizo, Solomon Islands</t>
        </is>
      </c>
      <c r="B560" s="33" t="n">
        <v>6.6</v>
      </c>
      <c r="C560" s="33" t="inlineStr">
        <is>
          <t>03/01/2010 21:48</t>
        </is>
      </c>
      <c r="D560" s="33" t="n">
        <v>5</v>
      </c>
      <c r="E560" s="33" t="n">
        <v>7</v>
      </c>
      <c r="G560" s="33" t="n">
        <v>0</v>
      </c>
      <c r="H560" s="33" t="n">
        <v>672</v>
      </c>
      <c r="I560" s="33" t="inlineStr">
        <is>
          <t>us</t>
        </is>
      </c>
      <c r="J560" s="33" t="n">
        <v>282</v>
      </c>
      <c r="K560" s="33" t="n">
        <v>0</v>
      </c>
      <c r="L560" s="33" t="n">
        <v>16.6</v>
      </c>
      <c r="M560" s="33" t="inlineStr">
        <is>
          <t>mwc</t>
        </is>
      </c>
      <c r="N560" s="33" t="n">
        <v>10</v>
      </c>
      <c r="O560" s="33" t="n">
        <v>-8.726000000000001</v>
      </c>
      <c r="P560" s="33" t="n">
        <v>157.487</v>
      </c>
      <c r="Q560" s="33" t="inlineStr">
        <is>
          <t>Gizo, Solomon Islands</t>
        </is>
      </c>
      <c r="S560" s="33" t="inlineStr">
        <is>
          <t>Solomon Islands</t>
        </is>
      </c>
      <c r="T560" s="36">
        <f>DATE(MID(C560,7,4),MID(C560,4,2),MID(C560,1,2))+TIME(MID(C560,12,2),MID(C560,15,2),0)</f>
        <v/>
      </c>
      <c r="U560" s="33">
        <f>IF(ISNUMBER(VALUE(MID(A560,7,1))),"Distance-prefix pattern","Named-region pattern")</f>
        <v/>
      </c>
      <c r="V560" s="33">
        <f>LOWER(M560)</f>
        <v/>
      </c>
      <c r="W560" s="33">
        <f>IF(COUNTIFS($A$2:$A$1001,A560,$C$2:$C$1001,C560)&gt;1,"Duplicate","Unique")</f>
        <v/>
      </c>
      <c r="X560" s="33">
        <f>YEAR(T560)</f>
        <v/>
      </c>
      <c r="Y560" s="33">
        <f>IF(B560&lt;6.5,"&lt;6.5",IF(B560&lt;7,"6.5–6.9",IF(B560&lt;7.5,"7.0–7.4",IF(B560&lt;8,"7.5–7.9","8.0+"))))</f>
        <v/>
      </c>
      <c r="Z560" s="33">
        <f>IF(F560="","Blank",F560)</f>
        <v/>
      </c>
    </row>
    <row r="561" ht="15" customHeight="1" s="34">
      <c r="A561" s="33" t="inlineStr">
        <is>
          <t>M 6.5 - 92 km N of Iquique, Chile</t>
        </is>
      </c>
      <c r="B561" s="33" t="n">
        <v>6.5</v>
      </c>
      <c r="C561" s="33" t="inlineStr">
        <is>
          <t>13/11/2009 03:05</t>
        </is>
      </c>
      <c r="D561" s="33" t="n">
        <v>6</v>
      </c>
      <c r="E561" s="33" t="n">
        <v>7</v>
      </c>
      <c r="G561" s="33" t="n">
        <v>0</v>
      </c>
      <c r="H561" s="33" t="n">
        <v>698</v>
      </c>
      <c r="I561" s="33" t="inlineStr">
        <is>
          <t>us</t>
        </is>
      </c>
      <c r="J561" s="33" t="n">
        <v>390</v>
      </c>
      <c r="K561" s="33" t="n">
        <v>0</v>
      </c>
      <c r="L561" s="33" t="n">
        <v>17.7</v>
      </c>
      <c r="M561" s="33" t="inlineStr">
        <is>
          <t>mwc</t>
        </is>
      </c>
      <c r="N561" s="33" t="n">
        <v>27</v>
      </c>
      <c r="O561" s="33" t="n">
        <v>-19.394</v>
      </c>
      <c r="P561" s="33" t="n">
        <v>-70.321</v>
      </c>
      <c r="Q561" s="33" t="inlineStr">
        <is>
          <t>Iquique, Chile</t>
        </is>
      </c>
      <c r="R561" s="33" t="inlineStr">
        <is>
          <t>South America</t>
        </is>
      </c>
      <c r="S561" s="33" t="inlineStr">
        <is>
          <t>Chile</t>
        </is>
      </c>
      <c r="T561" s="36">
        <f>DATE(MID(C561,7,4),MID(C561,4,2),MID(C561,1,2))+TIME(MID(C561,12,2),MID(C561,15,2),0)</f>
        <v/>
      </c>
      <c r="U561" s="33">
        <f>IF(ISNUMBER(VALUE(MID(A561,7,1))),"Distance-prefix pattern","Named-region pattern")</f>
        <v/>
      </c>
      <c r="V561" s="33">
        <f>LOWER(M561)</f>
        <v/>
      </c>
      <c r="W561" s="33">
        <f>IF(COUNTIFS($A$2:$A$1001,A561,$C$2:$C$1001,C561)&gt;1,"Duplicate","Unique")</f>
        <v/>
      </c>
      <c r="X561" s="33">
        <f>YEAR(T561)</f>
        <v/>
      </c>
      <c r="Y561" s="33">
        <f>IF(B561&lt;6.5,"&lt;6.5",IF(B561&lt;7,"6.5–6.9",IF(B561&lt;7.5,"7.0–7.4",IF(B561&lt;8,"7.5–7.9","8.0+"))))</f>
        <v/>
      </c>
      <c r="Z561" s="33">
        <f>IF(F561="","Blank",F561)</f>
        <v/>
      </c>
    </row>
    <row r="562" ht="15" customHeight="1" s="34">
      <c r="A562" s="33" t="inlineStr">
        <is>
          <t>M 7.3 - 77 km ENE of Ba, Fiji</t>
        </is>
      </c>
      <c r="B562" s="33" t="n">
        <v>7.3</v>
      </c>
      <c r="C562" s="33" t="inlineStr">
        <is>
          <t>09/11/2009 10:44</t>
        </is>
      </c>
      <c r="D562" s="33" t="n">
        <v>0</v>
      </c>
      <c r="E562" s="33" t="n">
        <v>4</v>
      </c>
      <c r="G562" s="33" t="n">
        <v>0</v>
      </c>
      <c r="H562" s="33" t="n">
        <v>820</v>
      </c>
      <c r="I562" s="33" t="inlineStr">
        <is>
          <t>us</t>
        </is>
      </c>
      <c r="J562" s="33" t="n">
        <v>430</v>
      </c>
      <c r="K562" s="33" t="n">
        <v>0</v>
      </c>
      <c r="L562" s="33" t="n">
        <v>15</v>
      </c>
      <c r="M562" s="33" t="inlineStr">
        <is>
          <t>mwc</t>
        </is>
      </c>
      <c r="N562" s="33" t="n">
        <v>595</v>
      </c>
      <c r="O562" s="33" t="n">
        <v>-17.239</v>
      </c>
      <c r="P562" s="33" t="n">
        <v>178.331</v>
      </c>
      <c r="Q562" s="33" t="inlineStr">
        <is>
          <t>Ba, Fiji</t>
        </is>
      </c>
      <c r="S562" s="33" t="inlineStr">
        <is>
          <t>Fiji</t>
        </is>
      </c>
      <c r="T562" s="36">
        <f>DATE(MID(C562,7,4),MID(C562,4,2),MID(C562,1,2))+TIME(MID(C562,12,2),MID(C562,15,2),0)</f>
        <v/>
      </c>
      <c r="U562" s="33">
        <f>IF(ISNUMBER(VALUE(MID(A562,7,1))),"Distance-prefix pattern","Named-region pattern")</f>
        <v/>
      </c>
      <c r="V562" s="33">
        <f>LOWER(M562)</f>
        <v/>
      </c>
      <c r="W562" s="33">
        <f>IF(COUNTIFS($A$2:$A$1001,A562,$C$2:$C$1001,C562)&gt;1,"Duplicate","Unique")</f>
        <v/>
      </c>
      <c r="X562" s="33">
        <f>YEAR(T562)</f>
        <v/>
      </c>
      <c r="Y562" s="33">
        <f>IF(B562&lt;6.5,"&lt;6.5",IF(B562&lt;7,"6.5–6.9",IF(B562&lt;7.5,"7.0–7.4",IF(B562&lt;8,"7.5–7.9","8.0+"))))</f>
        <v/>
      </c>
      <c r="Z562" s="33">
        <f>IF(F562="","Blank",F562)</f>
        <v/>
      </c>
    </row>
    <row r="563" ht="15" customHeight="1" s="34">
      <c r="A563" s="33" t="inlineStr">
        <is>
          <t>M 6.6 - 29 km NNW of Bima, Indonesia</t>
        </is>
      </c>
      <c r="B563" s="33" t="n">
        <v>6.6</v>
      </c>
      <c r="C563" s="33" t="inlineStr">
        <is>
          <t>08/11/2009 19:41</t>
        </is>
      </c>
      <c r="D563" s="33" t="n">
        <v>7</v>
      </c>
      <c r="E563" s="33" t="n">
        <v>6</v>
      </c>
      <c r="G563" s="33" t="n">
        <v>0</v>
      </c>
      <c r="H563" s="33" t="n">
        <v>677</v>
      </c>
      <c r="I563" s="33" t="inlineStr">
        <is>
          <t>us</t>
        </is>
      </c>
      <c r="J563" s="33" t="n">
        <v>305</v>
      </c>
      <c r="K563" s="33" t="n">
        <v>0</v>
      </c>
      <c r="L563" s="33" t="n">
        <v>20.4</v>
      </c>
      <c r="M563" s="33" t="inlineStr">
        <is>
          <t>mwc</t>
        </is>
      </c>
      <c r="N563" s="33" t="n">
        <v>18</v>
      </c>
      <c r="O563" s="33" t="n">
        <v>-8.207000000000001</v>
      </c>
      <c r="P563" s="33" t="n">
        <v>118.631</v>
      </c>
      <c r="Q563" s="33" t="inlineStr">
        <is>
          <t>Bima, Indonesia</t>
        </is>
      </c>
      <c r="S563" s="33" t="inlineStr">
        <is>
          <t>Indonesia</t>
        </is>
      </c>
      <c r="T563" s="36">
        <f>DATE(MID(C563,7,4),MID(C563,4,2),MID(C563,1,2))+TIME(MID(C563,12,2),MID(C563,15,2),0)</f>
        <v/>
      </c>
      <c r="U563" s="33">
        <f>IF(ISNUMBER(VALUE(MID(A563,7,1))),"Distance-prefix pattern","Named-region pattern")</f>
        <v/>
      </c>
      <c r="V563" s="33">
        <f>LOWER(M563)</f>
        <v/>
      </c>
      <c r="W563" s="33">
        <f>IF(COUNTIFS($A$2:$A$1001,A563,$C$2:$C$1001,C563)&gt;1,"Duplicate","Unique")</f>
        <v/>
      </c>
      <c r="X563" s="33">
        <f>YEAR(T563)</f>
        <v/>
      </c>
      <c r="Y563" s="33">
        <f>IF(B563&lt;6.5,"&lt;6.5",IF(B563&lt;7,"6.5–6.9",IF(B563&lt;7.5,"7.0–7.4",IF(B563&lt;8,"7.5–7.9","8.0+"))))</f>
        <v/>
      </c>
      <c r="Z563" s="33">
        <f>IF(F563="","Blank",F563)</f>
        <v/>
      </c>
    </row>
    <row r="564" ht="15" customHeight="1" s="34">
      <c r="A564" s="33" t="inlineStr">
        <is>
          <t>M 6.8 - 98 km NNE of Naze, Japan</t>
        </is>
      </c>
      <c r="B564" s="33" t="n">
        <v>6.8</v>
      </c>
      <c r="C564" s="33" t="inlineStr">
        <is>
          <t>30/10/2009 07:03</t>
        </is>
      </c>
      <c r="D564" s="33" t="n">
        <v>0</v>
      </c>
      <c r="E564" s="33" t="n">
        <v>6</v>
      </c>
      <c r="G564" s="33" t="n">
        <v>0</v>
      </c>
      <c r="H564" s="33" t="n">
        <v>711</v>
      </c>
      <c r="I564" s="33" t="inlineStr">
        <is>
          <t>us</t>
        </is>
      </c>
      <c r="J564" s="33" t="n">
        <v>424</v>
      </c>
      <c r="K564" s="33" t="n">
        <v>0</v>
      </c>
      <c r="L564" s="33" t="n">
        <v>21.4</v>
      </c>
      <c r="M564" s="33" t="inlineStr">
        <is>
          <t>mwc</t>
        </is>
      </c>
      <c r="N564" s="33" t="n">
        <v>34</v>
      </c>
      <c r="O564" s="33" t="n">
        <v>29.218</v>
      </c>
      <c r="P564" s="33" t="n">
        <v>129.782</v>
      </c>
      <c r="Q564" s="33" t="inlineStr">
        <is>
          <t>Naze, Japan</t>
        </is>
      </c>
      <c r="T564" s="36">
        <f>DATE(MID(C564,7,4),MID(C564,4,2),MID(C564,1,2))+TIME(MID(C564,12,2),MID(C564,15,2),0)</f>
        <v/>
      </c>
      <c r="U564" s="33">
        <f>IF(ISNUMBER(VALUE(MID(A564,7,1))),"Distance-prefix pattern","Named-region pattern")</f>
        <v/>
      </c>
      <c r="V564" s="33">
        <f>LOWER(M564)</f>
        <v/>
      </c>
      <c r="W564" s="33">
        <f>IF(COUNTIFS($A$2:$A$1001,A564,$C$2:$C$1001,C564)&gt;1,"Duplicate","Unique")</f>
        <v/>
      </c>
      <c r="X564" s="33">
        <f>YEAR(T564)</f>
        <v/>
      </c>
      <c r="Y564" s="33">
        <f>IF(B564&lt;6.5,"&lt;6.5",IF(B564&lt;7,"6.5–6.9",IF(B564&lt;7.5,"7.0–7.4",IF(B564&lt;8,"7.5–7.9","8.0+"))))</f>
        <v/>
      </c>
      <c r="Z564" s="33">
        <f>IF(F564="","Blank",F564)</f>
        <v/>
      </c>
    </row>
    <row r="565" ht="15" customHeight="1" s="34">
      <c r="A565" s="33" t="inlineStr">
        <is>
          <t>M 6.9 - 268 km WSW of Tual, Indonesia</t>
        </is>
      </c>
      <c r="B565" s="33" t="n">
        <v>6.9</v>
      </c>
      <c r="C565" s="33" t="inlineStr">
        <is>
          <t>24/10/2009 14:40</t>
        </is>
      </c>
      <c r="D565" s="33" t="n">
        <v>4</v>
      </c>
      <c r="E565" s="33" t="n">
        <v>6</v>
      </c>
      <c r="G565" s="33" t="n">
        <v>0</v>
      </c>
      <c r="H565" s="33" t="n">
        <v>972</v>
      </c>
      <c r="I565" s="33" t="inlineStr">
        <is>
          <t>us</t>
        </is>
      </c>
      <c r="J565" s="33" t="n">
        <v>397</v>
      </c>
      <c r="K565" s="33" t="n">
        <v>0</v>
      </c>
      <c r="L565" s="33" t="n">
        <v>11</v>
      </c>
      <c r="M565" s="33" t="inlineStr">
        <is>
          <t>mwc</t>
        </is>
      </c>
      <c r="N565" s="33" t="n">
        <v>130</v>
      </c>
      <c r="O565" s="33" t="n">
        <v>-6.133</v>
      </c>
      <c r="P565" s="33" t="n">
        <v>130.385</v>
      </c>
      <c r="Q565" s="33" t="inlineStr">
        <is>
          <t>Tual, Indonesia</t>
        </is>
      </c>
      <c r="S565" s="33" t="inlineStr">
        <is>
          <t>Indonesia</t>
        </is>
      </c>
      <c r="T565" s="36">
        <f>DATE(MID(C565,7,4),MID(C565,4,2),MID(C565,1,2))+TIME(MID(C565,12,2),MID(C565,15,2),0)</f>
        <v/>
      </c>
      <c r="U565" s="33">
        <f>IF(ISNUMBER(VALUE(MID(A565,7,1))),"Distance-prefix pattern","Named-region pattern")</f>
        <v/>
      </c>
      <c r="V565" s="33">
        <f>LOWER(M565)</f>
        <v/>
      </c>
      <c r="W565" s="33">
        <f>IF(COUNTIFS($A$2:$A$1001,A565,$C$2:$C$1001,C565)&gt;1,"Duplicate","Unique")</f>
        <v/>
      </c>
      <c r="X565" s="33">
        <f>YEAR(T565)</f>
        <v/>
      </c>
      <c r="Y565" s="33">
        <f>IF(B565&lt;6.5,"&lt;6.5",IF(B565&lt;7,"6.5–6.9",IF(B565&lt;7.5,"7.0–7.4",IF(B565&lt;8,"7.5–7.9","8.0+"))))</f>
        <v/>
      </c>
      <c r="Z565" s="33">
        <f>IF(F565="","Blank",F565)</f>
        <v/>
      </c>
    </row>
    <row r="566" ht="15" customHeight="1" s="34">
      <c r="A566" s="33" t="inlineStr">
        <is>
          <t>M 6.8 - 188 km WNW of Sola, Vanuatu</t>
        </is>
      </c>
      <c r="B566" s="33" t="n">
        <v>6.8</v>
      </c>
      <c r="C566" s="33" t="inlineStr">
        <is>
          <t>08/10/2009 08:28</t>
        </is>
      </c>
      <c r="D566" s="33" t="n">
        <v>0</v>
      </c>
      <c r="E566" s="33" t="n">
        <v>5</v>
      </c>
      <c r="G566" s="33" t="n">
        <v>0</v>
      </c>
      <c r="H566" s="33" t="n">
        <v>711</v>
      </c>
      <c r="I566" s="33" t="inlineStr">
        <is>
          <t>us</t>
        </is>
      </c>
      <c r="J566" s="33" t="n">
        <v>174</v>
      </c>
      <c r="K566" s="33" t="n">
        <v>0</v>
      </c>
      <c r="L566" s="33" t="n">
        <v>30.2</v>
      </c>
      <c r="M566" s="33" t="inlineStr">
        <is>
          <t>mwc</t>
        </is>
      </c>
      <c r="N566" s="33" t="n">
        <v>35</v>
      </c>
      <c r="O566" s="33" t="n">
        <v>-13.298</v>
      </c>
      <c r="P566" s="33" t="n">
        <v>165.91</v>
      </c>
      <c r="Q566" s="33" t="inlineStr">
        <is>
          <t>Sola, Vanuatu</t>
        </is>
      </c>
      <c r="T566" s="36">
        <f>DATE(MID(C566,7,4),MID(C566,4,2),MID(C566,1,2))+TIME(MID(C566,12,2),MID(C566,15,2),0)</f>
        <v/>
      </c>
      <c r="U566" s="33">
        <f>IF(ISNUMBER(VALUE(MID(A566,7,1))),"Distance-prefix pattern","Named-region pattern")</f>
        <v/>
      </c>
      <c r="V566" s="33">
        <f>LOWER(M566)</f>
        <v/>
      </c>
      <c r="W566" s="33">
        <f>IF(COUNTIFS($A$2:$A$1001,A566,$C$2:$C$1001,C566)&gt;1,"Duplicate","Unique")</f>
        <v/>
      </c>
      <c r="X566" s="33">
        <f>YEAR(T566)</f>
        <v/>
      </c>
      <c r="Y566" s="33">
        <f>IF(B566&lt;6.5,"&lt;6.5",IF(B566&lt;7,"6.5–6.9",IF(B566&lt;7.5,"7.0–7.4",IF(B566&lt;8,"7.5–7.9","8.0+"))))</f>
        <v/>
      </c>
      <c r="Z566" s="33">
        <f>IF(F566="","Blank",F566)</f>
        <v/>
      </c>
    </row>
    <row r="567" ht="15" customHeight="1" s="34">
      <c r="A567" s="33" t="inlineStr">
        <is>
          <t>M 7.4 - 143 km NW of Sola, Vanuatu</t>
        </is>
      </c>
      <c r="B567" s="33" t="n">
        <v>7.4</v>
      </c>
      <c r="C567" s="33" t="inlineStr">
        <is>
          <t>07/10/2009 23:13</t>
        </is>
      </c>
      <c r="D567" s="33" t="n">
        <v>0</v>
      </c>
      <c r="E567" s="33" t="n">
        <v>7</v>
      </c>
      <c r="G567" s="33" t="n">
        <v>0</v>
      </c>
      <c r="H567" s="33" t="n">
        <v>842</v>
      </c>
      <c r="I567" s="33" t="inlineStr">
        <is>
          <t>us</t>
        </is>
      </c>
      <c r="J567" s="33" t="n">
        <v>314</v>
      </c>
      <c r="K567" s="33" t="n">
        <v>0</v>
      </c>
      <c r="L567" s="33" t="n">
        <v>20.2</v>
      </c>
      <c r="M567" s="33" t="inlineStr">
        <is>
          <t>mwc</t>
        </is>
      </c>
      <c r="N567" s="33" t="n">
        <v>31.1</v>
      </c>
      <c r="O567" s="33" t="n">
        <v>-13.093</v>
      </c>
      <c r="P567" s="33" t="n">
        <v>166.497</v>
      </c>
      <c r="Q567" s="33" t="inlineStr">
        <is>
          <t>Sola, Vanuatu</t>
        </is>
      </c>
      <c r="S567" s="33" t="inlineStr">
        <is>
          <t>Vanuatu</t>
        </is>
      </c>
      <c r="T567" s="36">
        <f>DATE(MID(C567,7,4),MID(C567,4,2),MID(C567,1,2))+TIME(MID(C567,12,2),MID(C567,15,2),0)</f>
        <v/>
      </c>
      <c r="U567" s="33">
        <f>IF(ISNUMBER(VALUE(MID(A567,7,1))),"Distance-prefix pattern","Named-region pattern")</f>
        <v/>
      </c>
      <c r="V567" s="33">
        <f>LOWER(M567)</f>
        <v/>
      </c>
      <c r="W567" s="33">
        <f>IF(COUNTIFS($A$2:$A$1001,A567,$C$2:$C$1001,C567)&gt;1,"Duplicate","Unique")</f>
        <v/>
      </c>
      <c r="X567" s="33">
        <f>YEAR(T567)</f>
        <v/>
      </c>
      <c r="Y567" s="33">
        <f>IF(B567&lt;6.5,"&lt;6.5",IF(B567&lt;7,"6.5–6.9",IF(B567&lt;7.5,"7.0–7.4",IF(B567&lt;8,"7.5–7.9","8.0+"))))</f>
        <v/>
      </c>
      <c r="Z567" s="33">
        <f>IF(F567="","Blank",F567)</f>
        <v/>
      </c>
    </row>
    <row r="568" ht="15" customHeight="1" s="34">
      <c r="A568" s="33" t="inlineStr">
        <is>
          <t>M 7.8 - 196 km NW of Sola, Vanuatu</t>
        </is>
      </c>
      <c r="B568" s="33" t="n">
        <v>7.8</v>
      </c>
      <c r="C568" s="33" t="inlineStr">
        <is>
          <t>07/10/2009 22:18</t>
        </is>
      </c>
      <c r="D568" s="33" t="n">
        <v>0</v>
      </c>
      <c r="E568" s="33" t="n">
        <v>6</v>
      </c>
      <c r="G568" s="33" t="n">
        <v>0</v>
      </c>
      <c r="H568" s="33" t="n">
        <v>936</v>
      </c>
      <c r="I568" s="33" t="inlineStr">
        <is>
          <t>us</t>
        </is>
      </c>
      <c r="J568" s="33" t="n">
        <v>195</v>
      </c>
      <c r="K568" s="33" t="n">
        <v>0</v>
      </c>
      <c r="L568" s="33" t="n">
        <v>20.3</v>
      </c>
      <c r="M568" s="33" t="inlineStr">
        <is>
          <t>mwc</t>
        </is>
      </c>
      <c r="N568" s="33" t="n">
        <v>35</v>
      </c>
      <c r="O568" s="33" t="n">
        <v>-12.517</v>
      </c>
      <c r="P568" s="33" t="n">
        <v>166.382</v>
      </c>
      <c r="Q568" s="33" t="inlineStr">
        <is>
          <t>Sola, Vanuatu</t>
        </is>
      </c>
      <c r="T568" s="36">
        <f>DATE(MID(C568,7,4),MID(C568,4,2),MID(C568,1,2))+TIME(MID(C568,12,2),MID(C568,15,2),0)</f>
        <v/>
      </c>
      <c r="U568" s="33">
        <f>IF(ISNUMBER(VALUE(MID(A568,7,1))),"Distance-prefix pattern","Named-region pattern")</f>
        <v/>
      </c>
      <c r="V568" s="33">
        <f>LOWER(M568)</f>
        <v/>
      </c>
      <c r="W568" s="33">
        <f>IF(COUNTIFS($A$2:$A$1001,A568,$C$2:$C$1001,C568)&gt;1,"Duplicate","Unique")</f>
        <v/>
      </c>
      <c r="X568" s="33">
        <f>YEAR(T568)</f>
        <v/>
      </c>
      <c r="Y568" s="33">
        <f>IF(B568&lt;6.5,"&lt;6.5",IF(B568&lt;7,"6.5–6.9",IF(B568&lt;7.5,"7.0–7.4",IF(B568&lt;8,"7.5–7.9","8.0+"))))</f>
        <v/>
      </c>
      <c r="Z568" s="33">
        <f>IF(F568="","Blank",F568)</f>
        <v/>
      </c>
    </row>
    <row r="569" ht="15" customHeight="1" s="34">
      <c r="A569" s="33" t="inlineStr">
        <is>
          <t>M 7.7 - 148 km NW of Sola, Vanuatu</t>
        </is>
      </c>
      <c r="B569" s="33" t="n">
        <v>7.7</v>
      </c>
      <c r="C569" s="33" t="inlineStr">
        <is>
          <t>07/10/2009 22:03</t>
        </is>
      </c>
      <c r="D569" s="33" t="n">
        <v>4</v>
      </c>
      <c r="E569" s="33" t="n">
        <v>7</v>
      </c>
      <c r="G569" s="33" t="n">
        <v>0</v>
      </c>
      <c r="H569" s="33" t="n">
        <v>916</v>
      </c>
      <c r="I569" s="33" t="inlineStr">
        <is>
          <t>us</t>
        </is>
      </c>
      <c r="J569" s="33" t="n">
        <v>283</v>
      </c>
      <c r="K569" s="33" t="n">
        <v>0</v>
      </c>
      <c r="L569" s="33" t="n">
        <v>23.2</v>
      </c>
      <c r="M569" s="33" t="inlineStr">
        <is>
          <t>mww</t>
        </is>
      </c>
      <c r="N569" s="33" t="n">
        <v>45</v>
      </c>
      <c r="O569" s="33" t="n">
        <v>-13.006</v>
      </c>
      <c r="P569" s="33" t="n">
        <v>166.51</v>
      </c>
      <c r="Q569" s="33" t="inlineStr">
        <is>
          <t>Sola, Vanuatu</t>
        </is>
      </c>
      <c r="S569" s="33" t="inlineStr">
        <is>
          <t>Vanuatu</t>
        </is>
      </c>
      <c r="T569" s="36">
        <f>DATE(MID(C569,7,4),MID(C569,4,2),MID(C569,1,2))+TIME(MID(C569,12,2),MID(C569,15,2),0)</f>
        <v/>
      </c>
      <c r="U569" s="33">
        <f>IF(ISNUMBER(VALUE(MID(A569,7,1))),"Distance-prefix pattern","Named-region pattern")</f>
        <v/>
      </c>
      <c r="V569" s="33">
        <f>LOWER(M569)</f>
        <v/>
      </c>
      <c r="W569" s="33">
        <f>IF(COUNTIFS($A$2:$A$1001,A569,$C$2:$C$1001,C569)&gt;1,"Duplicate","Unique")</f>
        <v/>
      </c>
      <c r="X569" s="33">
        <f>YEAR(T569)</f>
        <v/>
      </c>
      <c r="Y569" s="33">
        <f>IF(B569&lt;6.5,"&lt;6.5",IF(B569&lt;7,"6.5–6.9",IF(B569&lt;7.5,"7.0–7.4",IF(B569&lt;8,"7.5–7.9","8.0+"))))</f>
        <v/>
      </c>
      <c r="Z569" s="33">
        <f>IF(F569="","Blank",F569)</f>
        <v/>
      </c>
    </row>
    <row r="570" ht="15" customHeight="1" s="34">
      <c r="A570" s="33" t="inlineStr">
        <is>
          <t>M 6.6 - 49 km SSE of Sungai Penuh, Indonesia</t>
        </is>
      </c>
      <c r="B570" s="33" t="n">
        <v>6.6</v>
      </c>
      <c r="C570" s="33" t="inlineStr">
        <is>
          <t>01/10/2009 01:52</t>
        </is>
      </c>
      <c r="D570" s="33" t="n">
        <v>7</v>
      </c>
      <c r="E570" s="33" t="n">
        <v>7</v>
      </c>
      <c r="G570" s="33" t="n">
        <v>0</v>
      </c>
      <c r="H570" s="33" t="n">
        <v>787</v>
      </c>
      <c r="I570" s="33" t="inlineStr">
        <is>
          <t>us</t>
        </is>
      </c>
      <c r="J570" s="33" t="n">
        <v>417</v>
      </c>
      <c r="K570" s="33" t="n">
        <v>0</v>
      </c>
      <c r="L570" s="33" t="n">
        <v>30.1</v>
      </c>
      <c r="M570" s="33" t="inlineStr">
        <is>
          <t>mwc</t>
        </is>
      </c>
      <c r="N570" s="33" t="n">
        <v>9</v>
      </c>
      <c r="O570" s="33" t="n">
        <v>-2.482</v>
      </c>
      <c r="P570" s="33" t="n">
        <v>101.524</v>
      </c>
      <c r="Q570" s="33" t="inlineStr">
        <is>
          <t>Sungai Penuh, Indonesia</t>
        </is>
      </c>
      <c r="S570" s="33" t="inlineStr">
        <is>
          <t>Indonesia</t>
        </is>
      </c>
      <c r="T570" s="36">
        <f>DATE(MID(C570,7,4),MID(C570,4,2),MID(C570,1,2))+TIME(MID(C570,12,2),MID(C570,15,2),0)</f>
        <v/>
      </c>
      <c r="U570" s="33">
        <f>IF(ISNUMBER(VALUE(MID(A570,7,1))),"Distance-prefix pattern","Named-region pattern")</f>
        <v/>
      </c>
      <c r="V570" s="33">
        <f>LOWER(M570)</f>
        <v/>
      </c>
      <c r="W570" s="33">
        <f>IF(COUNTIFS($A$2:$A$1001,A570,$C$2:$C$1001,C570)&gt;1,"Duplicate","Unique")</f>
        <v/>
      </c>
      <c r="X570" s="33">
        <f>YEAR(T570)</f>
        <v/>
      </c>
      <c r="Y570" s="33">
        <f>IF(B570&lt;6.5,"&lt;6.5",IF(B570&lt;7,"6.5–6.9",IF(B570&lt;7.5,"7.0–7.4",IF(B570&lt;8,"7.5–7.9","8.0+"))))</f>
        <v/>
      </c>
      <c r="Z570" s="33">
        <f>IF(F570="","Blank",F570)</f>
        <v/>
      </c>
    </row>
    <row r="571" ht="15" customHeight="1" s="34">
      <c r="A571" s="33" t="inlineStr">
        <is>
          <t>M 7.6 - 30 km WSW of Pariaman, Indonesia</t>
        </is>
      </c>
      <c r="B571" s="33" t="n">
        <v>7.6</v>
      </c>
      <c r="C571" s="33" t="inlineStr">
        <is>
          <t>30/09/2009 10:16</t>
        </is>
      </c>
      <c r="D571" s="33" t="n">
        <v>8</v>
      </c>
      <c r="E571" s="33" t="n">
        <v>8</v>
      </c>
      <c r="G571" s="33" t="n">
        <v>0</v>
      </c>
      <c r="H571" s="33" t="n">
        <v>1639</v>
      </c>
      <c r="I571" s="33" t="inlineStr">
        <is>
          <t>us</t>
        </is>
      </c>
      <c r="J571" s="33" t="n">
        <v>498</v>
      </c>
      <c r="K571" s="33" t="n">
        <v>0</v>
      </c>
      <c r="L571" s="33" t="n">
        <v>14</v>
      </c>
      <c r="M571" s="33" t="inlineStr">
        <is>
          <t>mwc</t>
        </is>
      </c>
      <c r="N571" s="33" t="n">
        <v>81</v>
      </c>
      <c r="O571" s="33" t="n">
        <v>-0.72</v>
      </c>
      <c r="P571" s="33" t="n">
        <v>99.867</v>
      </c>
      <c r="Q571" s="33" t="inlineStr">
        <is>
          <t>Pariaman, Indonesia</t>
        </is>
      </c>
      <c r="S571" s="33" t="inlineStr">
        <is>
          <t>Indonesia</t>
        </is>
      </c>
      <c r="T571" s="36">
        <f>DATE(MID(C571,7,4),MID(C571,4,2),MID(C571,1,2))+TIME(MID(C571,12,2),MID(C571,15,2),0)</f>
        <v/>
      </c>
      <c r="U571" s="33">
        <f>IF(ISNUMBER(VALUE(MID(A571,7,1))),"Distance-prefix pattern","Named-region pattern")</f>
        <v/>
      </c>
      <c r="V571" s="33">
        <f>LOWER(M571)</f>
        <v/>
      </c>
      <c r="W571" s="33">
        <f>IF(COUNTIFS($A$2:$A$1001,A571,$C$2:$C$1001,C571)&gt;1,"Duplicate","Unique")</f>
        <v/>
      </c>
      <c r="X571" s="33">
        <f>YEAR(T571)</f>
        <v/>
      </c>
      <c r="Y571" s="33">
        <f>IF(B571&lt;6.5,"&lt;6.5",IF(B571&lt;7,"6.5–6.9",IF(B571&lt;7.5,"7.0–7.4",IF(B571&lt;8,"7.5–7.9","8.0+"))))</f>
        <v/>
      </c>
      <c r="Z571" s="33">
        <f>IF(F571="","Blank",F571)</f>
        <v/>
      </c>
    </row>
    <row r="572" ht="15" customHeight="1" s="34">
      <c r="A572" s="33" t="inlineStr">
        <is>
          <t>M 8.1 - 168 km SSW of Matavai, Samoa</t>
        </is>
      </c>
      <c r="B572" s="33" t="n">
        <v>8.1</v>
      </c>
      <c r="C572" s="33" t="inlineStr">
        <is>
          <t>29/09/2009 17:48</t>
        </is>
      </c>
      <c r="D572" s="33" t="n">
        <v>7</v>
      </c>
      <c r="E572" s="33" t="n">
        <v>6</v>
      </c>
      <c r="G572" s="33" t="n">
        <v>0</v>
      </c>
      <c r="H572" s="33" t="n">
        <v>1055</v>
      </c>
      <c r="I572" s="33" t="inlineStr">
        <is>
          <t>us</t>
        </is>
      </c>
      <c r="J572" s="33" t="n">
        <v>520</v>
      </c>
      <c r="K572" s="33" t="n">
        <v>0</v>
      </c>
      <c r="L572" s="33" t="n">
        <v>20.8</v>
      </c>
      <c r="M572" s="33" t="inlineStr">
        <is>
          <t>mwc</t>
        </is>
      </c>
      <c r="N572" s="33" t="n">
        <v>18</v>
      </c>
      <c r="O572" s="33" t="n">
        <v>-15.489</v>
      </c>
      <c r="P572" s="33" t="n">
        <v>-172.095</v>
      </c>
      <c r="Q572" s="33" t="inlineStr">
        <is>
          <t>Matavai, Samoa</t>
        </is>
      </c>
      <c r="T572" s="36">
        <f>DATE(MID(C572,7,4),MID(C572,4,2),MID(C572,1,2))+TIME(MID(C572,12,2),MID(C572,15,2),0)</f>
        <v/>
      </c>
      <c r="U572" s="33">
        <f>IF(ISNUMBER(VALUE(MID(A572,7,1))),"Distance-prefix pattern","Named-region pattern")</f>
        <v/>
      </c>
      <c r="V572" s="33">
        <f>LOWER(M572)</f>
        <v/>
      </c>
      <c r="W572" s="33">
        <f>IF(COUNTIFS($A$2:$A$1001,A572,$C$2:$C$1001,C572)&gt;1,"Duplicate","Unique")</f>
        <v/>
      </c>
      <c r="X572" s="33">
        <f>YEAR(T572)</f>
        <v/>
      </c>
      <c r="Y572" s="33">
        <f>IF(B572&lt;6.5,"&lt;6.5",IF(B572&lt;7,"6.5–6.9",IF(B572&lt;7.5,"7.0–7.4",IF(B572&lt;8,"7.5–7.9","8.0+"))))</f>
        <v/>
      </c>
      <c r="Z572" s="33">
        <f>IF(F572="","Blank",F572)</f>
        <v/>
      </c>
    </row>
    <row r="573" ht="15" customHeight="1" s="34">
      <c r="A573" s="33" t="inlineStr">
        <is>
          <t>M 7.0 - 66 km SSW of Banjar, Indonesia</t>
        </is>
      </c>
      <c r="B573" s="33" t="n">
        <v>7</v>
      </c>
      <c r="C573" s="33" t="inlineStr">
        <is>
          <t>02/09/2009 07:55</t>
        </is>
      </c>
      <c r="D573" s="33" t="n">
        <v>7</v>
      </c>
      <c r="E573" s="33" t="n">
        <v>7</v>
      </c>
      <c r="G573" s="33" t="n">
        <v>0</v>
      </c>
      <c r="H573" s="33" t="n">
        <v>1175</v>
      </c>
      <c r="I573" s="33" t="inlineStr">
        <is>
          <t>us</t>
        </is>
      </c>
      <c r="J573" s="33" t="n">
        <v>312</v>
      </c>
      <c r="K573" s="33" t="n">
        <v>0</v>
      </c>
      <c r="L573" s="33" t="n">
        <v>16.3</v>
      </c>
      <c r="M573" s="33" t="inlineStr">
        <is>
          <t>mwc</t>
        </is>
      </c>
      <c r="N573" s="33" t="n">
        <v>46</v>
      </c>
      <c r="O573" s="33" t="n">
        <v>-7.782</v>
      </c>
      <c r="P573" s="33" t="n">
        <v>107.297</v>
      </c>
      <c r="Q573" s="33" t="inlineStr">
        <is>
          <t>Banjar, Indonesia</t>
        </is>
      </c>
      <c r="S573" s="33" t="inlineStr">
        <is>
          <t>Indonesia</t>
        </is>
      </c>
      <c r="T573" s="36">
        <f>DATE(MID(C573,7,4),MID(C573,4,2),MID(C573,1,2))+TIME(MID(C573,12,2),MID(C573,15,2),0)</f>
        <v/>
      </c>
      <c r="U573" s="33">
        <f>IF(ISNUMBER(VALUE(MID(A573,7,1))),"Distance-prefix pattern","Named-region pattern")</f>
        <v/>
      </c>
      <c r="V573" s="33">
        <f>LOWER(M573)</f>
        <v/>
      </c>
      <c r="W573" s="33">
        <f>IF(COUNTIFS($A$2:$A$1001,A573,$C$2:$C$1001,C573)&gt;1,"Duplicate","Unique")</f>
        <v/>
      </c>
      <c r="X573" s="33">
        <f>YEAR(T573)</f>
        <v/>
      </c>
      <c r="Y573" s="33">
        <f>IF(B573&lt;6.5,"&lt;6.5",IF(B573&lt;7,"6.5–6.9",IF(B573&lt;7.5,"7.0–7.4",IF(B573&lt;8,"7.5–7.9","8.0+"))))</f>
        <v/>
      </c>
      <c r="Z573" s="33">
        <f>IF(F573="","Blank",F573)</f>
        <v/>
      </c>
    </row>
    <row r="574" ht="15" customHeight="1" s="34">
      <c r="A574" s="33" t="inlineStr">
        <is>
          <t>M 6.7 - 112 km WSW of Padang, Indonesia</t>
        </is>
      </c>
      <c r="B574" s="33" t="n">
        <v>6.7</v>
      </c>
      <c r="C574" s="33" t="inlineStr">
        <is>
          <t>16/08/2009 07:38</t>
        </is>
      </c>
      <c r="D574" s="33" t="n">
        <v>5</v>
      </c>
      <c r="E574" s="33" t="n">
        <v>6</v>
      </c>
      <c r="G574" s="33" t="n">
        <v>0</v>
      </c>
      <c r="H574" s="33" t="n">
        <v>753</v>
      </c>
      <c r="I574" s="33" t="inlineStr">
        <is>
          <t>us</t>
        </is>
      </c>
      <c r="J574" s="33" t="n">
        <v>369</v>
      </c>
      <c r="K574" s="33" t="n">
        <v>0</v>
      </c>
      <c r="L574" s="33" t="n">
        <v>14.9</v>
      </c>
      <c r="M574" s="33" t="inlineStr">
        <is>
          <t>mwc</t>
        </is>
      </c>
      <c r="N574" s="33" t="n">
        <v>20</v>
      </c>
      <c r="O574" s="33" t="n">
        <v>-1.479</v>
      </c>
      <c r="P574" s="33" t="n">
        <v>99.48999999999999</v>
      </c>
      <c r="Q574" s="33" t="inlineStr">
        <is>
          <t>Padang, Indonesia</t>
        </is>
      </c>
      <c r="S574" s="33" t="inlineStr">
        <is>
          <t>Indonesia</t>
        </is>
      </c>
      <c r="T574" s="36">
        <f>DATE(MID(C574,7,4),MID(C574,4,2),MID(C574,1,2))+TIME(MID(C574,12,2),MID(C574,15,2),0)</f>
        <v/>
      </c>
      <c r="U574" s="33">
        <f>IF(ISNUMBER(VALUE(MID(A574,7,1))),"Distance-prefix pattern","Named-region pattern")</f>
        <v/>
      </c>
      <c r="V574" s="33">
        <f>LOWER(M574)</f>
        <v/>
      </c>
      <c r="W574" s="33">
        <f>IF(COUNTIFS($A$2:$A$1001,A574,$C$2:$C$1001,C574)&gt;1,"Duplicate","Unique")</f>
        <v/>
      </c>
      <c r="X574" s="33">
        <f>YEAR(T574)</f>
        <v/>
      </c>
      <c r="Y574" s="33">
        <f>IF(B574&lt;6.5,"&lt;6.5",IF(B574&lt;7,"6.5–6.9",IF(B574&lt;7.5,"7.0–7.4",IF(B574&lt;8,"7.5–7.9","8.0+"))))</f>
        <v/>
      </c>
      <c r="Z574" s="33">
        <f>IF(F574="","Blank",F574)</f>
        <v/>
      </c>
    </row>
    <row r="575" ht="15" customHeight="1" s="34">
      <c r="A575" s="33" t="inlineStr">
        <is>
          <t>M 6.6 - 244 km SSE of Tateyama, Japan</t>
        </is>
      </c>
      <c r="B575" s="33" t="n">
        <v>6.6</v>
      </c>
      <c r="C575" s="33" t="inlineStr">
        <is>
          <t>12/08/2009 22:48</t>
        </is>
      </c>
      <c r="D575" s="33" t="n">
        <v>4</v>
      </c>
      <c r="E575" s="33" t="n">
        <v>5</v>
      </c>
      <c r="G575" s="33" t="n">
        <v>0</v>
      </c>
      <c r="H575" s="33" t="n">
        <v>703</v>
      </c>
      <c r="I575" s="33" t="inlineStr">
        <is>
          <t>us</t>
        </is>
      </c>
      <c r="J575" s="33" t="n">
        <v>336</v>
      </c>
      <c r="K575" s="33" t="n">
        <v>0</v>
      </c>
      <c r="L575" s="33" t="n">
        <v>14.1</v>
      </c>
      <c r="M575" s="33" t="inlineStr">
        <is>
          <t>mwc</t>
        </is>
      </c>
      <c r="N575" s="33" t="n">
        <v>53</v>
      </c>
      <c r="O575" s="33" t="n">
        <v>32.821</v>
      </c>
      <c r="P575" s="33" t="n">
        <v>140.395</v>
      </c>
      <c r="Q575" s="33" t="inlineStr">
        <is>
          <t>Tateyama, Japan</t>
        </is>
      </c>
      <c r="T575" s="36">
        <f>DATE(MID(C575,7,4),MID(C575,4,2),MID(C575,1,2))+TIME(MID(C575,12,2),MID(C575,15,2),0)</f>
        <v/>
      </c>
      <c r="U575" s="33">
        <f>IF(ISNUMBER(VALUE(MID(A575,7,1))),"Distance-prefix pattern","Named-region pattern")</f>
        <v/>
      </c>
      <c r="V575" s="33">
        <f>LOWER(M575)</f>
        <v/>
      </c>
      <c r="W575" s="33">
        <f>IF(COUNTIFS($A$2:$A$1001,A575,$C$2:$C$1001,C575)&gt;1,"Duplicate","Unique")</f>
        <v/>
      </c>
      <c r="X575" s="33">
        <f>YEAR(T575)</f>
        <v/>
      </c>
      <c r="Y575" s="33">
        <f>IF(B575&lt;6.5,"&lt;6.5",IF(B575&lt;7,"6.5–6.9",IF(B575&lt;7.5,"7.0–7.4",IF(B575&lt;8,"7.5–7.9","8.0+"))))</f>
        <v/>
      </c>
      <c r="Z575" s="33">
        <f>IF(F575="","Blank",F575)</f>
        <v/>
      </c>
    </row>
    <row r="576" ht="15" customHeight="1" s="34">
      <c r="A576" s="33" t="inlineStr">
        <is>
          <t>M 7.5 - 266 km N of Bamboo Flat, India</t>
        </is>
      </c>
      <c r="B576" s="33" t="n">
        <v>7.5</v>
      </c>
      <c r="C576" s="33" t="inlineStr">
        <is>
          <t>10/08/2009 19:55</t>
        </is>
      </c>
      <c r="D576" s="33" t="n">
        <v>7</v>
      </c>
      <c r="E576" s="33" t="n">
        <v>6</v>
      </c>
      <c r="G576" s="33" t="n">
        <v>0</v>
      </c>
      <c r="H576" s="33" t="n">
        <v>1248</v>
      </c>
      <c r="I576" s="33" t="inlineStr">
        <is>
          <t>us</t>
        </is>
      </c>
      <c r="J576" s="33" t="n">
        <v>303</v>
      </c>
      <c r="K576" s="33" t="n">
        <v>0</v>
      </c>
      <c r="L576" s="33" t="n">
        <v>18.2</v>
      </c>
      <c r="M576" s="33" t="inlineStr">
        <is>
          <t>mwc</t>
        </is>
      </c>
      <c r="N576" s="33" t="n">
        <v>24</v>
      </c>
      <c r="O576" s="33" t="n">
        <v>14.099</v>
      </c>
      <c r="P576" s="33" t="n">
        <v>92.902</v>
      </c>
      <c r="Q576" s="33" t="inlineStr">
        <is>
          <t>Bamboo Flat, India</t>
        </is>
      </c>
      <c r="T576" s="36">
        <f>DATE(MID(C576,7,4),MID(C576,4,2),MID(C576,1,2))+TIME(MID(C576,12,2),MID(C576,15,2),0)</f>
        <v/>
      </c>
      <c r="U576" s="33">
        <f>IF(ISNUMBER(VALUE(MID(A576,7,1))),"Distance-prefix pattern","Named-region pattern")</f>
        <v/>
      </c>
      <c r="V576" s="33">
        <f>LOWER(M576)</f>
        <v/>
      </c>
      <c r="W576" s="33">
        <f>IF(COUNTIFS($A$2:$A$1001,A576,$C$2:$C$1001,C576)&gt;1,"Duplicate","Unique")</f>
        <v/>
      </c>
      <c r="X576" s="33">
        <f>YEAR(T576)</f>
        <v/>
      </c>
      <c r="Y576" s="33">
        <f>IF(B576&lt;6.5,"&lt;6.5",IF(B576&lt;7,"6.5–6.9",IF(B576&lt;7.5,"7.0–7.4",IF(B576&lt;8,"7.5–7.9","8.0+"))))</f>
        <v/>
      </c>
      <c r="Z576" s="33">
        <f>IF(F576="","Blank",F576)</f>
        <v/>
      </c>
    </row>
    <row r="577" ht="15" customHeight="1" s="34">
      <c r="A577" s="33" t="inlineStr">
        <is>
          <t>M 7.1 - 161 km S of ?yama, Japan</t>
        </is>
      </c>
      <c r="B577" s="33" t="n">
        <v>7.1</v>
      </c>
      <c r="C577" s="33" t="inlineStr">
        <is>
          <t>09/08/2009 10:55</t>
        </is>
      </c>
      <c r="D577" s="33" t="n">
        <v>5</v>
      </c>
      <c r="E577" s="33" t="n">
        <v>4</v>
      </c>
      <c r="G577" s="33" t="n">
        <v>0</v>
      </c>
      <c r="H577" s="33" t="n">
        <v>1005</v>
      </c>
      <c r="I577" s="33" t="inlineStr">
        <is>
          <t>us</t>
        </is>
      </c>
      <c r="J577" s="33" t="n">
        <v>447</v>
      </c>
      <c r="K577" s="33" t="n">
        <v>0</v>
      </c>
      <c r="L577" s="33" t="n">
        <v>14.2</v>
      </c>
      <c r="M577" s="33" t="inlineStr">
        <is>
          <t>mwc</t>
        </is>
      </c>
      <c r="N577" s="33" t="n">
        <v>292</v>
      </c>
      <c r="O577" s="33" t="n">
        <v>33.167</v>
      </c>
      <c r="P577" s="33" t="n">
        <v>137.944</v>
      </c>
      <c r="Q577" s="33" t="inlineStr">
        <is>
          <t>?yama, Japan</t>
        </is>
      </c>
      <c r="T577" s="36">
        <f>DATE(MID(C577,7,4),MID(C577,4,2),MID(C577,1,2))+TIME(MID(C577,12,2),MID(C577,15,2),0)</f>
        <v/>
      </c>
      <c r="U577" s="33">
        <f>IF(ISNUMBER(VALUE(MID(A577,7,1))),"Distance-prefix pattern","Named-region pattern")</f>
        <v/>
      </c>
      <c r="V577" s="33">
        <f>LOWER(M577)</f>
        <v/>
      </c>
      <c r="W577" s="33">
        <f>IF(COUNTIFS($A$2:$A$1001,A577,$C$2:$C$1001,C577)&gt;1,"Duplicate","Unique")</f>
        <v/>
      </c>
      <c r="X577" s="33">
        <f>YEAR(T577)</f>
        <v/>
      </c>
      <c r="Y577" s="33">
        <f>IF(B577&lt;6.5,"&lt;6.5",IF(B577&lt;7,"6.5–6.9",IF(B577&lt;7.5,"7.0–7.4",IF(B577&lt;8,"7.5–7.9","8.0+"))))</f>
        <v/>
      </c>
      <c r="Z577" s="33">
        <f>IF(F577="","Blank",F577)</f>
        <v/>
      </c>
    </row>
    <row r="578" ht="15" customHeight="1" s="34">
      <c r="A578" s="33" t="inlineStr">
        <is>
          <t>M 6.9 - 96 km WNW of Bahía de Kino, Mexico</t>
        </is>
      </c>
      <c r="B578" s="33" t="n">
        <v>6.9</v>
      </c>
      <c r="C578" s="33" t="inlineStr">
        <is>
          <t>03/08/2009 17:59</t>
        </is>
      </c>
      <c r="D578" s="33" t="n">
        <v>5</v>
      </c>
      <c r="E578" s="33" t="n">
        <v>7</v>
      </c>
      <c r="G578" s="33" t="n">
        <v>0</v>
      </c>
      <c r="H578" s="33" t="n">
        <v>1202</v>
      </c>
      <c r="I578" s="33" t="inlineStr">
        <is>
          <t>us</t>
        </is>
      </c>
      <c r="J578" s="33" t="n">
        <v>243</v>
      </c>
      <c r="K578" s="33" t="n">
        <v>0</v>
      </c>
      <c r="L578" s="33" t="n">
        <v>35</v>
      </c>
      <c r="M578" s="33" t="inlineStr">
        <is>
          <t>mwc</t>
        </is>
      </c>
      <c r="N578" s="33" t="n">
        <v>10</v>
      </c>
      <c r="O578" s="33" t="n">
        <v>29.039</v>
      </c>
      <c r="P578" s="33" t="n">
        <v>-112.903</v>
      </c>
      <c r="Q578" s="33" t="inlineStr">
        <is>
          <t>Bahía de Kino, Mexico</t>
        </is>
      </c>
      <c r="R578" s="33" t="inlineStr">
        <is>
          <t>North America</t>
        </is>
      </c>
      <c r="S578" s="33" t="inlineStr">
        <is>
          <t>Mexico</t>
        </is>
      </c>
      <c r="T578" s="36">
        <f>DATE(MID(C578,7,4),MID(C578,4,2),MID(C578,1,2))+TIME(MID(C578,12,2),MID(C578,15,2),0)</f>
        <v/>
      </c>
      <c r="U578" s="33">
        <f>IF(ISNUMBER(VALUE(MID(A578,7,1))),"Distance-prefix pattern","Named-region pattern")</f>
        <v/>
      </c>
      <c r="V578" s="33">
        <f>LOWER(M578)</f>
        <v/>
      </c>
      <c r="W578" s="33">
        <f>IF(COUNTIFS($A$2:$A$1001,A578,$C$2:$C$1001,C578)&gt;1,"Duplicate","Unique")</f>
        <v/>
      </c>
      <c r="X578" s="33">
        <f>YEAR(T578)</f>
        <v/>
      </c>
      <c r="Y578" s="33">
        <f>IF(B578&lt;6.5,"&lt;6.5",IF(B578&lt;7,"6.5–6.9",IF(B578&lt;7.5,"7.0–7.4",IF(B578&lt;8,"7.5–7.9","8.0+"))))</f>
        <v/>
      </c>
      <c r="Z578" s="33">
        <f>IF(F578="","Blank",F578)</f>
        <v/>
      </c>
    </row>
    <row r="579" ht="15" customHeight="1" s="34">
      <c r="A579" s="33" t="inlineStr">
        <is>
          <t>M 7.8 - 97 km WSW of Te Anau, New Zealand</t>
        </is>
      </c>
      <c r="B579" s="33" t="n">
        <v>7.8</v>
      </c>
      <c r="C579" s="33" t="inlineStr">
        <is>
          <t>15/07/2009 09:22</t>
        </is>
      </c>
      <c r="D579" s="33" t="n">
        <v>6</v>
      </c>
      <c r="E579" s="33" t="n">
        <v>8</v>
      </c>
      <c r="G579" s="33" t="n">
        <v>0</v>
      </c>
      <c r="H579" s="33" t="n">
        <v>1165</v>
      </c>
      <c r="I579" s="33" t="inlineStr">
        <is>
          <t>us</t>
        </is>
      </c>
      <c r="J579" s="33" t="n">
        <v>434</v>
      </c>
      <c r="K579" s="33" t="n">
        <v>0</v>
      </c>
      <c r="L579" s="33" t="n">
        <v>16.8</v>
      </c>
      <c r="M579" s="33" t="inlineStr">
        <is>
          <t>mwc</t>
        </is>
      </c>
      <c r="N579" s="33" t="n">
        <v>12</v>
      </c>
      <c r="O579" s="33" t="n">
        <v>-45.762</v>
      </c>
      <c r="P579" s="33" t="n">
        <v>166.562</v>
      </c>
      <c r="Q579" s="33" t="inlineStr">
        <is>
          <t>Te Anau, New Zealand</t>
        </is>
      </c>
      <c r="S579" s="33" t="inlineStr">
        <is>
          <t>New Zealand</t>
        </is>
      </c>
      <c r="T579" s="36">
        <f>DATE(MID(C579,7,4),MID(C579,4,2),MID(C579,1,2))+TIME(MID(C579,12,2),MID(C579,15,2),0)</f>
        <v/>
      </c>
      <c r="U579" s="33">
        <f>IF(ISNUMBER(VALUE(MID(A579,7,1))),"Distance-prefix pattern","Named-region pattern")</f>
        <v/>
      </c>
      <c r="V579" s="33">
        <f>LOWER(M579)</f>
        <v/>
      </c>
      <c r="W579" s="33">
        <f>IF(COUNTIFS($A$2:$A$1001,A579,$C$2:$C$1001,C579)&gt;1,"Duplicate","Unique")</f>
        <v/>
      </c>
      <c r="X579" s="33">
        <f>YEAR(T579)</f>
        <v/>
      </c>
      <c r="Y579" s="33">
        <f>IF(B579&lt;6.5,"&lt;6.5",IF(B579&lt;7,"6.5–6.9",IF(B579&lt;7.5,"7.0–7.4",IF(B579&lt;8,"7.5–7.9","8.0+"))))</f>
        <v/>
      </c>
      <c r="Z579" s="33">
        <f>IF(F579="","Blank",F579)</f>
        <v/>
      </c>
    </row>
    <row r="580" ht="15" customHeight="1" s="34">
      <c r="A580" s="33" t="inlineStr">
        <is>
          <t>M 6.7 - 190 km ESE of Kokopo, Papua New Guinea</t>
        </is>
      </c>
      <c r="B580" s="33" t="n">
        <v>6.7</v>
      </c>
      <c r="C580" s="33" t="inlineStr">
        <is>
          <t>23/06/2009 14:19</t>
        </is>
      </c>
      <c r="D580" s="33" t="n">
        <v>5</v>
      </c>
      <c r="E580" s="33" t="n">
        <v>5</v>
      </c>
      <c r="G580" s="33" t="n">
        <v>0</v>
      </c>
      <c r="H580" s="33" t="n">
        <v>693</v>
      </c>
      <c r="I580" s="33" t="inlineStr">
        <is>
          <t>us</t>
        </is>
      </c>
      <c r="J580" s="33" t="n">
        <v>269</v>
      </c>
      <c r="K580" s="33" t="n">
        <v>0</v>
      </c>
      <c r="L580" s="33" t="n">
        <v>13.8</v>
      </c>
      <c r="M580" s="33" t="inlineStr">
        <is>
          <t>mwc</t>
        </is>
      </c>
      <c r="N580" s="33" t="n">
        <v>64</v>
      </c>
      <c r="O580" s="33" t="n">
        <v>-5.157</v>
      </c>
      <c r="P580" s="33" t="n">
        <v>153.782</v>
      </c>
      <c r="Q580" s="33" t="inlineStr">
        <is>
          <t>Kokopo, Papua New Guinea</t>
        </is>
      </c>
      <c r="S580" s="33" t="inlineStr">
        <is>
          <t>Papua New Guinea</t>
        </is>
      </c>
      <c r="T580" s="36">
        <f>DATE(MID(C580,7,4),MID(C580,4,2),MID(C580,1,2))+TIME(MID(C580,12,2),MID(C580,15,2),0)</f>
        <v/>
      </c>
      <c r="U580" s="33">
        <f>IF(ISNUMBER(VALUE(MID(A580,7,1))),"Distance-prefix pattern","Named-region pattern")</f>
        <v/>
      </c>
      <c r="V580" s="33">
        <f>LOWER(M580)</f>
        <v/>
      </c>
      <c r="W580" s="33">
        <f>IF(COUNTIFS($A$2:$A$1001,A580,$C$2:$C$1001,C580)&gt;1,"Duplicate","Unique")</f>
        <v/>
      </c>
      <c r="X580" s="33">
        <f>YEAR(T580)</f>
        <v/>
      </c>
      <c r="Y580" s="33">
        <f>IF(B580&lt;6.5,"&lt;6.5",IF(B580&lt;7,"6.5–6.9",IF(B580&lt;7.5,"7.0–7.4",IF(B580&lt;8,"7.5–7.9","8.0+"))))</f>
        <v/>
      </c>
      <c r="Z580" s="33">
        <f>IF(F580="","Blank",F580)</f>
        <v/>
      </c>
    </row>
    <row r="581" ht="15" customHeight="1" s="34">
      <c r="A581" s="33" t="inlineStr">
        <is>
          <t>M 7.3 - 46 km NW of Guanaja, Honduras</t>
        </is>
      </c>
      <c r="B581" s="33" t="n">
        <v>7.3</v>
      </c>
      <c r="C581" s="33" t="inlineStr">
        <is>
          <t>28/05/2009 08:24</t>
        </is>
      </c>
      <c r="D581" s="33" t="n">
        <v>7</v>
      </c>
      <c r="E581" s="33" t="n">
        <v>8</v>
      </c>
      <c r="G581" s="33" t="n">
        <v>0</v>
      </c>
      <c r="H581" s="33" t="n">
        <v>1560</v>
      </c>
      <c r="I581" s="33" t="inlineStr">
        <is>
          <t>us</t>
        </is>
      </c>
      <c r="J581" s="33" t="n">
        <v>464</v>
      </c>
      <c r="K581" s="33" t="n">
        <v>0</v>
      </c>
      <c r="L581" s="33" t="n">
        <v>27.2</v>
      </c>
      <c r="M581" s="33" t="inlineStr">
        <is>
          <t>mwc</t>
        </is>
      </c>
      <c r="N581" s="33" t="n">
        <v>19</v>
      </c>
      <c r="O581" s="33" t="n">
        <v>16.731</v>
      </c>
      <c r="P581" s="33" t="n">
        <v>-86.217</v>
      </c>
      <c r="Q581" s="33" t="inlineStr">
        <is>
          <t>Guanaja, Honduras</t>
        </is>
      </c>
      <c r="T581" s="36">
        <f>DATE(MID(C581,7,4),MID(C581,4,2),MID(C581,1,2))+TIME(MID(C581,12,2),MID(C581,15,2),0)</f>
        <v/>
      </c>
      <c r="U581" s="33">
        <f>IF(ISNUMBER(VALUE(MID(A581,7,1))),"Distance-prefix pattern","Named-region pattern")</f>
        <v/>
      </c>
      <c r="V581" s="33">
        <f>LOWER(M581)</f>
        <v/>
      </c>
      <c r="W581" s="33">
        <f>IF(COUNTIFS($A$2:$A$1001,A581,$C$2:$C$1001,C581)&gt;1,"Duplicate","Unique")</f>
        <v/>
      </c>
      <c r="X581" s="33">
        <f>YEAR(T581)</f>
        <v/>
      </c>
      <c r="Y581" s="33">
        <f>IF(B581&lt;6.5,"&lt;6.5",IF(B581&lt;7,"6.5–6.9",IF(B581&lt;7.5,"7.0–7.4",IF(B581&lt;8,"7.5–7.9","8.0+"))))</f>
        <v/>
      </c>
      <c r="Z581" s="33">
        <f>IF(F581="","Blank",F581)</f>
        <v/>
      </c>
    </row>
    <row r="582" ht="15" customHeight="1" s="34">
      <c r="A582" s="33" t="inlineStr">
        <is>
          <t>M 7.6 - 191 km S of ‘Ohonua, Tonga</t>
        </is>
      </c>
      <c r="B582" s="33" t="n">
        <v>7.6</v>
      </c>
      <c r="C582" s="33" t="inlineStr">
        <is>
          <t>19/03/2009 18:17</t>
        </is>
      </c>
      <c r="D582" s="33" t="n">
        <v>7</v>
      </c>
      <c r="E582" s="33" t="n">
        <v>5</v>
      </c>
      <c r="G582" s="33" t="n">
        <v>0</v>
      </c>
      <c r="H582" s="33" t="n">
        <v>916</v>
      </c>
      <c r="I582" s="33" t="inlineStr">
        <is>
          <t>us</t>
        </is>
      </c>
      <c r="J582" s="33" t="n">
        <v>504</v>
      </c>
      <c r="K582" s="33" t="n">
        <v>0</v>
      </c>
      <c r="L582" s="33" t="n">
        <v>14</v>
      </c>
      <c r="M582" s="33" t="inlineStr">
        <is>
          <t>mwc</t>
        </is>
      </c>
      <c r="N582" s="33" t="n">
        <v>31</v>
      </c>
      <c r="O582" s="33" t="n">
        <v>-23.043</v>
      </c>
      <c r="P582" s="33" t="n">
        <v>-174.66</v>
      </c>
      <c r="Q582" s="33" t="inlineStr">
        <is>
          <t>‘Ohonua, Tonga</t>
        </is>
      </c>
      <c r="T582" s="36">
        <f>DATE(MID(C582,7,4),MID(C582,4,2),MID(C582,1,2))+TIME(MID(C582,12,2),MID(C582,15,2),0)</f>
        <v/>
      </c>
      <c r="U582" s="33">
        <f>IF(ISNUMBER(VALUE(MID(A582,7,1))),"Distance-prefix pattern","Named-region pattern")</f>
        <v/>
      </c>
      <c r="V582" s="33">
        <f>LOWER(M582)</f>
        <v/>
      </c>
      <c r="W582" s="33">
        <f>IF(COUNTIFS($A$2:$A$1001,A582,$C$2:$C$1001,C582)&gt;1,"Duplicate","Unique")</f>
        <v/>
      </c>
      <c r="X582" s="33">
        <f>YEAR(T582)</f>
        <v/>
      </c>
      <c r="Y582" s="33">
        <f>IF(B582&lt;6.5,"&lt;6.5",IF(B582&lt;7,"6.5–6.9",IF(B582&lt;7.5,"7.0–7.4",IF(B582&lt;8,"7.5–7.9","8.0+"))))</f>
        <v/>
      </c>
      <c r="Z582" s="33">
        <f>IF(F582="","Blank",F582)</f>
        <v/>
      </c>
    </row>
    <row r="583" ht="15" customHeight="1" s="34">
      <c r="A583" s="33" t="inlineStr">
        <is>
          <t>M 7.2 - 196 km SSE of Sarangani, Philippines</t>
        </is>
      </c>
      <c r="B583" s="33" t="n">
        <v>7.2</v>
      </c>
      <c r="C583" s="33" t="inlineStr">
        <is>
          <t>11/02/2009 17:34</t>
        </is>
      </c>
      <c r="D583" s="33" t="n">
        <v>3</v>
      </c>
      <c r="E583" s="33" t="n">
        <v>7</v>
      </c>
      <c r="G583" s="33" t="n">
        <v>0</v>
      </c>
      <c r="H583" s="33" t="n">
        <v>802</v>
      </c>
      <c r="I583" s="33" t="inlineStr">
        <is>
          <t>us</t>
        </is>
      </c>
      <c r="J583" s="33" t="n">
        <v>432</v>
      </c>
      <c r="K583" s="33" t="n">
        <v>0</v>
      </c>
      <c r="L583" s="33" t="n">
        <v>18.6</v>
      </c>
      <c r="M583" s="33" t="inlineStr">
        <is>
          <t>mwc</t>
        </is>
      </c>
      <c r="N583" s="33" t="n">
        <v>20</v>
      </c>
      <c r="O583" s="33" t="n">
        <v>3.886</v>
      </c>
      <c r="P583" s="33" t="n">
        <v>126.387</v>
      </c>
      <c r="Q583" s="33" t="inlineStr">
        <is>
          <t>Sarangani, Philippines</t>
        </is>
      </c>
      <c r="S583" s="33" t="inlineStr">
        <is>
          <t>Indonesia</t>
        </is>
      </c>
      <c r="T583" s="36">
        <f>DATE(MID(C583,7,4),MID(C583,4,2),MID(C583,1,2))+TIME(MID(C583,12,2),MID(C583,15,2),0)</f>
        <v/>
      </c>
      <c r="U583" s="33">
        <f>IF(ISNUMBER(VALUE(MID(A583,7,1))),"Distance-prefix pattern","Named-region pattern")</f>
        <v/>
      </c>
      <c r="V583" s="33">
        <f>LOWER(M583)</f>
        <v/>
      </c>
      <c r="W583" s="33">
        <f>IF(COUNTIFS($A$2:$A$1001,A583,$C$2:$C$1001,C583)&gt;1,"Duplicate","Unique")</f>
        <v/>
      </c>
      <c r="X583" s="33">
        <f>YEAR(T583)</f>
        <v/>
      </c>
      <c r="Y583" s="33">
        <f>IF(B583&lt;6.5,"&lt;6.5",IF(B583&lt;7,"6.5–6.9",IF(B583&lt;7.5,"7.0–7.4",IF(B583&lt;8,"7.5–7.9","8.0+"))))</f>
        <v/>
      </c>
      <c r="Z583" s="33">
        <f>IF(F583="","Blank",F583)</f>
        <v/>
      </c>
    </row>
    <row r="584" ht="15" customHeight="1" s="34">
      <c r="A584" s="33" t="inlineStr">
        <is>
          <t>M 7.4 - 86 km WNW of Manokwari, Indonesia</t>
        </is>
      </c>
      <c r="B584" s="33" t="n">
        <v>7.4</v>
      </c>
      <c r="C584" s="33" t="inlineStr">
        <is>
          <t>03/01/2009 22:33</t>
        </is>
      </c>
      <c r="D584" s="33" t="n">
        <v>7</v>
      </c>
      <c r="E584" s="33" t="n">
        <v>7</v>
      </c>
      <c r="G584" s="33" t="n">
        <v>0</v>
      </c>
      <c r="H584" s="33" t="n">
        <v>846</v>
      </c>
      <c r="I584" s="33" t="inlineStr">
        <is>
          <t>us</t>
        </is>
      </c>
      <c r="J584" s="33" t="n">
        <v>314</v>
      </c>
      <c r="K584" s="33" t="n">
        <v>0</v>
      </c>
      <c r="L584" s="33" t="n">
        <v>21.1</v>
      </c>
      <c r="M584" s="33" t="inlineStr">
        <is>
          <t>mwc</t>
        </is>
      </c>
      <c r="N584" s="33" t="n">
        <v>23</v>
      </c>
      <c r="O584" s="33" t="n">
        <v>-0.6909999999999999</v>
      </c>
      <c r="P584" s="33" t="n">
        <v>133.305</v>
      </c>
      <c r="Q584" s="33" t="inlineStr">
        <is>
          <t>Manokwari, Indonesia</t>
        </is>
      </c>
      <c r="S584" s="33" t="inlineStr">
        <is>
          <t>Indonesia</t>
        </is>
      </c>
      <c r="T584" s="36">
        <f>DATE(MID(C584,7,4),MID(C584,4,2),MID(C584,1,2))+TIME(MID(C584,12,2),MID(C584,15,2),0)</f>
        <v/>
      </c>
      <c r="U584" s="33">
        <f>IF(ISNUMBER(VALUE(MID(A584,7,1))),"Distance-prefix pattern","Named-region pattern")</f>
        <v/>
      </c>
      <c r="V584" s="33">
        <f>LOWER(M584)</f>
        <v/>
      </c>
      <c r="W584" s="33">
        <f>IF(COUNTIFS($A$2:$A$1001,A584,$C$2:$C$1001,C584)&gt;1,"Duplicate","Unique")</f>
        <v/>
      </c>
      <c r="X584" s="33">
        <f>YEAR(T584)</f>
        <v/>
      </c>
      <c r="Y584" s="33">
        <f>IF(B584&lt;6.5,"&lt;6.5",IF(B584&lt;7,"6.5–6.9",IF(B584&lt;7.5,"7.0–7.4",IF(B584&lt;8,"7.5–7.9","8.0+"))))</f>
        <v/>
      </c>
      <c r="Z584" s="33">
        <f>IF(F584="","Blank",F584)</f>
        <v/>
      </c>
    </row>
    <row r="585" ht="15" customHeight="1" s="34">
      <c r="A585" s="33" t="inlineStr">
        <is>
          <t>M 6.6 - 50 km S of Jurm, Afghanistan</t>
        </is>
      </c>
      <c r="B585" s="33" t="n">
        <v>6.6</v>
      </c>
      <c r="C585" s="33" t="inlineStr">
        <is>
          <t>03/01/2009 20:23</t>
        </is>
      </c>
      <c r="D585" s="33" t="n">
        <v>5</v>
      </c>
      <c r="E585" s="33" t="n">
        <v>4</v>
      </c>
      <c r="G585" s="33" t="n">
        <v>0</v>
      </c>
      <c r="H585" s="33" t="n">
        <v>765</v>
      </c>
      <c r="I585" s="33" t="inlineStr">
        <is>
          <t>us</t>
        </is>
      </c>
      <c r="J585" s="33" t="n">
        <v>344</v>
      </c>
      <c r="K585" s="33" t="n">
        <v>0</v>
      </c>
      <c r="L585" s="33" t="n">
        <v>22.6</v>
      </c>
      <c r="M585" s="33" t="inlineStr">
        <is>
          <t>mwc</t>
        </is>
      </c>
      <c r="N585" s="33" t="n">
        <v>204.8</v>
      </c>
      <c r="O585" s="33" t="n">
        <v>36.419</v>
      </c>
      <c r="P585" s="33" t="n">
        <v>70.74299999999999</v>
      </c>
      <c r="Q585" s="33" t="inlineStr">
        <is>
          <t>Jurm, Afghanistan</t>
        </is>
      </c>
      <c r="R585" s="33" t="inlineStr">
        <is>
          <t>Asia</t>
        </is>
      </c>
      <c r="S585" s="33" t="inlineStr">
        <is>
          <t>Afghanistan</t>
        </is>
      </c>
      <c r="T585" s="36">
        <f>DATE(MID(C585,7,4),MID(C585,4,2),MID(C585,1,2))+TIME(MID(C585,12,2),MID(C585,15,2),0)</f>
        <v/>
      </c>
      <c r="U585" s="33">
        <f>IF(ISNUMBER(VALUE(MID(A585,7,1))),"Distance-prefix pattern","Named-region pattern")</f>
        <v/>
      </c>
      <c r="V585" s="33">
        <f>LOWER(M585)</f>
        <v/>
      </c>
      <c r="W585" s="33">
        <f>IF(COUNTIFS($A$2:$A$1001,A585,$C$2:$C$1001,C585)&gt;1,"Duplicate","Unique")</f>
        <v/>
      </c>
      <c r="X585" s="33">
        <f>YEAR(T585)</f>
        <v/>
      </c>
      <c r="Y585" s="33">
        <f>IF(B585&lt;6.5,"&lt;6.5",IF(B585&lt;7,"6.5–6.9",IF(B585&lt;7.5,"7.0–7.4",IF(B585&lt;8,"7.5–7.9","8.0+"))))</f>
        <v/>
      </c>
      <c r="Z585" s="33">
        <f>IF(F585="","Blank",F585)</f>
        <v/>
      </c>
    </row>
    <row r="586" ht="15" customHeight="1" s="34">
      <c r="A586" s="33" t="inlineStr">
        <is>
          <t>M 7.7 - 140 km WNW of Manokwari, Indonesia</t>
        </is>
      </c>
      <c r="B586" s="33" t="n">
        <v>7.7</v>
      </c>
      <c r="C586" s="33" t="inlineStr">
        <is>
          <t>03/01/2009 19:43</t>
        </is>
      </c>
      <c r="D586" s="33" t="n">
        <v>5</v>
      </c>
      <c r="E586" s="33" t="n">
        <v>7</v>
      </c>
      <c r="G586" s="33" t="n">
        <v>0</v>
      </c>
      <c r="H586" s="33" t="n">
        <v>918</v>
      </c>
      <c r="I586" s="33" t="inlineStr">
        <is>
          <t>us</t>
        </is>
      </c>
      <c r="J586" s="33" t="n">
        <v>288</v>
      </c>
      <c r="K586" s="33" t="n">
        <v>0</v>
      </c>
      <c r="L586" s="33" t="n">
        <v>29.8</v>
      </c>
      <c r="M586" s="33" t="inlineStr">
        <is>
          <t>mwc</t>
        </is>
      </c>
      <c r="N586" s="33" t="n">
        <v>17</v>
      </c>
      <c r="O586" s="33" t="n">
        <v>-0.414</v>
      </c>
      <c r="P586" s="33" t="n">
        <v>132.885</v>
      </c>
      <c r="Q586" s="33" t="inlineStr">
        <is>
          <t>Manokwari, Indonesia</t>
        </is>
      </c>
      <c r="S586" s="33" t="inlineStr">
        <is>
          <t>Indonesia</t>
        </is>
      </c>
      <c r="T586" s="36">
        <f>DATE(MID(C586,7,4),MID(C586,4,2),MID(C586,1,2))+TIME(MID(C586,12,2),MID(C586,15,2),0)</f>
        <v/>
      </c>
      <c r="U586" s="33">
        <f>IF(ISNUMBER(VALUE(MID(A586,7,1))),"Distance-prefix pattern","Named-region pattern")</f>
        <v/>
      </c>
      <c r="V586" s="33">
        <f>LOWER(M586)</f>
        <v/>
      </c>
      <c r="W586" s="33">
        <f>IF(COUNTIFS($A$2:$A$1001,A586,$C$2:$C$1001,C586)&gt;1,"Duplicate","Unique")</f>
        <v/>
      </c>
      <c r="X586" s="33">
        <f>YEAR(T586)</f>
        <v/>
      </c>
      <c r="Y586" s="33">
        <f>IF(B586&lt;6.5,"&lt;6.5",IF(B586&lt;7,"6.5–6.9",IF(B586&lt;7.5,"7.0–7.4",IF(B586&lt;8,"7.5–7.9","8.0+"))))</f>
        <v/>
      </c>
      <c r="Z586" s="33">
        <f>IF(F586="","Blank",F586)</f>
        <v/>
      </c>
    </row>
    <row r="587" ht="15" customHeight="1" s="34">
      <c r="A587" s="33" t="inlineStr">
        <is>
          <t>M 7.4 - 135 km NW of Gorontalo, Indonesia</t>
        </is>
      </c>
      <c r="B587" s="33" t="n">
        <v>7.4</v>
      </c>
      <c r="C587" s="33" t="inlineStr">
        <is>
          <t>16/11/2008 17:02</t>
        </is>
      </c>
      <c r="D587" s="33" t="n">
        <v>9</v>
      </c>
      <c r="E587" s="33" t="n">
        <v>7</v>
      </c>
      <c r="G587" s="33" t="n">
        <v>0</v>
      </c>
      <c r="H587" s="33" t="n">
        <v>848</v>
      </c>
      <c r="I587" s="33" t="inlineStr">
        <is>
          <t>us</t>
        </is>
      </c>
      <c r="J587" s="33" t="n">
        <v>365</v>
      </c>
      <c r="K587" s="33" t="n">
        <v>0</v>
      </c>
      <c r="L587" s="33" t="n">
        <v>33.7</v>
      </c>
      <c r="M587" s="33" t="inlineStr">
        <is>
          <t>mww</t>
        </is>
      </c>
      <c r="N587" s="33" t="n">
        <v>30</v>
      </c>
      <c r="O587" s="33" t="n">
        <v>1.271</v>
      </c>
      <c r="P587" s="33" t="n">
        <v>122.091</v>
      </c>
      <c r="Q587" s="33" t="inlineStr">
        <is>
          <t>Gorontalo, Indonesia</t>
        </is>
      </c>
      <c r="S587" s="33" t="inlineStr">
        <is>
          <t>Indonesia</t>
        </is>
      </c>
      <c r="T587" s="36">
        <f>DATE(MID(C587,7,4),MID(C587,4,2),MID(C587,1,2))+TIME(MID(C587,12,2),MID(C587,15,2),0)</f>
        <v/>
      </c>
      <c r="U587" s="33">
        <f>IF(ISNUMBER(VALUE(MID(A587,7,1))),"Distance-prefix pattern","Named-region pattern")</f>
        <v/>
      </c>
      <c r="V587" s="33">
        <f>LOWER(M587)</f>
        <v/>
      </c>
      <c r="W587" s="33">
        <f>IF(COUNTIFS($A$2:$A$1001,A587,$C$2:$C$1001,C587)&gt;1,"Duplicate","Unique")</f>
        <v/>
      </c>
      <c r="X587" s="33">
        <f>YEAR(T587)</f>
        <v/>
      </c>
      <c r="Y587" s="33">
        <f>IF(B587&lt;6.5,"&lt;6.5",IF(B587&lt;7,"6.5–6.9",IF(B587&lt;7.5,"7.0–7.4",IF(B587&lt;8,"7.5–7.9","8.0+"))))</f>
        <v/>
      </c>
      <c r="Z587" s="33">
        <f>IF(F587="","Blank",F587)</f>
        <v/>
      </c>
    </row>
    <row r="588" ht="15" customHeight="1" s="34">
      <c r="A588" s="33" t="inlineStr">
        <is>
          <t>M 6.7 - 19 km SW of Brisas Barra de Suchiate, Mexico</t>
        </is>
      </c>
      <c r="B588" s="33" t="n">
        <v>6.7</v>
      </c>
      <c r="C588" s="33" t="inlineStr">
        <is>
          <t>16/10/2008 19:41</t>
        </is>
      </c>
      <c r="D588" s="33" t="n">
        <v>5</v>
      </c>
      <c r="E588" s="33" t="n">
        <v>6</v>
      </c>
      <c r="G588" s="33" t="n">
        <v>0</v>
      </c>
      <c r="H588" s="33" t="n">
        <v>731</v>
      </c>
      <c r="I588" s="33" t="inlineStr">
        <is>
          <t>us</t>
        </is>
      </c>
      <c r="J588" s="33" t="n">
        <v>481</v>
      </c>
      <c r="K588" s="33" t="n">
        <v>0</v>
      </c>
      <c r="L588" s="33" t="n">
        <v>28.6</v>
      </c>
      <c r="M588" s="33" t="inlineStr">
        <is>
          <t>mwc</t>
        </is>
      </c>
      <c r="N588" s="33" t="n">
        <v>24</v>
      </c>
      <c r="O588" s="33" t="n">
        <v>14.423</v>
      </c>
      <c r="P588" s="33" t="n">
        <v>-92.364</v>
      </c>
      <c r="Q588" s="33" t="inlineStr">
        <is>
          <t>Brisas Barra de Suchiate, Mexico</t>
        </is>
      </c>
      <c r="S588" s="33" t="inlineStr">
        <is>
          <t>Mexico</t>
        </is>
      </c>
      <c r="T588" s="36">
        <f>DATE(MID(C588,7,4),MID(C588,4,2),MID(C588,1,2))+TIME(MID(C588,12,2),MID(C588,15,2),0)</f>
        <v/>
      </c>
      <c r="U588" s="33">
        <f>IF(ISNUMBER(VALUE(MID(A588,7,1))),"Distance-prefix pattern","Named-region pattern")</f>
        <v/>
      </c>
      <c r="V588" s="33">
        <f>LOWER(M588)</f>
        <v/>
      </c>
      <c r="W588" s="33">
        <f>IF(COUNTIFS($A$2:$A$1001,A588,$C$2:$C$1001,C588)&gt;1,"Duplicate","Unique")</f>
        <v/>
      </c>
      <c r="X588" s="33">
        <f>YEAR(T588)</f>
        <v/>
      </c>
      <c r="Y588" s="33">
        <f>IF(B588&lt;6.5,"&lt;6.5",IF(B588&lt;7,"6.5–6.9",IF(B588&lt;7.5,"7.0–7.4",IF(B588&lt;8,"7.5–7.9","8.0+"))))</f>
        <v/>
      </c>
      <c r="Z588" s="33">
        <f>IF(F588="","Blank",F588)</f>
        <v/>
      </c>
    </row>
    <row r="589" ht="15" customHeight="1" s="34">
      <c r="A589" s="33" t="inlineStr">
        <is>
          <t>M 6.7 - 131 km SE of Nookat, Kyrgyzstan</t>
        </is>
      </c>
      <c r="B589" s="33" t="n">
        <v>6.7</v>
      </c>
      <c r="C589" s="33" t="inlineStr">
        <is>
          <t>05/10/2008 15:52</t>
        </is>
      </c>
      <c r="D589" s="33" t="n">
        <v>0</v>
      </c>
      <c r="E589" s="33" t="n">
        <v>6</v>
      </c>
      <c r="G589" s="33" t="n">
        <v>0</v>
      </c>
      <c r="H589" s="33" t="n">
        <v>691</v>
      </c>
      <c r="I589" s="33" t="inlineStr">
        <is>
          <t>us</t>
        </is>
      </c>
      <c r="J589" s="33" t="n">
        <v>529</v>
      </c>
      <c r="K589" s="33" t="n">
        <v>0</v>
      </c>
      <c r="L589" s="33" t="n">
        <v>22.3</v>
      </c>
      <c r="M589" s="33" t="inlineStr">
        <is>
          <t>mwc</t>
        </is>
      </c>
      <c r="N589" s="33" t="n">
        <v>27.4</v>
      </c>
      <c r="O589" s="33" t="n">
        <v>39.533</v>
      </c>
      <c r="P589" s="33" t="n">
        <v>73.824</v>
      </c>
      <c r="Q589" s="33" t="inlineStr">
        <is>
          <t>Nookat, Kyrgyzstan</t>
        </is>
      </c>
      <c r="R589" s="33" t="inlineStr">
        <is>
          <t>Asia</t>
        </is>
      </c>
      <c r="S589" s="33" t="inlineStr">
        <is>
          <t>Kyrgyzstan</t>
        </is>
      </c>
      <c r="T589" s="36">
        <f>DATE(MID(C589,7,4),MID(C589,4,2),MID(C589,1,2))+TIME(MID(C589,12,2),MID(C589,15,2),0)</f>
        <v/>
      </c>
      <c r="U589" s="33">
        <f>IF(ISNUMBER(VALUE(MID(A589,7,1))),"Distance-prefix pattern","Named-region pattern")</f>
        <v/>
      </c>
      <c r="V589" s="33">
        <f>LOWER(M589)</f>
        <v/>
      </c>
      <c r="W589" s="33">
        <f>IF(COUNTIFS($A$2:$A$1001,A589,$C$2:$C$1001,C589)&gt;1,"Duplicate","Unique")</f>
        <v/>
      </c>
      <c r="X589" s="33">
        <f>YEAR(T589)</f>
        <v/>
      </c>
      <c r="Y589" s="33">
        <f>IF(B589&lt;6.5,"&lt;6.5",IF(B589&lt;7,"6.5–6.9",IF(B589&lt;7.5,"7.0–7.4",IF(B589&lt;8,"7.5–7.9","8.0+"))))</f>
        <v/>
      </c>
      <c r="Z589" s="33">
        <f>IF(F589="","Blank",F589)</f>
        <v/>
      </c>
    </row>
    <row r="590" ht="15" customHeight="1" s="34">
      <c r="A590" s="33" t="inlineStr">
        <is>
          <t>M 6.8 - 122 km SSE of Obihiro, Japan</t>
        </is>
      </c>
      <c r="B590" s="33" t="n">
        <v>6.8</v>
      </c>
      <c r="C590" s="33" t="inlineStr">
        <is>
          <t>11/09/2008 00:20</t>
        </is>
      </c>
      <c r="D590" s="33" t="n">
        <v>0</v>
      </c>
      <c r="E590" s="33" t="n">
        <v>6</v>
      </c>
      <c r="G590" s="33" t="n">
        <v>0</v>
      </c>
      <c r="H590" s="33" t="n">
        <v>711</v>
      </c>
      <c r="I590" s="33" t="inlineStr">
        <is>
          <t>us</t>
        </is>
      </c>
      <c r="J590" s="33" t="n">
        <v>500</v>
      </c>
      <c r="K590" s="33" t="n">
        <v>0</v>
      </c>
      <c r="L590" s="33" t="n">
        <v>22.2</v>
      </c>
      <c r="M590" s="33" t="inlineStr">
        <is>
          <t>mwc</t>
        </is>
      </c>
      <c r="N590" s="33" t="n">
        <v>25</v>
      </c>
      <c r="O590" s="33" t="n">
        <v>41.892</v>
      </c>
      <c r="P590" s="33" t="n">
        <v>143.754</v>
      </c>
      <c r="Q590" s="33" t="inlineStr">
        <is>
          <t>Obihiro, Japan</t>
        </is>
      </c>
      <c r="T590" s="36">
        <f>DATE(MID(C590,7,4),MID(C590,4,2),MID(C590,1,2))+TIME(MID(C590,12,2),MID(C590,15,2),0)</f>
        <v/>
      </c>
      <c r="U590" s="33">
        <f>IF(ISNUMBER(VALUE(MID(A590,7,1))),"Distance-prefix pattern","Named-region pattern")</f>
        <v/>
      </c>
      <c r="V590" s="33">
        <f>LOWER(M590)</f>
        <v/>
      </c>
      <c r="W590" s="33">
        <f>IF(COUNTIFS($A$2:$A$1001,A590,$C$2:$C$1001,C590)&gt;1,"Duplicate","Unique")</f>
        <v/>
      </c>
      <c r="X590" s="33">
        <f>YEAR(T590)</f>
        <v/>
      </c>
      <c r="Y590" s="33">
        <f>IF(B590&lt;6.5,"&lt;6.5",IF(B590&lt;7,"6.5–6.9",IF(B590&lt;7.5,"7.0–7.4",IF(B590&lt;8,"7.5–7.9","8.0+"))))</f>
        <v/>
      </c>
      <c r="Z590" s="33">
        <f>IF(F590="","Blank",F590)</f>
        <v/>
      </c>
    </row>
    <row r="591" ht="15" customHeight="1" s="34">
      <c r="A591" s="33" t="inlineStr">
        <is>
          <t>M 6.6 - 73 km WNW of Tobelo, Indonesia</t>
        </is>
      </c>
      <c r="B591" s="33" t="n">
        <v>6.6</v>
      </c>
      <c r="C591" s="33" t="inlineStr">
        <is>
          <t>11/09/2008 00:00</t>
        </is>
      </c>
      <c r="D591" s="33" t="n">
        <v>0</v>
      </c>
      <c r="E591" s="33" t="n">
        <v>6</v>
      </c>
      <c r="G591" s="33" t="n">
        <v>0</v>
      </c>
      <c r="H591" s="33" t="n">
        <v>670</v>
      </c>
      <c r="I591" s="33" t="inlineStr">
        <is>
          <t>us</t>
        </is>
      </c>
      <c r="J591" s="33" t="n">
        <v>463</v>
      </c>
      <c r="K591" s="33" t="n">
        <v>0</v>
      </c>
      <c r="L591" s="33" t="n">
        <v>14.1</v>
      </c>
      <c r="M591" s="33" t="inlineStr">
        <is>
          <t>mwc</t>
        </is>
      </c>
      <c r="N591" s="33" t="n">
        <v>96</v>
      </c>
      <c r="O591" s="33" t="n">
        <v>1.885</v>
      </c>
      <c r="P591" s="33" t="n">
        <v>127.363</v>
      </c>
      <c r="Q591" s="33" t="inlineStr">
        <is>
          <t>Tobelo, Indonesia</t>
        </is>
      </c>
      <c r="S591" s="33" t="inlineStr">
        <is>
          <t>Indonesia</t>
        </is>
      </c>
      <c r="T591" s="36">
        <f>DATE(MID(C591,7,4),MID(C591,4,2),MID(C591,1,2))+TIME(MID(C591,12,2),MID(C591,15,2),0)</f>
        <v/>
      </c>
      <c r="U591" s="33">
        <f>IF(ISNUMBER(VALUE(MID(A591,7,1))),"Distance-prefix pattern","Named-region pattern")</f>
        <v/>
      </c>
      <c r="V591" s="33">
        <f>LOWER(M591)</f>
        <v/>
      </c>
      <c r="W591" s="33">
        <f>IF(COUNTIFS($A$2:$A$1001,A591,$C$2:$C$1001,C591)&gt;1,"Duplicate","Unique")</f>
        <v/>
      </c>
      <c r="X591" s="33">
        <f>YEAR(T591)</f>
        <v/>
      </c>
      <c r="Y591" s="33">
        <f>IF(B591&lt;6.5,"&lt;6.5",IF(B591&lt;7,"6.5–6.9",IF(B591&lt;7.5,"7.0–7.4",IF(B591&lt;8,"7.5–7.9","8.0+"))))</f>
        <v/>
      </c>
      <c r="Z591" s="33">
        <f>IF(F591="","Blank",F591)</f>
        <v/>
      </c>
    </row>
    <row r="592" ht="15" customHeight="1" s="34">
      <c r="A592" s="33" t="inlineStr">
        <is>
          <t>M 6.9 - 75 km WNW of Sola, Vanuatu</t>
        </is>
      </c>
      <c r="B592" s="33" t="n">
        <v>6.9</v>
      </c>
      <c r="C592" s="33" t="inlineStr">
        <is>
          <t>08/09/2008 18:52</t>
        </is>
      </c>
      <c r="D592" s="33" t="n">
        <v>0</v>
      </c>
      <c r="E592" s="33" t="n">
        <v>6</v>
      </c>
      <c r="G592" s="33" t="n">
        <v>0</v>
      </c>
      <c r="H592" s="33" t="n">
        <v>732</v>
      </c>
      <c r="I592" s="33" t="inlineStr">
        <is>
          <t>us</t>
        </is>
      </c>
      <c r="J592" s="33" t="n">
        <v>531</v>
      </c>
      <c r="K592" s="33" t="n">
        <v>0</v>
      </c>
      <c r="L592" s="33" t="n">
        <v>14.9</v>
      </c>
      <c r="M592" s="33" t="inlineStr">
        <is>
          <t>mwc</t>
        </is>
      </c>
      <c r="N592" s="33" t="n">
        <v>110</v>
      </c>
      <c r="O592" s="33" t="n">
        <v>-13.501</v>
      </c>
      <c r="P592" s="33" t="n">
        <v>166.967</v>
      </c>
      <c r="Q592" s="33" t="inlineStr">
        <is>
          <t>Sola, Vanuatu</t>
        </is>
      </c>
      <c r="S592" s="33" t="inlineStr">
        <is>
          <t>Vanuatu</t>
        </is>
      </c>
      <c r="T592" s="36">
        <f>DATE(MID(C592,7,4),MID(C592,4,2),MID(C592,1,2))+TIME(MID(C592,12,2),MID(C592,15,2),0)</f>
        <v/>
      </c>
      <c r="U592" s="33">
        <f>IF(ISNUMBER(VALUE(MID(A592,7,1))),"Distance-prefix pattern","Named-region pattern")</f>
        <v/>
      </c>
      <c r="V592" s="33">
        <f>LOWER(M592)</f>
        <v/>
      </c>
      <c r="W592" s="33">
        <f>IF(COUNTIFS($A$2:$A$1001,A592,$C$2:$C$1001,C592)&gt;1,"Duplicate","Unique")</f>
        <v/>
      </c>
      <c r="X592" s="33">
        <f>YEAR(T592)</f>
        <v/>
      </c>
      <c r="Y592" s="33">
        <f>IF(B592&lt;6.5,"&lt;6.5",IF(B592&lt;7,"6.5–6.9",IF(B592&lt;7.5,"7.0–7.4",IF(B592&lt;8,"7.5–7.9","8.0+"))))</f>
        <v/>
      </c>
      <c r="Z592" s="33">
        <f>IF(F592="","Blank",F592)</f>
        <v/>
      </c>
    </row>
    <row r="593" ht="15" customHeight="1" s="34">
      <c r="A593" s="33" t="inlineStr">
        <is>
          <t>M 6.7 - 221 km NE of Jumla, Nepal</t>
        </is>
      </c>
      <c r="B593" s="33" t="n">
        <v>6.7</v>
      </c>
      <c r="C593" s="33" t="inlineStr">
        <is>
          <t>25/08/2008 13:21</t>
        </is>
      </c>
      <c r="D593" s="33" t="n">
        <v>4</v>
      </c>
      <c r="E593" s="33" t="n">
        <v>7</v>
      </c>
      <c r="G593" s="33" t="n">
        <v>0</v>
      </c>
      <c r="H593" s="33" t="n">
        <v>692</v>
      </c>
      <c r="I593" s="33" t="inlineStr">
        <is>
          <t>us</t>
        </is>
      </c>
      <c r="J593" s="33" t="n">
        <v>325</v>
      </c>
      <c r="K593" s="33" t="n">
        <v>0</v>
      </c>
      <c r="L593" s="33" t="n">
        <v>28</v>
      </c>
      <c r="M593" s="33" t="inlineStr">
        <is>
          <t>mwc</t>
        </is>
      </c>
      <c r="N593" s="33" t="n">
        <v>12</v>
      </c>
      <c r="O593" s="33" t="n">
        <v>30.901</v>
      </c>
      <c r="P593" s="33" t="n">
        <v>83.52</v>
      </c>
      <c r="Q593" s="33" t="inlineStr">
        <is>
          <t>Jumla, Nepal</t>
        </is>
      </c>
      <c r="R593" s="33" t="inlineStr">
        <is>
          <t>Asia</t>
        </is>
      </c>
      <c r="S593" s="33" t="inlineStr">
        <is>
          <t>People's Republic of China</t>
        </is>
      </c>
      <c r="T593" s="36">
        <f>DATE(MID(C593,7,4),MID(C593,4,2),MID(C593,1,2))+TIME(MID(C593,12,2),MID(C593,15,2),0)</f>
        <v/>
      </c>
      <c r="U593" s="33">
        <f>IF(ISNUMBER(VALUE(MID(A593,7,1))),"Distance-prefix pattern","Named-region pattern")</f>
        <v/>
      </c>
      <c r="V593" s="33">
        <f>LOWER(M593)</f>
        <v/>
      </c>
      <c r="W593" s="33">
        <f>IF(COUNTIFS($A$2:$A$1001,A593,$C$2:$C$1001,C593)&gt;1,"Duplicate","Unique")</f>
        <v/>
      </c>
      <c r="X593" s="33">
        <f>YEAR(T593)</f>
        <v/>
      </c>
      <c r="Y593" s="33">
        <f>IF(B593&lt;6.5,"&lt;6.5",IF(B593&lt;7,"6.5–6.9",IF(B593&lt;7.5,"7.0–7.4",IF(B593&lt;8,"7.5–7.9","8.0+"))))</f>
        <v/>
      </c>
      <c r="Z593" s="33">
        <f>IF(F593="","Blank",F593)</f>
        <v/>
      </c>
    </row>
    <row r="594" ht="15" customHeight="1" s="34">
      <c r="A594" s="33" t="inlineStr">
        <is>
          <t>M 6.8 - 29 km ENE of Morioka, Japan</t>
        </is>
      </c>
      <c r="B594" s="33" t="n">
        <v>6.8</v>
      </c>
      <c r="C594" s="33" t="inlineStr">
        <is>
          <t>23/07/2008 15:26</t>
        </is>
      </c>
      <c r="D594" s="33" t="n">
        <v>8</v>
      </c>
      <c r="E594" s="33" t="n">
        <v>7</v>
      </c>
      <c r="G594" s="33" t="n">
        <v>0</v>
      </c>
      <c r="H594" s="33" t="n">
        <v>1046</v>
      </c>
      <c r="I594" s="33" t="inlineStr">
        <is>
          <t>us</t>
        </is>
      </c>
      <c r="J594" s="33" t="n">
        <v>633</v>
      </c>
      <c r="K594" s="33" t="n">
        <v>0</v>
      </c>
      <c r="L594" s="33" t="n">
        <v>20.2</v>
      </c>
      <c r="M594" s="33" t="inlineStr">
        <is>
          <t>mwc</t>
        </is>
      </c>
      <c r="N594" s="33" t="n">
        <v>108</v>
      </c>
      <c r="O594" s="33" t="n">
        <v>39.802</v>
      </c>
      <c r="P594" s="33" t="n">
        <v>141.464</v>
      </c>
      <c r="Q594" s="33" t="inlineStr">
        <is>
          <t>Morioka, Japan</t>
        </is>
      </c>
      <c r="R594" s="33" t="inlineStr">
        <is>
          <t>Asia</t>
        </is>
      </c>
      <c r="S594" s="33" t="inlineStr">
        <is>
          <t>Japan</t>
        </is>
      </c>
      <c r="T594" s="36">
        <f>DATE(MID(C594,7,4),MID(C594,4,2),MID(C594,1,2))+TIME(MID(C594,12,2),MID(C594,15,2),0)</f>
        <v/>
      </c>
      <c r="U594" s="33">
        <f>IF(ISNUMBER(VALUE(MID(A594,7,1))),"Distance-prefix pattern","Named-region pattern")</f>
        <v/>
      </c>
      <c r="V594" s="33">
        <f>LOWER(M594)</f>
        <v/>
      </c>
      <c r="W594" s="33">
        <f>IF(COUNTIFS($A$2:$A$1001,A594,$C$2:$C$1001,C594)&gt;1,"Duplicate","Unique")</f>
        <v/>
      </c>
      <c r="X594" s="33">
        <f>YEAR(T594)</f>
        <v/>
      </c>
      <c r="Y594" s="33">
        <f>IF(B594&lt;6.5,"&lt;6.5",IF(B594&lt;7,"6.5–6.9",IF(B594&lt;7.5,"7.0–7.4",IF(B594&lt;8,"7.5–7.9","8.0+"))))</f>
        <v/>
      </c>
      <c r="Z594" s="33">
        <f>IF(F594="","Blank",F594)</f>
        <v/>
      </c>
    </row>
    <row r="595" ht="15" customHeight="1" s="34">
      <c r="A595" s="33" t="inlineStr">
        <is>
          <t>M 7.0 - 107 km E of Namie, Japan</t>
        </is>
      </c>
      <c r="B595" s="33" t="n">
        <v>7</v>
      </c>
      <c r="C595" s="33" t="inlineStr">
        <is>
          <t>19/07/2008 02:39</t>
        </is>
      </c>
      <c r="D595" s="33" t="n">
        <v>5</v>
      </c>
      <c r="E595" s="33" t="n">
        <v>5</v>
      </c>
      <c r="G595" s="33" t="n">
        <v>0</v>
      </c>
      <c r="H595" s="33" t="n">
        <v>840</v>
      </c>
      <c r="I595" s="33" t="inlineStr">
        <is>
          <t>us</t>
        </is>
      </c>
      <c r="J595" s="33" t="n">
        <v>577</v>
      </c>
      <c r="K595" s="33" t="n">
        <v>0</v>
      </c>
      <c r="L595" s="33" t="n">
        <v>18.2</v>
      </c>
      <c r="M595" s="33" t="inlineStr">
        <is>
          <t>mwc</t>
        </is>
      </c>
      <c r="N595" s="33" t="n">
        <v>22</v>
      </c>
      <c r="O595" s="33" t="n">
        <v>37.552</v>
      </c>
      <c r="P595" s="33" t="n">
        <v>142.214</v>
      </c>
      <c r="Q595" s="33" t="inlineStr">
        <is>
          <t>Namie, Japan</t>
        </is>
      </c>
      <c r="T595" s="36">
        <f>DATE(MID(C595,7,4),MID(C595,4,2),MID(C595,1,2))+TIME(MID(C595,12,2),MID(C595,15,2),0)</f>
        <v/>
      </c>
      <c r="U595" s="33">
        <f>IF(ISNUMBER(VALUE(MID(A595,7,1))),"Distance-prefix pattern","Named-region pattern")</f>
        <v/>
      </c>
      <c r="V595" s="33">
        <f>LOWER(M595)</f>
        <v/>
      </c>
      <c r="W595" s="33">
        <f>IF(COUNTIFS($A$2:$A$1001,A595,$C$2:$C$1001,C595)&gt;1,"Duplicate","Unique")</f>
        <v/>
      </c>
      <c r="X595" s="33">
        <f>YEAR(T595)</f>
        <v/>
      </c>
      <c r="Y595" s="33">
        <f>IF(B595&lt;6.5,"&lt;6.5",IF(B595&lt;7,"6.5–6.9",IF(B595&lt;7.5,"7.0–7.4",IF(B595&lt;8,"7.5–7.9","8.0+"))))</f>
        <v/>
      </c>
      <c r="Z595" s="33">
        <f>IF(F595="","Blank",F595)</f>
        <v/>
      </c>
    </row>
    <row r="596" ht="15" customHeight="1" s="34">
      <c r="A596" s="33" t="inlineStr">
        <is>
          <t>M 6.9 - 151 km E of Namie, Japan</t>
        </is>
      </c>
      <c r="B596" s="33" t="n">
        <v>6.9</v>
      </c>
      <c r="C596" s="33" t="inlineStr">
        <is>
          <t>19/07/2008 02:39</t>
        </is>
      </c>
      <c r="D596" s="33" t="n">
        <v>5</v>
      </c>
      <c r="E596" s="33" t="n">
        <v>5</v>
      </c>
      <c r="G596" s="33" t="n">
        <v>0</v>
      </c>
      <c r="H596" s="33" t="n">
        <v>825</v>
      </c>
      <c r="I596" s="33" t="inlineStr">
        <is>
          <t>duputel</t>
        </is>
      </c>
      <c r="J596" s="33" t="n">
        <v>0</v>
      </c>
      <c r="K596" s="33" t="n">
        <v>0</v>
      </c>
      <c r="L596" s="33" t="n">
        <v>0</v>
      </c>
      <c r="M596" s="33" t="inlineStr">
        <is>
          <t>mww</t>
        </is>
      </c>
      <c r="N596" s="33" t="n">
        <v>25.5</v>
      </c>
      <c r="O596" s="33" t="n">
        <v>37.55</v>
      </c>
      <c r="P596" s="33" t="n">
        <v>142.714</v>
      </c>
      <c r="Q596" s="33" t="inlineStr">
        <is>
          <t>Namie, Japan</t>
        </is>
      </c>
      <c r="T596" s="36">
        <f>DATE(MID(C596,7,4),MID(C596,4,2),MID(C596,1,2))+TIME(MID(C596,12,2),MID(C596,15,2),0)</f>
        <v/>
      </c>
      <c r="U596" s="33">
        <f>IF(ISNUMBER(VALUE(MID(A596,7,1))),"Distance-prefix pattern","Named-region pattern")</f>
        <v/>
      </c>
      <c r="V596" s="33">
        <f>LOWER(M596)</f>
        <v/>
      </c>
      <c r="W596" s="33">
        <f>IF(COUNTIFS($A$2:$A$1001,A596,$C$2:$C$1001,C596)&gt;1,"Duplicate","Unique")</f>
        <v/>
      </c>
      <c r="X596" s="33">
        <f>YEAR(T596)</f>
        <v/>
      </c>
      <c r="Y596" s="33">
        <f>IF(B596&lt;6.5,"&lt;6.5",IF(B596&lt;7,"6.5–6.9",IF(B596&lt;7.5,"7.0–7.4",IF(B596&lt;8,"7.5–7.9","8.0+"))))</f>
        <v/>
      </c>
      <c r="Z596" s="33">
        <f>IF(F596="","Blank",F596)</f>
        <v/>
      </c>
    </row>
    <row r="597" ht="15" customHeight="1" s="34">
      <c r="A597" s="33" t="inlineStr">
        <is>
          <t>M 6.6 - 124 km SW of Bamboo Flat, India</t>
        </is>
      </c>
      <c r="B597" s="33" t="n">
        <v>6.6</v>
      </c>
      <c r="C597" s="33" t="inlineStr">
        <is>
          <t>27/06/2008 11:40</t>
        </is>
      </c>
      <c r="D597" s="33" t="n">
        <v>4</v>
      </c>
      <c r="E597" s="33" t="n">
        <v>5</v>
      </c>
      <c r="G597" s="33" t="n">
        <v>0</v>
      </c>
      <c r="H597" s="33" t="n">
        <v>680</v>
      </c>
      <c r="I597" s="33" t="inlineStr">
        <is>
          <t>us</t>
        </is>
      </c>
      <c r="J597" s="33" t="n">
        <v>630</v>
      </c>
      <c r="K597" s="33" t="n">
        <v>0</v>
      </c>
      <c r="L597" s="33" t="n">
        <v>18.4</v>
      </c>
      <c r="M597" s="33" t="inlineStr">
        <is>
          <t>mwc</t>
        </is>
      </c>
      <c r="N597" s="33" t="n">
        <v>17</v>
      </c>
      <c r="O597" s="33" t="n">
        <v>11.005</v>
      </c>
      <c r="P597" s="33" t="n">
        <v>91.824</v>
      </c>
      <c r="Q597" s="33" t="inlineStr">
        <is>
          <t>Bamboo Flat, India</t>
        </is>
      </c>
      <c r="T597" s="36">
        <f>DATE(MID(C597,7,4),MID(C597,4,2),MID(C597,1,2))+TIME(MID(C597,12,2),MID(C597,15,2),0)</f>
        <v/>
      </c>
      <c r="U597" s="33">
        <f>IF(ISNUMBER(VALUE(MID(A597,7,1))),"Distance-prefix pattern","Named-region pattern")</f>
        <v/>
      </c>
      <c r="V597" s="33">
        <f>LOWER(M597)</f>
        <v/>
      </c>
      <c r="W597" s="33">
        <f>IF(COUNTIFS($A$2:$A$1001,A597,$C$2:$C$1001,C597)&gt;1,"Duplicate","Unique")</f>
        <v/>
      </c>
      <c r="X597" s="33">
        <f>YEAR(T597)</f>
        <v/>
      </c>
      <c r="Y597" s="33">
        <f>IF(B597&lt;6.5,"&lt;6.5",IF(B597&lt;7,"6.5–6.9",IF(B597&lt;7.5,"7.0–7.4",IF(B597&lt;8,"7.5–7.9","8.0+"))))</f>
        <v/>
      </c>
      <c r="Z597" s="33">
        <f>IF(F597="","Blank",F597)</f>
        <v/>
      </c>
    </row>
    <row r="598" ht="15" customHeight="1" s="34">
      <c r="A598" s="33" t="inlineStr">
        <is>
          <t>M 6.9 - 24 km WSW of Mizusawa, Japan</t>
        </is>
      </c>
      <c r="B598" s="33" t="n">
        <v>6.9</v>
      </c>
      <c r="C598" s="33" t="inlineStr">
        <is>
          <t>13/06/2008 23:43</t>
        </is>
      </c>
      <c r="D598" s="33" t="n">
        <v>7</v>
      </c>
      <c r="E598" s="33" t="n">
        <v>8</v>
      </c>
      <c r="G598" s="33" t="n">
        <v>0</v>
      </c>
      <c r="H598" s="33" t="n">
        <v>888</v>
      </c>
      <c r="I598" s="33" t="inlineStr">
        <is>
          <t>us</t>
        </is>
      </c>
      <c r="J598" s="33" t="n">
        <v>654</v>
      </c>
      <c r="K598" s="33" t="n">
        <v>0</v>
      </c>
      <c r="L598" s="33" t="n">
        <v>17.1</v>
      </c>
      <c r="M598" s="33" t="inlineStr">
        <is>
          <t>mwc</t>
        </is>
      </c>
      <c r="N598" s="33" t="n">
        <v>7.8</v>
      </c>
      <c r="O598" s="33" t="n">
        <v>39.03</v>
      </c>
      <c r="P598" s="33" t="n">
        <v>140.881</v>
      </c>
      <c r="Q598" s="33" t="inlineStr">
        <is>
          <t>Mizusawa, Japan</t>
        </is>
      </c>
      <c r="R598" s="33" t="inlineStr">
        <is>
          <t>Asia</t>
        </is>
      </c>
      <c r="S598" s="33" t="inlineStr">
        <is>
          <t>Japan</t>
        </is>
      </c>
      <c r="T598" s="36">
        <f>DATE(MID(C598,7,4),MID(C598,4,2),MID(C598,1,2))+TIME(MID(C598,12,2),MID(C598,15,2),0)</f>
        <v/>
      </c>
      <c r="U598" s="33">
        <f>IF(ISNUMBER(VALUE(MID(A598,7,1))),"Distance-prefix pattern","Named-region pattern")</f>
        <v/>
      </c>
      <c r="V598" s="33">
        <f>LOWER(M598)</f>
        <v/>
      </c>
      <c r="W598" s="33">
        <f>IF(COUNTIFS($A$2:$A$1001,A598,$C$2:$C$1001,C598)&gt;1,"Duplicate","Unique")</f>
        <v/>
      </c>
      <c r="X598" s="33">
        <f>YEAR(T598)</f>
        <v/>
      </c>
      <c r="Y598" s="33">
        <f>IF(B598&lt;6.5,"&lt;6.5",IF(B598&lt;7,"6.5–6.9",IF(B598&lt;7.5,"7.0–7.4",IF(B598&lt;8,"7.5–7.9","8.0+"))))</f>
        <v/>
      </c>
      <c r="Z598" s="33">
        <f>IF(F598="","Blank",F598)</f>
        <v/>
      </c>
    </row>
    <row r="599" ht="15" customHeight="1" s="34">
      <c r="A599" s="33" t="inlineStr">
        <is>
          <t>M 7.9 - 58 km W of Tianpeng, China</t>
        </is>
      </c>
      <c r="B599" s="33" t="n">
        <v>7.9</v>
      </c>
      <c r="C599" s="33" t="inlineStr">
        <is>
          <t>12/05/2008 06:28</t>
        </is>
      </c>
      <c r="D599" s="33" t="n">
        <v>9</v>
      </c>
      <c r="E599" s="33" t="n">
        <v>9</v>
      </c>
      <c r="G599" s="33" t="n">
        <v>0</v>
      </c>
      <c r="H599" s="33" t="n">
        <v>1870</v>
      </c>
      <c r="I599" s="33" t="inlineStr">
        <is>
          <t>us</t>
        </is>
      </c>
      <c r="J599" s="33" t="n">
        <v>774</v>
      </c>
      <c r="K599" s="33" t="n">
        <v>0</v>
      </c>
      <c r="L599" s="33" t="n">
        <v>11.3</v>
      </c>
      <c r="M599" s="33" t="inlineStr">
        <is>
          <t>mwc</t>
        </is>
      </c>
      <c r="N599" s="33" t="n">
        <v>19</v>
      </c>
      <c r="O599" s="33" t="n">
        <v>31.002</v>
      </c>
      <c r="P599" s="33" t="n">
        <v>103.322</v>
      </c>
      <c r="Q599" s="33" t="inlineStr">
        <is>
          <t>Tianpeng, China</t>
        </is>
      </c>
      <c r="R599" s="33" t="inlineStr">
        <is>
          <t>Asia</t>
        </is>
      </c>
      <c r="S599" s="33" t="inlineStr">
        <is>
          <t>People's Republic of China</t>
        </is>
      </c>
      <c r="T599" s="36">
        <f>DATE(MID(C599,7,4),MID(C599,4,2),MID(C599,1,2))+TIME(MID(C599,12,2),MID(C599,15,2),0)</f>
        <v/>
      </c>
      <c r="U599" s="33">
        <f>IF(ISNUMBER(VALUE(MID(A599,7,1))),"Distance-prefix pattern","Named-region pattern")</f>
        <v/>
      </c>
      <c r="V599" s="33">
        <f>LOWER(M599)</f>
        <v/>
      </c>
      <c r="W599" s="33">
        <f>IF(COUNTIFS($A$2:$A$1001,A599,$C$2:$C$1001,C599)&gt;1,"Duplicate","Unique")</f>
        <v/>
      </c>
      <c r="X599" s="33">
        <f>YEAR(T599)</f>
        <v/>
      </c>
      <c r="Y599" s="33">
        <f>IF(B599&lt;6.5,"&lt;6.5",IF(B599&lt;7,"6.5–6.9",IF(B599&lt;7.5,"7.0–7.4",IF(B599&lt;8,"7.5–7.9","8.0+"))))</f>
        <v/>
      </c>
      <c r="Z599" s="33">
        <f>IF(F599="","Blank",F599)</f>
        <v/>
      </c>
    </row>
    <row r="600" ht="15" customHeight="1" s="34">
      <c r="A600" s="33" t="inlineStr">
        <is>
          <t>M 6.9 - 78 km NE of Hasaki, Japan</t>
        </is>
      </c>
      <c r="B600" s="33" t="n">
        <v>6.9</v>
      </c>
      <c r="C600" s="33" t="inlineStr">
        <is>
          <t>07/05/2008 16:45</t>
        </is>
      </c>
      <c r="D600" s="33" t="n">
        <v>5</v>
      </c>
      <c r="E600" s="33" t="n">
        <v>5</v>
      </c>
      <c r="G600" s="33" t="n">
        <v>0</v>
      </c>
      <c r="H600" s="33" t="n">
        <v>910</v>
      </c>
      <c r="I600" s="33" t="inlineStr">
        <is>
          <t>us</t>
        </is>
      </c>
      <c r="J600" s="33" t="n">
        <v>519</v>
      </c>
      <c r="K600" s="33" t="n">
        <v>0</v>
      </c>
      <c r="L600" s="33" t="n">
        <v>21.1</v>
      </c>
      <c r="M600" s="33" t="inlineStr">
        <is>
          <t>mwc</t>
        </is>
      </c>
      <c r="N600" s="33" t="n">
        <v>27</v>
      </c>
      <c r="O600" s="33" t="n">
        <v>36.164</v>
      </c>
      <c r="P600" s="33" t="n">
        <v>141.526</v>
      </c>
      <c r="Q600" s="33" t="inlineStr">
        <is>
          <t>Hasaki, Japan</t>
        </is>
      </c>
      <c r="T600" s="36">
        <f>DATE(MID(C600,7,4),MID(C600,4,2),MID(C600,1,2))+TIME(MID(C600,12,2),MID(C600,15,2),0)</f>
        <v/>
      </c>
      <c r="U600" s="33">
        <f>IF(ISNUMBER(VALUE(MID(A600,7,1))),"Distance-prefix pattern","Named-region pattern")</f>
        <v/>
      </c>
      <c r="V600" s="33">
        <f>LOWER(M600)</f>
        <v/>
      </c>
      <c r="W600" s="33">
        <f>IF(COUNTIFS($A$2:$A$1001,A600,$C$2:$C$1001,C600)&gt;1,"Duplicate","Unique")</f>
        <v/>
      </c>
      <c r="X600" s="33">
        <f>YEAR(T600)</f>
        <v/>
      </c>
      <c r="Y600" s="33">
        <f>IF(B600&lt;6.5,"&lt;6.5",IF(B600&lt;7,"6.5–6.9",IF(B600&lt;7.5,"7.0–7.4",IF(B600&lt;8,"7.5–7.9","8.0+"))))</f>
        <v/>
      </c>
      <c r="Z600" s="33">
        <f>IF(F600="","Blank",F600)</f>
        <v/>
      </c>
    </row>
    <row r="601" ht="15" customHeight="1" s="34">
      <c r="A601" s="33" t="inlineStr">
        <is>
          <t>M 7.3 - 71 km SW of Isangel, Vanuatu</t>
        </is>
      </c>
      <c r="B601" s="33" t="n">
        <v>7.3</v>
      </c>
      <c r="C601" s="33" t="inlineStr">
        <is>
          <t>09/04/2008 12:46</t>
        </is>
      </c>
      <c r="D601" s="33" t="n">
        <v>0</v>
      </c>
      <c r="E601" s="33" t="n">
        <v>6</v>
      </c>
      <c r="G601" s="33" t="n">
        <v>0</v>
      </c>
      <c r="H601" s="33" t="n">
        <v>820</v>
      </c>
      <c r="I601" s="33" t="inlineStr">
        <is>
          <t>us</t>
        </is>
      </c>
      <c r="J601" s="33" t="n">
        <v>486</v>
      </c>
      <c r="K601" s="33" t="n">
        <v>0</v>
      </c>
      <c r="L601" s="33" t="n">
        <v>13.4</v>
      </c>
      <c r="M601" s="33" t="inlineStr">
        <is>
          <t>mwc</t>
        </is>
      </c>
      <c r="N601" s="33" t="n">
        <v>33</v>
      </c>
      <c r="O601" s="33" t="n">
        <v>-20.071</v>
      </c>
      <c r="P601" s="33" t="n">
        <v>168.892</v>
      </c>
      <c r="Q601" s="33" t="inlineStr">
        <is>
          <t>Isangel, Vanuatu</t>
        </is>
      </c>
      <c r="T601" s="36">
        <f>DATE(MID(C601,7,4),MID(C601,4,2),MID(C601,1,2))+TIME(MID(C601,12,2),MID(C601,15,2),0)</f>
        <v/>
      </c>
      <c r="U601" s="33">
        <f>IF(ISNUMBER(VALUE(MID(A601,7,1))),"Distance-prefix pattern","Named-region pattern")</f>
        <v/>
      </c>
      <c r="V601" s="33">
        <f>LOWER(M601)</f>
        <v/>
      </c>
      <c r="W601" s="33">
        <f>IF(COUNTIFS($A$2:$A$1001,A601,$C$2:$C$1001,C601)&gt;1,"Duplicate","Unique")</f>
        <v/>
      </c>
      <c r="X601" s="33">
        <f>YEAR(T601)</f>
        <v/>
      </c>
      <c r="Y601" s="33">
        <f>IF(B601&lt;6.5,"&lt;6.5",IF(B601&lt;7,"6.5–6.9",IF(B601&lt;7.5,"7.0–7.4",IF(B601&lt;8,"7.5–7.9","8.0+"))))</f>
        <v/>
      </c>
      <c r="Z601" s="33">
        <f>IF(F601="","Blank",F601)</f>
        <v/>
      </c>
    </row>
    <row r="602" ht="15" customHeight="1" s="34">
      <c r="A602" s="33" t="inlineStr">
        <is>
          <t>M 7.2 - 226 km SE of Hotan, China</t>
        </is>
      </c>
      <c r="B602" s="33" t="n">
        <v>7.2</v>
      </c>
      <c r="C602" s="33" t="inlineStr">
        <is>
          <t>20/03/2008 22:32</t>
        </is>
      </c>
      <c r="D602" s="33" t="n">
        <v>0</v>
      </c>
      <c r="E602" s="33" t="n">
        <v>7</v>
      </c>
      <c r="G602" s="33" t="n">
        <v>0</v>
      </c>
      <c r="H602" s="33" t="n">
        <v>798</v>
      </c>
      <c r="I602" s="33" t="inlineStr">
        <is>
          <t>us</t>
        </is>
      </c>
      <c r="J602" s="33" t="n">
        <v>532</v>
      </c>
      <c r="K602" s="33" t="n">
        <v>0</v>
      </c>
      <c r="L602" s="33" t="n">
        <v>25.9</v>
      </c>
      <c r="M602" s="33" t="inlineStr">
        <is>
          <t>mwc</t>
        </is>
      </c>
      <c r="N602" s="33" t="n">
        <v>10</v>
      </c>
      <c r="O602" s="33" t="n">
        <v>35.49</v>
      </c>
      <c r="P602" s="33" t="n">
        <v>81.467</v>
      </c>
      <c r="Q602" s="33" t="inlineStr">
        <is>
          <t>Hotan, China</t>
        </is>
      </c>
      <c r="R602" s="33" t="inlineStr">
        <is>
          <t>Asia</t>
        </is>
      </c>
      <c r="S602" s="33" t="inlineStr">
        <is>
          <t>People's Republic of China</t>
        </is>
      </c>
      <c r="T602" s="36">
        <f>DATE(MID(C602,7,4),MID(C602,4,2),MID(C602,1,2))+TIME(MID(C602,12,2),MID(C602,15,2),0)</f>
        <v/>
      </c>
      <c r="U602" s="33">
        <f>IF(ISNUMBER(VALUE(MID(A602,7,1))),"Distance-prefix pattern","Named-region pattern")</f>
        <v/>
      </c>
      <c r="V602" s="33">
        <f>LOWER(M602)</f>
        <v/>
      </c>
      <c r="W602" s="33">
        <f>IF(COUNTIFS($A$2:$A$1001,A602,$C$2:$C$1001,C602)&gt;1,"Duplicate","Unique")</f>
        <v/>
      </c>
      <c r="X602" s="33">
        <f>YEAR(T602)</f>
        <v/>
      </c>
      <c r="Y602" s="33">
        <f>IF(B602&lt;6.5,"&lt;6.5",IF(B602&lt;7,"6.5–6.9",IF(B602&lt;7.5,"7.0–7.4",IF(B602&lt;8,"7.5–7.9","8.0+"))))</f>
        <v/>
      </c>
      <c r="Z602" s="33">
        <f>IF(F602="","Blank",F602)</f>
        <v/>
      </c>
    </row>
    <row r="603" ht="15" customHeight="1" s="34">
      <c r="A603" s="33" t="inlineStr">
        <is>
          <t>M 6.9 - Philippine Islands region</t>
        </is>
      </c>
      <c r="B603" s="33" t="n">
        <v>6.9</v>
      </c>
      <c r="C603" s="33" t="inlineStr">
        <is>
          <t>03/03/2008 14:11</t>
        </is>
      </c>
      <c r="D603" s="33" t="n">
        <v>4</v>
      </c>
      <c r="E603" s="33" t="n">
        <v>5</v>
      </c>
      <c r="G603" s="33" t="n">
        <v>0</v>
      </c>
      <c r="H603" s="33" t="n">
        <v>740</v>
      </c>
      <c r="I603" s="33" t="inlineStr">
        <is>
          <t>us</t>
        </is>
      </c>
      <c r="J603" s="33" t="n">
        <v>544</v>
      </c>
      <c r="K603" s="33" t="n">
        <v>0</v>
      </c>
      <c r="L603" s="33" t="n">
        <v>25.9</v>
      </c>
      <c r="M603" s="33" t="inlineStr">
        <is>
          <t>mwc</t>
        </is>
      </c>
      <c r="N603" s="33" t="n">
        <v>24</v>
      </c>
      <c r="O603" s="33" t="n">
        <v>13.351</v>
      </c>
      <c r="P603" s="33" t="n">
        <v>125.63</v>
      </c>
      <c r="Q603" s="33" t="inlineStr">
        <is>
          <t>Philippine Islands region</t>
        </is>
      </c>
      <c r="T603" s="36">
        <f>DATE(MID(C603,7,4),MID(C603,4,2),MID(C603,1,2))+TIME(MID(C603,12,2),MID(C603,15,2),0)</f>
        <v/>
      </c>
      <c r="U603" s="33">
        <f>IF(ISNUMBER(VALUE(MID(A603,7,1))),"Distance-prefix pattern","Named-region pattern")</f>
        <v/>
      </c>
      <c r="V603" s="33">
        <f>LOWER(M603)</f>
        <v/>
      </c>
      <c r="W603" s="33">
        <f>IF(COUNTIFS($A$2:$A$1001,A603,$C$2:$C$1001,C603)&gt;1,"Duplicate","Unique")</f>
        <v/>
      </c>
      <c r="X603" s="33">
        <f>YEAR(T603)</f>
        <v/>
      </c>
      <c r="Y603" s="33">
        <f>IF(B603&lt;6.5,"&lt;6.5",IF(B603&lt;7,"6.5–6.9",IF(B603&lt;7.5,"7.0–7.4",IF(B603&lt;8,"7.5–7.9","8.0+"))))</f>
        <v/>
      </c>
      <c r="Z603" s="33">
        <f>IF(F603="","Blank",F603)</f>
        <v/>
      </c>
    </row>
    <row r="604" ht="15" customHeight="1" s="34">
      <c r="A604" s="33" t="inlineStr">
        <is>
          <t>M 6.7 - 155 km SSW of Padang, Indonesia</t>
        </is>
      </c>
      <c r="B604" s="33" t="n">
        <v>6.7</v>
      </c>
      <c r="C604" s="33" t="inlineStr">
        <is>
          <t>25/02/2008 21:02</t>
        </is>
      </c>
      <c r="D604" s="33" t="n">
        <v>5</v>
      </c>
      <c r="E604" s="33" t="n">
        <v>6</v>
      </c>
      <c r="G604" s="33" t="n">
        <v>0</v>
      </c>
      <c r="H604" s="33" t="n">
        <v>696</v>
      </c>
      <c r="I604" s="33" t="inlineStr">
        <is>
          <t>us</t>
        </is>
      </c>
      <c r="J604" s="33" t="n">
        <v>543</v>
      </c>
      <c r="K604" s="33" t="n">
        <v>0</v>
      </c>
      <c r="L604" s="33" t="n">
        <v>15.1</v>
      </c>
      <c r="M604" s="33" t="inlineStr">
        <is>
          <t>mwc</t>
        </is>
      </c>
      <c r="N604" s="33" t="n">
        <v>25</v>
      </c>
      <c r="O604" s="33" t="n">
        <v>-2.245</v>
      </c>
      <c r="P604" s="33" t="n">
        <v>99.80800000000001</v>
      </c>
      <c r="Q604" s="33" t="inlineStr">
        <is>
          <t>Padang, Indonesia</t>
        </is>
      </c>
      <c r="S604" s="33" t="inlineStr">
        <is>
          <t>Indonesia</t>
        </is>
      </c>
      <c r="T604" s="36">
        <f>DATE(MID(C604,7,4),MID(C604,4,2),MID(C604,1,2))+TIME(MID(C604,12,2),MID(C604,15,2),0)</f>
        <v/>
      </c>
      <c r="U604" s="33">
        <f>IF(ISNUMBER(VALUE(MID(A604,7,1))),"Distance-prefix pattern","Named-region pattern")</f>
        <v/>
      </c>
      <c r="V604" s="33">
        <f>LOWER(M604)</f>
        <v/>
      </c>
      <c r="W604" s="33">
        <f>IF(COUNTIFS($A$2:$A$1001,A604,$C$2:$C$1001,C604)&gt;1,"Duplicate","Unique")</f>
        <v/>
      </c>
      <c r="X604" s="33">
        <f>YEAR(T604)</f>
        <v/>
      </c>
      <c r="Y604" s="33">
        <f>IF(B604&lt;6.5,"&lt;6.5",IF(B604&lt;7,"6.5–6.9",IF(B604&lt;7.5,"7.0–7.4",IF(B604&lt;8,"7.5–7.9","8.0+"))))</f>
        <v/>
      </c>
      <c r="Z604" s="33">
        <f>IF(F604="","Blank",F604)</f>
        <v/>
      </c>
    </row>
    <row r="605" ht="15" customHeight="1" s="34">
      <c r="A605" s="33" t="inlineStr">
        <is>
          <t>M 6.6 - 161 km SSW of Padang, Indonesia</t>
        </is>
      </c>
      <c r="B605" s="33" t="n">
        <v>6.6</v>
      </c>
      <c r="C605" s="33" t="inlineStr">
        <is>
          <t>25/02/2008 18:06</t>
        </is>
      </c>
      <c r="D605" s="33" t="n">
        <v>4</v>
      </c>
      <c r="E605" s="33" t="n">
        <v>6</v>
      </c>
      <c r="G605" s="33" t="n">
        <v>0</v>
      </c>
      <c r="H605" s="33" t="n">
        <v>674</v>
      </c>
      <c r="I605" s="33" t="inlineStr">
        <is>
          <t>us</t>
        </is>
      </c>
      <c r="J605" s="33" t="n">
        <v>421</v>
      </c>
      <c r="K605" s="33" t="n">
        <v>0</v>
      </c>
      <c r="L605" s="33" t="n">
        <v>17.7</v>
      </c>
      <c r="M605" s="33" t="inlineStr">
        <is>
          <t>mwc</t>
        </is>
      </c>
      <c r="N605" s="33" t="n">
        <v>25</v>
      </c>
      <c r="O605" s="33" t="n">
        <v>-2.332</v>
      </c>
      <c r="P605" s="33" t="n">
        <v>99.89100000000001</v>
      </c>
      <c r="Q605" s="33" t="inlineStr">
        <is>
          <t>Padang, Indonesia</t>
        </is>
      </c>
      <c r="S605" s="33" t="inlineStr">
        <is>
          <t>Indonesia</t>
        </is>
      </c>
      <c r="T605" s="36">
        <f>DATE(MID(C605,7,4),MID(C605,4,2),MID(C605,1,2))+TIME(MID(C605,12,2),MID(C605,15,2),0)</f>
        <v/>
      </c>
      <c r="U605" s="33">
        <f>IF(ISNUMBER(VALUE(MID(A605,7,1))),"Distance-prefix pattern","Named-region pattern")</f>
        <v/>
      </c>
      <c r="V605" s="33">
        <f>LOWER(M605)</f>
        <v/>
      </c>
      <c r="W605" s="33">
        <f>IF(COUNTIFS($A$2:$A$1001,A605,$C$2:$C$1001,C605)&gt;1,"Duplicate","Unique")</f>
        <v/>
      </c>
      <c r="X605" s="33">
        <f>YEAR(T605)</f>
        <v/>
      </c>
      <c r="Y605" s="33">
        <f>IF(B605&lt;6.5,"&lt;6.5",IF(B605&lt;7,"6.5–6.9",IF(B605&lt;7.5,"7.0–7.4",IF(B605&lt;8,"7.5–7.9","8.0+"))))</f>
        <v/>
      </c>
      <c r="Z605" s="33">
        <f>IF(F605="","Blank",F605)</f>
        <v/>
      </c>
    </row>
    <row r="606" ht="15" customHeight="1" s="34">
      <c r="A606" s="33" t="inlineStr">
        <is>
          <t>M 7.2 - 164 km WSW of Sungai Penuh, Indonesia</t>
        </is>
      </c>
      <c r="B606" s="33" t="n">
        <v>7.2</v>
      </c>
      <c r="C606" s="33" t="inlineStr">
        <is>
          <t>25/02/2008 08:36</t>
        </is>
      </c>
      <c r="D606" s="33" t="n">
        <v>4</v>
      </c>
      <c r="E606" s="33" t="n">
        <v>7</v>
      </c>
      <c r="G606" s="33" t="n">
        <v>0</v>
      </c>
      <c r="H606" s="33" t="n">
        <v>832</v>
      </c>
      <c r="I606" s="33" t="inlineStr">
        <is>
          <t>us</t>
        </is>
      </c>
      <c r="J606" s="33" t="n">
        <v>505</v>
      </c>
      <c r="K606" s="33" t="n">
        <v>0</v>
      </c>
      <c r="L606" s="33" t="n">
        <v>18.4</v>
      </c>
      <c r="M606" s="33" t="inlineStr">
        <is>
          <t>mwc</t>
        </is>
      </c>
      <c r="N606" s="33" t="n">
        <v>25</v>
      </c>
      <c r="O606" s="33" t="n">
        <v>-2.486</v>
      </c>
      <c r="P606" s="33" t="n">
        <v>99.97199999999999</v>
      </c>
      <c r="Q606" s="33" t="inlineStr">
        <is>
          <t>Sungai Penuh, Indonesia</t>
        </is>
      </c>
      <c r="S606" s="33" t="inlineStr">
        <is>
          <t>Indonesia</t>
        </is>
      </c>
      <c r="T606" s="36">
        <f>DATE(MID(C606,7,4),MID(C606,4,2),MID(C606,1,2))+TIME(MID(C606,12,2),MID(C606,15,2),0)</f>
        <v/>
      </c>
      <c r="U606" s="33">
        <f>IF(ISNUMBER(VALUE(MID(A606,7,1))),"Distance-prefix pattern","Named-region pattern")</f>
        <v/>
      </c>
      <c r="V606" s="33">
        <f>LOWER(M606)</f>
        <v/>
      </c>
      <c r="W606" s="33">
        <f>IF(COUNTIFS($A$2:$A$1001,A606,$C$2:$C$1001,C606)&gt;1,"Duplicate","Unique")</f>
        <v/>
      </c>
      <c r="X606" s="33">
        <f>YEAR(T606)</f>
        <v/>
      </c>
      <c r="Y606" s="33">
        <f>IF(B606&lt;6.5,"&lt;6.5",IF(B606&lt;7,"6.5–6.9",IF(B606&lt;7.5,"7.0–7.4",IF(B606&lt;8,"7.5–7.9","8.0+"))))</f>
        <v/>
      </c>
      <c r="Z606" s="33">
        <f>IF(F606="","Blank",F606)</f>
        <v/>
      </c>
    </row>
    <row r="607" ht="15" customHeight="1" s="34">
      <c r="A607" s="33" t="inlineStr">
        <is>
          <t>M 6.5 - 166 km WSW of Sungai Penuh, Indonesia</t>
        </is>
      </c>
      <c r="B607" s="33" t="n">
        <v>6.5</v>
      </c>
      <c r="C607" s="33" t="inlineStr">
        <is>
          <t>24/02/2008 14:46</t>
        </is>
      </c>
      <c r="D607" s="33" t="n">
        <v>4</v>
      </c>
      <c r="E607" s="33" t="n">
        <v>6</v>
      </c>
      <c r="G607" s="33" t="n">
        <v>0</v>
      </c>
      <c r="H607" s="33" t="n">
        <v>654</v>
      </c>
      <c r="I607" s="33" t="inlineStr">
        <is>
          <t>us</t>
        </is>
      </c>
      <c r="J607" s="33" t="n">
        <v>429</v>
      </c>
      <c r="K607" s="33" t="n">
        <v>0</v>
      </c>
      <c r="L607" s="33" t="n">
        <v>28.3</v>
      </c>
      <c r="M607" s="33" t="inlineStr">
        <is>
          <t>mwc</t>
        </is>
      </c>
      <c r="N607" s="33" t="n">
        <v>22</v>
      </c>
      <c r="O607" s="33" t="n">
        <v>-2.405</v>
      </c>
      <c r="P607" s="33" t="n">
        <v>99.931</v>
      </c>
      <c r="Q607" s="33" t="inlineStr">
        <is>
          <t>Sungai Penuh, Indonesia</t>
        </is>
      </c>
      <c r="S607" s="33" t="inlineStr">
        <is>
          <t>Indonesia</t>
        </is>
      </c>
      <c r="T607" s="36">
        <f>DATE(MID(C607,7,4),MID(C607,4,2),MID(C607,1,2))+TIME(MID(C607,12,2),MID(C607,15,2),0)</f>
        <v/>
      </c>
      <c r="U607" s="33">
        <f>IF(ISNUMBER(VALUE(MID(A607,7,1))),"Distance-prefix pattern","Named-region pattern")</f>
        <v/>
      </c>
      <c r="V607" s="33">
        <f>LOWER(M607)</f>
        <v/>
      </c>
      <c r="W607" s="33">
        <f>IF(COUNTIFS($A$2:$A$1001,A607,$C$2:$C$1001,C607)&gt;1,"Duplicate","Unique")</f>
        <v/>
      </c>
      <c r="X607" s="33">
        <f>YEAR(T607)</f>
        <v/>
      </c>
      <c r="Y607" s="33">
        <f>IF(B607&lt;6.5,"&lt;6.5",IF(B607&lt;7,"6.5–6.9",IF(B607&lt;7.5,"7.0–7.4",IF(B607&lt;8,"7.5–7.9","8.0+"))))</f>
        <v/>
      </c>
      <c r="Z607" s="33">
        <f>IF(F607="","Blank",F607)</f>
        <v/>
      </c>
    </row>
    <row r="608" ht="15" customHeight="1" s="34">
      <c r="A608" s="33" t="inlineStr">
        <is>
          <t>M 7.4 - 56 km NW of Sinabang, Indonesia</t>
        </is>
      </c>
      <c r="B608" s="33" t="n">
        <v>7.4</v>
      </c>
      <c r="C608" s="33" t="inlineStr">
        <is>
          <t>20/02/2008 08:08</t>
        </is>
      </c>
      <c r="D608" s="33" t="n">
        <v>5</v>
      </c>
      <c r="E608" s="33" t="n">
        <v>7</v>
      </c>
      <c r="G608" s="33" t="n">
        <v>0</v>
      </c>
      <c r="H608" s="33" t="n">
        <v>914</v>
      </c>
      <c r="I608" s="33" t="inlineStr">
        <is>
          <t>us</t>
        </is>
      </c>
      <c r="J608" s="33" t="n">
        <v>607</v>
      </c>
      <c r="K608" s="33" t="n">
        <v>0</v>
      </c>
      <c r="L608" s="33" t="n">
        <v>16.4</v>
      </c>
      <c r="M608" s="33" t="inlineStr">
        <is>
          <t>mwc</t>
        </is>
      </c>
      <c r="N608" s="33" t="n">
        <v>26</v>
      </c>
      <c r="O608" s="33" t="n">
        <v>2.768</v>
      </c>
      <c r="P608" s="33" t="n">
        <v>95.964</v>
      </c>
      <c r="Q608" s="33" t="inlineStr">
        <is>
          <t>Sinabang, Indonesia</t>
        </is>
      </c>
      <c r="S608" s="33" t="inlineStr">
        <is>
          <t>Indonesia</t>
        </is>
      </c>
      <c r="T608" s="36">
        <f>DATE(MID(C608,7,4),MID(C608,4,2),MID(C608,1,2))+TIME(MID(C608,12,2),MID(C608,15,2),0)</f>
        <v/>
      </c>
      <c r="U608" s="33">
        <f>IF(ISNUMBER(VALUE(MID(A608,7,1))),"Distance-prefix pattern","Named-region pattern")</f>
        <v/>
      </c>
      <c r="V608" s="33">
        <f>LOWER(M608)</f>
        <v/>
      </c>
      <c r="W608" s="33">
        <f>IF(COUNTIFS($A$2:$A$1001,A608,$C$2:$C$1001,C608)&gt;1,"Duplicate","Unique")</f>
        <v/>
      </c>
      <c r="X608" s="33">
        <f>YEAR(T608)</f>
        <v/>
      </c>
      <c r="Y608" s="33">
        <f>IF(B608&lt;6.5,"&lt;6.5",IF(B608&lt;7,"6.5–6.9",IF(B608&lt;7.5,"7.0–7.4",IF(B608&lt;8,"7.5–7.9","8.0+"))))</f>
        <v/>
      </c>
      <c r="Z608" s="33">
        <f>IF(F608="","Blank",F608)</f>
        <v/>
      </c>
    </row>
    <row r="609" ht="15" customHeight="1" s="34">
      <c r="A609" s="33" t="inlineStr">
        <is>
          <t>M 6.5 - 50 km S of Koróni, Greece</t>
        </is>
      </c>
      <c r="B609" s="33" t="n">
        <v>6.5</v>
      </c>
      <c r="C609" s="33" t="inlineStr">
        <is>
          <t>14/02/2008 12:08</t>
        </is>
      </c>
      <c r="D609" s="33" t="n">
        <v>8</v>
      </c>
      <c r="E609" s="33" t="n">
        <v>5</v>
      </c>
      <c r="G609" s="33" t="n">
        <v>0</v>
      </c>
      <c r="H609" s="33" t="n">
        <v>692</v>
      </c>
      <c r="I609" s="33" t="inlineStr">
        <is>
          <t>us</t>
        </is>
      </c>
      <c r="J609" s="33" t="n">
        <v>650</v>
      </c>
      <c r="K609" s="33" t="n">
        <v>0</v>
      </c>
      <c r="L609" s="33" t="n">
        <v>30.7</v>
      </c>
      <c r="M609" s="33" t="inlineStr">
        <is>
          <t>mwc</t>
        </is>
      </c>
      <c r="N609" s="33" t="n">
        <v>28</v>
      </c>
      <c r="O609" s="33" t="n">
        <v>36.345</v>
      </c>
      <c r="P609" s="33" t="n">
        <v>21.863</v>
      </c>
      <c r="Q609" s="33" t="inlineStr">
        <is>
          <t>Koróni, Greece</t>
        </is>
      </c>
      <c r="R609" s="33" t="inlineStr">
        <is>
          <t>Europe</t>
        </is>
      </c>
      <c r="T609" s="36">
        <f>DATE(MID(C609,7,4),MID(C609,4,2),MID(C609,1,2))+TIME(MID(C609,12,2),MID(C609,15,2),0)</f>
        <v/>
      </c>
      <c r="U609" s="33">
        <f>IF(ISNUMBER(VALUE(MID(A609,7,1))),"Distance-prefix pattern","Named-region pattern")</f>
        <v/>
      </c>
      <c r="V609" s="33">
        <f>LOWER(M609)</f>
        <v/>
      </c>
      <c r="W609" s="33">
        <f>IF(COUNTIFS($A$2:$A$1001,A609,$C$2:$C$1001,C609)&gt;1,"Duplicate","Unique")</f>
        <v/>
      </c>
      <c r="X609" s="33">
        <f>YEAR(T609)</f>
        <v/>
      </c>
      <c r="Y609" s="33">
        <f>IF(B609&lt;6.5,"&lt;6.5",IF(B609&lt;7,"6.5–6.9",IF(B609&lt;7.5,"7.0–7.4",IF(B609&lt;8,"7.5–7.9","8.0+"))))</f>
        <v/>
      </c>
      <c r="Z609" s="33">
        <f>IF(F609="","Blank",F609)</f>
        <v/>
      </c>
    </row>
    <row r="610" ht="15" customHeight="1" s="34">
      <c r="A610" s="33" t="inlineStr">
        <is>
          <t>M 6.9 - 35 km S of Methóni, Greece</t>
        </is>
      </c>
      <c r="B610" s="33" t="n">
        <v>6.9</v>
      </c>
      <c r="C610" s="33" t="inlineStr">
        <is>
          <t>14/02/2008 10:09</t>
        </is>
      </c>
      <c r="D610" s="33" t="n">
        <v>6</v>
      </c>
      <c r="E610" s="33" t="n">
        <v>6</v>
      </c>
      <c r="G610" s="33" t="n">
        <v>0</v>
      </c>
      <c r="H610" s="33" t="n">
        <v>941</v>
      </c>
      <c r="I610" s="33" t="inlineStr">
        <is>
          <t>us</t>
        </is>
      </c>
      <c r="J610" s="33" t="n">
        <v>645</v>
      </c>
      <c r="K610" s="33" t="n">
        <v>0</v>
      </c>
      <c r="L610" s="33" t="n">
        <v>30.6</v>
      </c>
      <c r="M610" s="33" t="inlineStr">
        <is>
          <t>mwc</t>
        </is>
      </c>
      <c r="N610" s="33" t="n">
        <v>29</v>
      </c>
      <c r="O610" s="33" t="n">
        <v>36.501</v>
      </c>
      <c r="P610" s="33" t="n">
        <v>21.67</v>
      </c>
      <c r="Q610" s="33" t="inlineStr">
        <is>
          <t>Methóni, Greece</t>
        </is>
      </c>
      <c r="R610" s="33" t="inlineStr">
        <is>
          <t>Europe</t>
        </is>
      </c>
      <c r="T610" s="36">
        <f>DATE(MID(C610,7,4),MID(C610,4,2),MID(C610,1,2))+TIME(MID(C610,12,2),MID(C610,15,2),0)</f>
        <v/>
      </c>
      <c r="U610" s="33">
        <f>IF(ISNUMBER(VALUE(MID(A610,7,1))),"Distance-prefix pattern","Named-region pattern")</f>
        <v/>
      </c>
      <c r="V610" s="33">
        <f>LOWER(M610)</f>
        <v/>
      </c>
      <c r="W610" s="33">
        <f>IF(COUNTIFS($A$2:$A$1001,A610,$C$2:$C$1001,C610)&gt;1,"Duplicate","Unique")</f>
        <v/>
      </c>
      <c r="X610" s="33">
        <f>YEAR(T610)</f>
        <v/>
      </c>
      <c r="Y610" s="33">
        <f>IF(B610&lt;6.5,"&lt;6.5",IF(B610&lt;7,"6.5–6.9",IF(B610&lt;7.5,"7.0–7.4",IF(B610&lt;8,"7.5–7.9","8.0+"))))</f>
        <v/>
      </c>
      <c r="Z610" s="33">
        <f>IF(F610="","Blank",F610)</f>
        <v/>
      </c>
    </row>
    <row r="611" ht="15" customHeight="1" s="34">
      <c r="A611" s="33" t="inlineStr">
        <is>
          <t>M 6.5 - 9 km SSW of General Pascual Fentes, Mexico</t>
        </is>
      </c>
      <c r="B611" s="33" t="n">
        <v>6.5</v>
      </c>
      <c r="C611" s="33" t="inlineStr">
        <is>
          <t>12/02/2008 12:50</t>
        </is>
      </c>
      <c r="D611" s="33" t="n">
        <v>7</v>
      </c>
      <c r="E611" s="33" t="n">
        <v>6</v>
      </c>
      <c r="G611" s="33" t="n">
        <v>0</v>
      </c>
      <c r="H611" s="33" t="n">
        <v>723</v>
      </c>
      <c r="I611" s="33" t="inlineStr">
        <is>
          <t>us</t>
        </is>
      </c>
      <c r="J611" s="33" t="n">
        <v>521</v>
      </c>
      <c r="K611" s="33" t="n">
        <v>0</v>
      </c>
      <c r="L611" s="33" t="n">
        <v>27.6</v>
      </c>
      <c r="M611" s="33" t="inlineStr">
        <is>
          <t>mwc</t>
        </is>
      </c>
      <c r="N611" s="33" t="n">
        <v>83</v>
      </c>
      <c r="O611" s="33" t="n">
        <v>16.357</v>
      </c>
      <c r="P611" s="33" t="n">
        <v>-94.304</v>
      </c>
      <c r="Q611" s="33" t="inlineStr">
        <is>
          <t>General Pascual Fentes, Mexico</t>
        </is>
      </c>
      <c r="S611" s="33" t="inlineStr">
        <is>
          <t>Mexico</t>
        </is>
      </c>
      <c r="T611" s="36">
        <f>DATE(MID(C611,7,4),MID(C611,4,2),MID(C611,1,2))+TIME(MID(C611,12,2),MID(C611,15,2),0)</f>
        <v/>
      </c>
      <c r="U611" s="33">
        <f>IF(ISNUMBER(VALUE(MID(A611,7,1))),"Distance-prefix pattern","Named-region pattern")</f>
        <v/>
      </c>
      <c r="V611" s="33">
        <f>LOWER(M611)</f>
        <v/>
      </c>
      <c r="W611" s="33">
        <f>IF(COUNTIFS($A$2:$A$1001,A611,$C$2:$C$1001,C611)&gt;1,"Duplicate","Unique")</f>
        <v/>
      </c>
      <c r="X611" s="33">
        <f>YEAR(T611)</f>
        <v/>
      </c>
      <c r="Y611" s="33">
        <f>IF(B611&lt;6.5,"&lt;6.5",IF(B611&lt;7,"6.5–6.9",IF(B611&lt;7.5,"7.0–7.4",IF(B611&lt;8,"7.5–7.9","8.0+"))))</f>
        <v/>
      </c>
      <c r="Z611" s="33">
        <f>IF(F611="","Blank",F611)</f>
        <v/>
      </c>
    </row>
    <row r="612" ht="15" customHeight="1" s="34">
      <c r="A612" s="33" t="inlineStr">
        <is>
          <t>M 6.6 - 46 km SSE of Gisborne, New Zealand</t>
        </is>
      </c>
      <c r="B612" s="33" t="n">
        <v>6.6</v>
      </c>
      <c r="C612" s="33" t="inlineStr">
        <is>
          <t>20/12/2007 07:55</t>
        </is>
      </c>
      <c r="D612" s="33" t="n">
        <v>7</v>
      </c>
      <c r="E612" s="33" t="n">
        <v>6</v>
      </c>
      <c r="G612" s="33" t="n">
        <v>0</v>
      </c>
      <c r="H612" s="33" t="n">
        <v>808</v>
      </c>
      <c r="I612" s="33" t="inlineStr">
        <is>
          <t>us</t>
        </is>
      </c>
      <c r="J612" s="33" t="n">
        <v>461</v>
      </c>
      <c r="K612" s="33" t="n">
        <v>0</v>
      </c>
      <c r="L612" s="33" t="n">
        <v>18.8</v>
      </c>
      <c r="M612" s="33" t="inlineStr">
        <is>
          <t>mwc</t>
        </is>
      </c>
      <c r="N612" s="33" t="n">
        <v>20</v>
      </c>
      <c r="O612" s="33" t="n">
        <v>-39.011</v>
      </c>
      <c r="P612" s="33" t="n">
        <v>178.291</v>
      </c>
      <c r="Q612" s="33" t="inlineStr">
        <is>
          <t>Gisborne, New Zealand</t>
        </is>
      </c>
      <c r="T612" s="36">
        <f>DATE(MID(C612,7,4),MID(C612,4,2),MID(C612,1,2))+TIME(MID(C612,12,2),MID(C612,15,2),0)</f>
        <v/>
      </c>
      <c r="U612" s="33">
        <f>IF(ISNUMBER(VALUE(MID(A612,7,1))),"Distance-prefix pattern","Named-region pattern")</f>
        <v/>
      </c>
      <c r="V612" s="33">
        <f>LOWER(M612)</f>
        <v/>
      </c>
      <c r="W612" s="33">
        <f>IF(COUNTIFS($A$2:$A$1001,A612,$C$2:$C$1001,C612)&gt;1,"Duplicate","Unique")</f>
        <v/>
      </c>
      <c r="X612" s="33">
        <f>YEAR(T612)</f>
        <v/>
      </c>
      <c r="Y612" s="33">
        <f>IF(B612&lt;6.5,"&lt;6.5",IF(B612&lt;7,"6.5–6.9",IF(B612&lt;7.5,"7.0–7.4",IF(B612&lt;8,"7.5–7.9","8.0+"))))</f>
        <v/>
      </c>
      <c r="Z612" s="33">
        <f>IF(F612="","Blank",F612)</f>
        <v/>
      </c>
    </row>
    <row r="613" ht="15" customHeight="1" s="34">
      <c r="A613" s="33" t="inlineStr">
        <is>
          <t>M 6.7 - 80 km NNE of Antofagasta, Chile</t>
        </is>
      </c>
      <c r="B613" s="33" t="n">
        <v>6.7</v>
      </c>
      <c r="C613" s="33" t="inlineStr">
        <is>
          <t>16/12/2007 08:09</t>
        </is>
      </c>
      <c r="D613" s="33" t="n">
        <v>5</v>
      </c>
      <c r="E613" s="33" t="n">
        <v>7</v>
      </c>
      <c r="G613" s="33" t="n">
        <v>0</v>
      </c>
      <c r="H613" s="33" t="n">
        <v>704</v>
      </c>
      <c r="I613" s="33" t="inlineStr">
        <is>
          <t>us</t>
        </is>
      </c>
      <c r="J613" s="33" t="n">
        <v>481</v>
      </c>
      <c r="K613" s="33" t="n">
        <v>0</v>
      </c>
      <c r="L613" s="33" t="n">
        <v>30.3</v>
      </c>
      <c r="M613" s="33" t="inlineStr">
        <is>
          <t>mwb</t>
        </is>
      </c>
      <c r="N613" s="33" t="n">
        <v>45</v>
      </c>
      <c r="O613" s="33" t="n">
        <v>-22.954</v>
      </c>
      <c r="P613" s="33" t="n">
        <v>-70.182</v>
      </c>
      <c r="Q613" s="33" t="inlineStr">
        <is>
          <t>Ant</t>
        </is>
      </c>
      <c r="R613" s="33" t="inlineStr">
        <is>
          <t>South America</t>
        </is>
      </c>
      <c r="S613" s="33" t="inlineStr">
        <is>
          <t>Chile</t>
        </is>
      </c>
      <c r="T613" s="36">
        <f>DATE(MID(C613,7,4),MID(C613,4,2),MID(C613,1,2))+TIME(MID(C613,12,2),MID(C613,15,2),0)</f>
        <v/>
      </c>
      <c r="U613" s="33">
        <f>IF(ISNUMBER(VALUE(MID(A613,7,1))),"Distance-prefix pattern","Named-region pattern")</f>
        <v/>
      </c>
      <c r="V613" s="33">
        <f>LOWER(M613)</f>
        <v/>
      </c>
      <c r="W613" s="33">
        <f>IF(COUNTIFS($A$2:$A$1001,A613,$C$2:$C$1001,C613)&gt;1,"Duplicate","Unique")</f>
        <v/>
      </c>
      <c r="X613" s="33">
        <f>YEAR(T613)</f>
        <v/>
      </c>
      <c r="Y613" s="33">
        <f>IF(B613&lt;6.5,"&lt;6.5",IF(B613&lt;7,"6.5–6.9",IF(B613&lt;7.5,"7.0–7.4",IF(B613&lt;8,"7.5–7.9","8.0+"))))</f>
        <v/>
      </c>
      <c r="Z613" s="33">
        <f>IF(F613="","Blank",F613)</f>
        <v/>
      </c>
    </row>
    <row r="614" ht="15" customHeight="1" s="34">
      <c r="A614" s="33" t="inlineStr">
        <is>
          <t>M 7.4 - 18 km WNW of Basse-Pointe, Martinique</t>
        </is>
      </c>
      <c r="B614" s="33" t="n">
        <v>7.4</v>
      </c>
      <c r="C614" s="33" t="inlineStr">
        <is>
          <t>29/11/2007 19:00</t>
        </is>
      </c>
      <c r="D614" s="33" t="n">
        <v>7</v>
      </c>
      <c r="E614" s="33" t="n">
        <v>7</v>
      </c>
      <c r="G614" s="33" t="n">
        <v>0</v>
      </c>
      <c r="H614" s="33" t="n">
        <v>1542</v>
      </c>
      <c r="I614" s="33" t="inlineStr">
        <is>
          <t>us</t>
        </is>
      </c>
      <c r="J614" s="33" t="n">
        <v>663</v>
      </c>
      <c r="K614" s="33" t="n">
        <v>0</v>
      </c>
      <c r="L614" s="33" t="n">
        <v>13.4</v>
      </c>
      <c r="M614" s="33" t="inlineStr">
        <is>
          <t>mwb</t>
        </is>
      </c>
      <c r="N614" s="33" t="n">
        <v>156</v>
      </c>
      <c r="O614" s="33" t="n">
        <v>14.944</v>
      </c>
      <c r="P614" s="33" t="n">
        <v>-61.274</v>
      </c>
      <c r="Q614" s="33" t="inlineStr">
        <is>
          <t>Basse-Pointe, Martinique</t>
        </is>
      </c>
      <c r="S614" s="33" t="inlineStr">
        <is>
          <t>Martinique</t>
        </is>
      </c>
      <c r="T614" s="36">
        <f>DATE(MID(C614,7,4),MID(C614,4,2),MID(C614,1,2))+TIME(MID(C614,12,2),MID(C614,15,2),0)</f>
        <v/>
      </c>
      <c r="U614" s="33">
        <f>IF(ISNUMBER(VALUE(MID(A614,7,1))),"Distance-prefix pattern","Named-region pattern")</f>
        <v/>
      </c>
      <c r="V614" s="33">
        <f>LOWER(M614)</f>
        <v/>
      </c>
      <c r="W614" s="33">
        <f>IF(COUNTIFS($A$2:$A$1001,A614,$C$2:$C$1001,C614)&gt;1,"Duplicate","Unique")</f>
        <v/>
      </c>
      <c r="X614" s="33">
        <f>YEAR(T614)</f>
        <v/>
      </c>
      <c r="Y614" s="33">
        <f>IF(B614&lt;6.5,"&lt;6.5",IF(B614&lt;7,"6.5–6.9",IF(B614&lt;7.5,"7.0–7.4",IF(B614&lt;8,"7.5–7.9","8.0+"))))</f>
        <v/>
      </c>
      <c r="Z614" s="33">
        <f>IF(F614="","Blank",F614)</f>
        <v/>
      </c>
    </row>
    <row r="615" ht="15" customHeight="1" s="34">
      <c r="A615" s="33" t="inlineStr">
        <is>
          <t>M 6.6 - 60 km SSE of Kirakira, Solomon Islands</t>
        </is>
      </c>
      <c r="B615" s="33" t="n">
        <v>6.6</v>
      </c>
      <c r="C615" s="33" t="inlineStr">
        <is>
          <t>27/11/2007 11:49</t>
        </is>
      </c>
      <c r="D615" s="33" t="n">
        <v>3</v>
      </c>
      <c r="E615" s="33" t="n">
        <v>6</v>
      </c>
      <c r="G615" s="33" t="n">
        <v>0</v>
      </c>
      <c r="H615" s="33" t="n">
        <v>672</v>
      </c>
      <c r="I615" s="33" t="inlineStr">
        <is>
          <t>us</t>
        </is>
      </c>
      <c r="J615" s="33" t="n">
        <v>280</v>
      </c>
      <c r="K615" s="33" t="n">
        <v>0</v>
      </c>
      <c r="L615" s="33" t="n">
        <v>26.9</v>
      </c>
      <c r="M615" s="33" t="inlineStr">
        <is>
          <t>mwc</t>
        </is>
      </c>
      <c r="N615" s="33" t="n">
        <v>16</v>
      </c>
      <c r="O615" s="33" t="n">
        <v>-10.95</v>
      </c>
      <c r="P615" s="33" t="n">
        <v>162.149</v>
      </c>
      <c r="Q615" s="33" t="inlineStr">
        <is>
          <t>Kirakira, Solomon Islands</t>
        </is>
      </c>
      <c r="S615" s="33" t="inlineStr">
        <is>
          <t>Solomon Islands</t>
        </is>
      </c>
      <c r="T615" s="36">
        <f>DATE(MID(C615,7,4),MID(C615,4,2),MID(C615,1,2))+TIME(MID(C615,12,2),MID(C615,15,2),0)</f>
        <v/>
      </c>
      <c r="U615" s="33">
        <f>IF(ISNUMBER(VALUE(MID(A615,7,1))),"Distance-prefix pattern","Named-region pattern")</f>
        <v/>
      </c>
      <c r="V615" s="33">
        <f>LOWER(M615)</f>
        <v/>
      </c>
      <c r="W615" s="33">
        <f>IF(COUNTIFS($A$2:$A$1001,A615,$C$2:$C$1001,C615)&gt;1,"Duplicate","Unique")</f>
        <v/>
      </c>
      <c r="X615" s="33">
        <f>YEAR(T615)</f>
        <v/>
      </c>
      <c r="Y615" s="33">
        <f>IF(B615&lt;6.5,"&lt;6.5",IF(B615&lt;7,"6.5–6.9",IF(B615&lt;7.5,"7.0–7.4",IF(B615&lt;8,"7.5–7.9","8.0+"))))</f>
        <v/>
      </c>
      <c r="Z615" s="33">
        <f>IF(F615="","Blank",F615)</f>
        <v/>
      </c>
    </row>
    <row r="616" ht="15" customHeight="1" s="34">
      <c r="A616" s="33" t="inlineStr">
        <is>
          <t>M 6.5 - 34 km N of Dompu, Indonesia</t>
        </is>
      </c>
      <c r="B616" s="33" t="n">
        <v>6.5</v>
      </c>
      <c r="C616" s="33" t="inlineStr">
        <is>
          <t>25/11/2007 19:53</t>
        </is>
      </c>
      <c r="D616" s="33" t="n">
        <v>5</v>
      </c>
      <c r="E616" s="33" t="n">
        <v>7</v>
      </c>
      <c r="G616" s="33" t="n">
        <v>0</v>
      </c>
      <c r="H616" s="33" t="n">
        <v>653</v>
      </c>
      <c r="I616" s="33" t="inlineStr">
        <is>
          <t>us</t>
        </is>
      </c>
      <c r="J616" s="33" t="n">
        <v>272</v>
      </c>
      <c r="K616" s="33" t="n">
        <v>0</v>
      </c>
      <c r="L616" s="33" t="n">
        <v>27.6</v>
      </c>
      <c r="M616" s="33" t="inlineStr">
        <is>
          <t>mwc</t>
        </is>
      </c>
      <c r="N616" s="33" t="n">
        <v>18</v>
      </c>
      <c r="O616" s="33" t="n">
        <v>-8.224</v>
      </c>
      <c r="P616" s="33" t="n">
        <v>118.467</v>
      </c>
      <c r="Q616" s="33" t="inlineStr">
        <is>
          <t>Dompu, Indonesia</t>
        </is>
      </c>
      <c r="S616" s="33" t="inlineStr">
        <is>
          <t>Indonesia</t>
        </is>
      </c>
      <c r="T616" s="36">
        <f>DATE(MID(C616,7,4),MID(C616,4,2),MID(C616,1,2))+TIME(MID(C616,12,2),MID(C616,15,2),0)</f>
        <v/>
      </c>
      <c r="U616" s="33">
        <f>IF(ISNUMBER(VALUE(MID(A616,7,1))),"Distance-prefix pattern","Named-region pattern")</f>
        <v/>
      </c>
      <c r="V616" s="33">
        <f>LOWER(M616)</f>
        <v/>
      </c>
      <c r="W616" s="33">
        <f>IF(COUNTIFS($A$2:$A$1001,A616,$C$2:$C$1001,C616)&gt;1,"Duplicate","Unique")</f>
        <v/>
      </c>
      <c r="X616" s="33">
        <f>YEAR(T616)</f>
        <v/>
      </c>
      <c r="Y616" s="33">
        <f>IF(B616&lt;6.5,"&lt;6.5",IF(B616&lt;7,"6.5–6.9",IF(B616&lt;7.5,"7.0–7.4",IF(B616&lt;8,"7.5–7.9","8.0+"))))</f>
        <v/>
      </c>
      <c r="Z616" s="33">
        <f>IF(F616="","Blank",F616)</f>
        <v/>
      </c>
    </row>
    <row r="617" ht="15" customHeight="1" s="34">
      <c r="A617" s="33" t="inlineStr">
        <is>
          <t>M 6.5 - 28 km NNW of Dompu, Indonesia</t>
        </is>
      </c>
      <c r="B617" s="33" t="n">
        <v>6.5</v>
      </c>
      <c r="C617" s="33" t="inlineStr">
        <is>
          <t>25/11/2007 16:02</t>
        </is>
      </c>
      <c r="D617" s="33" t="n">
        <v>7</v>
      </c>
      <c r="E617" s="33" t="n">
        <v>7</v>
      </c>
      <c r="G617" s="33" t="n">
        <v>0</v>
      </c>
      <c r="H617" s="33" t="n">
        <v>657</v>
      </c>
      <c r="I617" s="33" t="inlineStr">
        <is>
          <t>us</t>
        </is>
      </c>
      <c r="J617" s="33" t="n">
        <v>353</v>
      </c>
      <c r="K617" s="33" t="n">
        <v>0</v>
      </c>
      <c r="L617" s="33" t="n">
        <v>27.5</v>
      </c>
      <c r="M617" s="33" t="inlineStr">
        <is>
          <t>mwc</t>
        </is>
      </c>
      <c r="N617" s="33" t="n">
        <v>20</v>
      </c>
      <c r="O617" s="33" t="n">
        <v>-8.292</v>
      </c>
      <c r="P617" s="33" t="n">
        <v>118.37</v>
      </c>
      <c r="Q617" s="33" t="inlineStr">
        <is>
          <t>Dompu, Indonesia</t>
        </is>
      </c>
      <c r="S617" s="33" t="inlineStr">
        <is>
          <t>Indonesia</t>
        </is>
      </c>
      <c r="T617" s="36">
        <f>DATE(MID(C617,7,4),MID(C617,4,2),MID(C617,1,2))+TIME(MID(C617,12,2),MID(C617,15,2),0)</f>
        <v/>
      </c>
      <c r="U617" s="33">
        <f>IF(ISNUMBER(VALUE(MID(A617,7,1))),"Distance-prefix pattern","Named-region pattern")</f>
        <v/>
      </c>
      <c r="V617" s="33">
        <f>LOWER(M617)</f>
        <v/>
      </c>
      <c r="W617" s="33">
        <f>IF(COUNTIFS($A$2:$A$1001,A617,$C$2:$C$1001,C617)&gt;1,"Duplicate","Unique")</f>
        <v/>
      </c>
      <c r="X617" s="33">
        <f>YEAR(T617)</f>
        <v/>
      </c>
      <c r="Y617" s="33">
        <f>IF(B617&lt;6.5,"&lt;6.5",IF(B617&lt;7,"6.5–6.9",IF(B617&lt;7.5,"7.0–7.4",IF(B617&lt;8,"7.5–7.9","8.0+"))))</f>
        <v/>
      </c>
      <c r="Z617" s="33">
        <f>IF(F617="","Blank",F617)</f>
        <v/>
      </c>
    </row>
    <row r="618" ht="15" customHeight="1" s="34">
      <c r="A618" s="33" t="inlineStr">
        <is>
          <t>M 6.8 - 107 km N of Lae, Papua New Guinea</t>
        </is>
      </c>
      <c r="B618" s="33" t="n">
        <v>6.8</v>
      </c>
      <c r="C618" s="33" t="inlineStr">
        <is>
          <t>22/11/2007 08:48</t>
        </is>
      </c>
      <c r="D618" s="33" t="n">
        <v>6</v>
      </c>
      <c r="E618" s="33" t="n">
        <v>6</v>
      </c>
      <c r="G618" s="33" t="n">
        <v>0</v>
      </c>
      <c r="H618" s="33" t="n">
        <v>722</v>
      </c>
      <c r="I618" s="33" t="inlineStr">
        <is>
          <t>us</t>
        </is>
      </c>
      <c r="J618" s="33" t="n">
        <v>341</v>
      </c>
      <c r="K618" s="33" t="n">
        <v>0</v>
      </c>
      <c r="L618" s="33" t="n">
        <v>15.9</v>
      </c>
      <c r="M618" s="33" t="inlineStr">
        <is>
          <t>mwc</t>
        </is>
      </c>
      <c r="N618" s="33" t="n">
        <v>53</v>
      </c>
      <c r="O618" s="33" t="n">
        <v>-5.757</v>
      </c>
      <c r="P618" s="33" t="n">
        <v>147.098</v>
      </c>
      <c r="Q618" s="33" t="inlineStr">
        <is>
          <t>Lae, Papua New Guinea</t>
        </is>
      </c>
      <c r="S618" s="33" t="inlineStr">
        <is>
          <t>Papua New Guinea</t>
        </is>
      </c>
      <c r="T618" s="36">
        <f>DATE(MID(C618,7,4),MID(C618,4,2),MID(C618,1,2))+TIME(MID(C618,12,2),MID(C618,15,2),0)</f>
        <v/>
      </c>
      <c r="U618" s="33">
        <f>IF(ISNUMBER(VALUE(MID(A618,7,1))),"Distance-prefix pattern","Named-region pattern")</f>
        <v/>
      </c>
      <c r="V618" s="33">
        <f>LOWER(M618)</f>
        <v/>
      </c>
      <c r="W618" s="33">
        <f>IF(COUNTIFS($A$2:$A$1001,A618,$C$2:$C$1001,C618)&gt;1,"Duplicate","Unique")</f>
        <v/>
      </c>
      <c r="X618" s="33">
        <f>YEAR(T618)</f>
        <v/>
      </c>
      <c r="Y618" s="33">
        <f>IF(B618&lt;6.5,"&lt;6.5",IF(B618&lt;7,"6.5–6.9",IF(B618&lt;7.5,"7.0–7.4",IF(B618&lt;8,"7.5–7.9","8.0+"))))</f>
        <v/>
      </c>
      <c r="Z618" s="33">
        <f>IF(F618="","Blank",F618)</f>
        <v/>
      </c>
    </row>
    <row r="619" ht="15" customHeight="1" s="34">
      <c r="A619" s="33" t="inlineStr">
        <is>
          <t>M 6.8 - 30 km E of Macas, Ecuador</t>
        </is>
      </c>
      <c r="B619" s="33" t="n">
        <v>6.8</v>
      </c>
      <c r="C619" s="33" t="inlineStr">
        <is>
          <t>16/11/2007 03:13</t>
        </is>
      </c>
      <c r="D619" s="33" t="n">
        <v>7</v>
      </c>
      <c r="E619" s="33" t="n">
        <v>6</v>
      </c>
      <c r="G619" s="33" t="n">
        <v>0</v>
      </c>
      <c r="H619" s="33" t="n">
        <v>790</v>
      </c>
      <c r="I619" s="33" t="inlineStr">
        <is>
          <t>us</t>
        </is>
      </c>
      <c r="J619" s="33" t="n">
        <v>649</v>
      </c>
      <c r="K619" s="33" t="n">
        <v>0</v>
      </c>
      <c r="L619" s="33" t="n">
        <v>27</v>
      </c>
      <c r="M619" s="33" t="inlineStr">
        <is>
          <t>mwc</t>
        </is>
      </c>
      <c r="N619" s="33" t="n">
        <v>122.9</v>
      </c>
      <c r="O619" s="33" t="n">
        <v>-2.312</v>
      </c>
      <c r="P619" s="33" t="n">
        <v>-77.83799999999999</v>
      </c>
      <c r="Q619" s="33" t="inlineStr">
        <is>
          <t>Macas, Ecuador</t>
        </is>
      </c>
      <c r="R619" s="33" t="inlineStr">
        <is>
          <t>South America</t>
        </is>
      </c>
      <c r="S619" s="33" t="inlineStr">
        <is>
          <t>Ecuador</t>
        </is>
      </c>
      <c r="T619" s="36">
        <f>DATE(MID(C619,7,4),MID(C619,4,2),MID(C619,1,2))+TIME(MID(C619,12,2),MID(C619,15,2),0)</f>
        <v/>
      </c>
      <c r="U619" s="33">
        <f>IF(ISNUMBER(VALUE(MID(A619,7,1))),"Distance-prefix pattern","Named-region pattern")</f>
        <v/>
      </c>
      <c r="V619" s="33">
        <f>LOWER(M619)</f>
        <v/>
      </c>
      <c r="W619" s="33">
        <f>IF(COUNTIFS($A$2:$A$1001,A619,$C$2:$C$1001,C619)&gt;1,"Duplicate","Unique")</f>
        <v/>
      </c>
      <c r="X619" s="33">
        <f>YEAR(T619)</f>
        <v/>
      </c>
      <c r="Y619" s="33">
        <f>IF(B619&lt;6.5,"&lt;6.5",IF(B619&lt;7,"6.5–6.9",IF(B619&lt;7.5,"7.0–7.4",IF(B619&lt;8,"7.5–7.9","8.0+"))))</f>
        <v/>
      </c>
      <c r="Z619" s="33">
        <f>IF(F619="","Blank",F619)</f>
        <v/>
      </c>
    </row>
    <row r="620" ht="15" customHeight="1" s="34">
      <c r="A620" s="33" t="inlineStr">
        <is>
          <t>M 6.8 - 82 km NNE of Antofagasta, Chile</t>
        </is>
      </c>
      <c r="B620" s="33" t="n">
        <v>6.8</v>
      </c>
      <c r="C620" s="33" t="inlineStr">
        <is>
          <t>15/11/2007 15:05</t>
        </is>
      </c>
      <c r="D620" s="33" t="n">
        <v>6</v>
      </c>
      <c r="E620" s="33" t="n">
        <v>7</v>
      </c>
      <c r="G620" s="33" t="n">
        <v>0</v>
      </c>
      <c r="H620" s="33" t="n">
        <v>716</v>
      </c>
      <c r="I620" s="33" t="inlineStr">
        <is>
          <t>us</t>
        </is>
      </c>
      <c r="J620" s="33" t="n">
        <v>285</v>
      </c>
      <c r="K620" s="33" t="n">
        <v>0</v>
      </c>
      <c r="L620" s="33" t="n">
        <v>40.1</v>
      </c>
      <c r="M620" s="33" t="inlineStr">
        <is>
          <t>mwc</t>
        </is>
      </c>
      <c r="N620" s="33" t="n">
        <v>26</v>
      </c>
      <c r="O620" s="33" t="n">
        <v>-22.925</v>
      </c>
      <c r="P620" s="33" t="n">
        <v>-70.23699999999999</v>
      </c>
      <c r="Q620" s="33" t="inlineStr">
        <is>
          <t>Ant</t>
        </is>
      </c>
      <c r="R620" s="33" t="inlineStr">
        <is>
          <t>South America</t>
        </is>
      </c>
      <c r="S620" s="33" t="inlineStr">
        <is>
          <t>Chile</t>
        </is>
      </c>
      <c r="T620" s="36">
        <f>DATE(MID(C620,7,4),MID(C620,4,2),MID(C620,1,2))+TIME(MID(C620,12,2),MID(C620,15,2),0)</f>
        <v/>
      </c>
      <c r="U620" s="33">
        <f>IF(ISNUMBER(VALUE(MID(A620,7,1))),"Distance-prefix pattern","Named-region pattern")</f>
        <v/>
      </c>
      <c r="V620" s="33">
        <f>LOWER(M620)</f>
        <v/>
      </c>
      <c r="W620" s="33">
        <f>IF(COUNTIFS($A$2:$A$1001,A620,$C$2:$C$1001,C620)&gt;1,"Duplicate","Unique")</f>
        <v/>
      </c>
      <c r="X620" s="33">
        <f>YEAR(T620)</f>
        <v/>
      </c>
      <c r="Y620" s="33">
        <f>IF(B620&lt;6.5,"&lt;6.5",IF(B620&lt;7,"6.5–6.9",IF(B620&lt;7.5,"7.0–7.4",IF(B620&lt;8,"7.5–7.9","8.0+"))))</f>
        <v/>
      </c>
      <c r="Z620" s="33">
        <f>IF(F620="","Blank",F620)</f>
        <v/>
      </c>
    </row>
    <row r="621" ht="15" customHeight="1" s="34">
      <c r="A621" s="33" t="inlineStr">
        <is>
          <t>M 7.7 - 36 km ESE of Tocopilla, Chile</t>
        </is>
      </c>
      <c r="B621" s="33" t="n">
        <v>7.7</v>
      </c>
      <c r="C621" s="33" t="inlineStr">
        <is>
          <t>14/11/2007 15:40</t>
        </is>
      </c>
      <c r="D621" s="33" t="n">
        <v>8</v>
      </c>
      <c r="E621" s="33" t="n">
        <v>7</v>
      </c>
      <c r="G621" s="33" t="n">
        <v>0</v>
      </c>
      <c r="H621" s="33" t="n">
        <v>995</v>
      </c>
      <c r="I621" s="33" t="inlineStr">
        <is>
          <t>us</t>
        </is>
      </c>
      <c r="J621" s="33" t="n">
        <v>610</v>
      </c>
      <c r="K621" s="33" t="n">
        <v>0</v>
      </c>
      <c r="L621" s="33" t="n">
        <v>22.4</v>
      </c>
      <c r="M621" s="33" t="inlineStr">
        <is>
          <t>mwc</t>
        </is>
      </c>
      <c r="N621" s="33" t="n">
        <v>40</v>
      </c>
      <c r="O621" s="33" t="n">
        <v>-22.247</v>
      </c>
      <c r="P621" s="33" t="n">
        <v>-69.89</v>
      </c>
      <c r="Q621" s="33" t="inlineStr">
        <is>
          <t>Tocopilla, Chile</t>
        </is>
      </c>
      <c r="R621" s="33" t="inlineStr">
        <is>
          <t>South America</t>
        </is>
      </c>
      <c r="S621" s="33" t="inlineStr">
        <is>
          <t>Chile</t>
        </is>
      </c>
      <c r="T621" s="36">
        <f>DATE(MID(C621,7,4),MID(C621,4,2),MID(C621,1,2))+TIME(MID(C621,12,2),MID(C621,15,2),0)</f>
        <v/>
      </c>
      <c r="U621" s="33">
        <f>IF(ISNUMBER(VALUE(MID(A621,7,1))),"Distance-prefix pattern","Named-region pattern")</f>
        <v/>
      </c>
      <c r="V621" s="33">
        <f>LOWER(M621)</f>
        <v/>
      </c>
      <c r="W621" s="33">
        <f>IF(COUNTIFS($A$2:$A$1001,A621,$C$2:$C$1001,C621)&gt;1,"Duplicate","Unique")</f>
        <v/>
      </c>
      <c r="X621" s="33">
        <f>YEAR(T621)</f>
        <v/>
      </c>
      <c r="Y621" s="33">
        <f>IF(B621&lt;6.5,"&lt;6.5",IF(B621&lt;7,"6.5–6.9",IF(B621&lt;7.5,"7.0–7.4",IF(B621&lt;8,"7.5–7.9","8.0+"))))</f>
        <v/>
      </c>
      <c r="Z621" s="33">
        <f>IF(F621="","Blank",F621)</f>
        <v/>
      </c>
    </row>
    <row r="622" ht="15" customHeight="1" s="34">
      <c r="A622" s="33" t="inlineStr">
        <is>
          <t>M 6.8 - 138 km W of Bengkulu, Indonesia</t>
        </is>
      </c>
      <c r="B622" s="33" t="n">
        <v>6.8</v>
      </c>
      <c r="C622" s="33" t="inlineStr">
        <is>
          <t>24/10/2007 21:02</t>
        </is>
      </c>
      <c r="D622" s="33" t="n">
        <v>3</v>
      </c>
      <c r="E622" s="33" t="n">
        <v>5</v>
      </c>
      <c r="G622" s="33" t="n">
        <v>0</v>
      </c>
      <c r="H622" s="33" t="n">
        <v>713</v>
      </c>
      <c r="I622" s="33" t="inlineStr">
        <is>
          <t>us</t>
        </is>
      </c>
      <c r="J622" s="33" t="n">
        <v>494</v>
      </c>
      <c r="K622" s="33" t="n">
        <v>0</v>
      </c>
      <c r="L622" s="33" t="n">
        <v>23.9</v>
      </c>
      <c r="M622" s="33" t="inlineStr">
        <is>
          <t>mwc</t>
        </is>
      </c>
      <c r="N622" s="33" t="n">
        <v>21</v>
      </c>
      <c r="O622" s="33" t="n">
        <v>-3.899</v>
      </c>
      <c r="P622" s="33" t="n">
        <v>101.02</v>
      </c>
      <c r="Q622" s="33" t="inlineStr">
        <is>
          <t>Bengkulu, Indonesia</t>
        </is>
      </c>
      <c r="S622" s="33" t="inlineStr">
        <is>
          <t>Indonesia</t>
        </is>
      </c>
      <c r="T622" s="36">
        <f>DATE(MID(C622,7,4),MID(C622,4,2),MID(C622,1,2))+TIME(MID(C622,12,2),MID(C622,15,2),0)</f>
        <v/>
      </c>
      <c r="U622" s="33">
        <f>IF(ISNUMBER(VALUE(MID(A622,7,1))),"Distance-prefix pattern","Named-region pattern")</f>
        <v/>
      </c>
      <c r="V622" s="33">
        <f>LOWER(M622)</f>
        <v/>
      </c>
      <c r="W622" s="33">
        <f>IF(COUNTIFS($A$2:$A$1001,A622,$C$2:$C$1001,C622)&gt;1,"Duplicate","Unique")</f>
        <v/>
      </c>
      <c r="X622" s="33">
        <f>YEAR(T622)</f>
        <v/>
      </c>
      <c r="Y622" s="33">
        <f>IF(B622&lt;6.5,"&lt;6.5",IF(B622&lt;7,"6.5–6.9",IF(B622&lt;7.5,"7.0–7.4",IF(B622&lt;8,"7.5–7.9","8.0+"))))</f>
        <v/>
      </c>
      <c r="Z622" s="33">
        <f>IF(F622="","Blank",F622)</f>
        <v/>
      </c>
    </row>
    <row r="623" ht="15" customHeight="1" s="34">
      <c r="A623" s="33" t="inlineStr">
        <is>
          <t>M 6.8 - 70 km N of Te Anau, New Zealand</t>
        </is>
      </c>
      <c r="B623" s="33" t="n">
        <v>6.8</v>
      </c>
      <c r="C623" s="33" t="inlineStr">
        <is>
          <t>15/10/2007 12:29</t>
        </is>
      </c>
      <c r="D623" s="33" t="n">
        <v>4</v>
      </c>
      <c r="E623" s="33" t="n">
        <v>7</v>
      </c>
      <c r="G623" s="33" t="n">
        <v>0</v>
      </c>
      <c r="H623" s="33" t="n">
        <v>744</v>
      </c>
      <c r="I623" s="33" t="inlineStr">
        <is>
          <t>us</t>
        </is>
      </c>
      <c r="J623" s="33" t="n">
        <v>338</v>
      </c>
      <c r="K623" s="33" t="n">
        <v>0</v>
      </c>
      <c r="L623" s="33" t="n">
        <v>19</v>
      </c>
      <c r="M623" s="33" t="inlineStr">
        <is>
          <t>mwc</t>
        </is>
      </c>
      <c r="N623" s="33" t="n">
        <v>18</v>
      </c>
      <c r="O623" s="33" t="n">
        <v>-44.796</v>
      </c>
      <c r="P623" s="33" t="n">
        <v>167.553</v>
      </c>
      <c r="Q623" s="33" t="inlineStr">
        <is>
          <t>Te Anau, New Zealand</t>
        </is>
      </c>
      <c r="S623" s="33" t="inlineStr">
        <is>
          <t>New Zealand</t>
        </is>
      </c>
      <c r="T623" s="36">
        <f>DATE(MID(C623,7,4),MID(C623,4,2),MID(C623,1,2))+TIME(MID(C623,12,2),MID(C623,15,2),0)</f>
        <v/>
      </c>
      <c r="U623" s="33">
        <f>IF(ISNUMBER(VALUE(MID(A623,7,1))),"Distance-prefix pattern","Named-region pattern")</f>
        <v/>
      </c>
      <c r="V623" s="33">
        <f>LOWER(M623)</f>
        <v/>
      </c>
      <c r="W623" s="33">
        <f>IF(COUNTIFS($A$2:$A$1001,A623,$C$2:$C$1001,C623)&gt;1,"Duplicate","Unique")</f>
        <v/>
      </c>
      <c r="X623" s="33">
        <f>YEAR(T623)</f>
        <v/>
      </c>
      <c r="Y623" s="33">
        <f>IF(B623&lt;6.5,"&lt;6.5",IF(B623&lt;7,"6.5–6.9",IF(B623&lt;7.5,"7.0–7.4",IF(B623&lt;8,"7.5–7.9","8.0+"))))</f>
        <v/>
      </c>
      <c r="Z623" s="33">
        <f>IF(F623="","Blank",F623)</f>
        <v/>
      </c>
    </row>
    <row r="624" ht="15" customHeight="1" s="34">
      <c r="A624" s="33" t="inlineStr">
        <is>
          <t>M 6.8 - 154 km ESE of Kokopo, Papua New Guinea</t>
        </is>
      </c>
      <c r="B624" s="33" t="n">
        <v>6.8</v>
      </c>
      <c r="C624" s="33" t="inlineStr">
        <is>
          <t>26/09/2007 12:36</t>
        </is>
      </c>
      <c r="D624" s="33" t="n">
        <v>4</v>
      </c>
      <c r="E624" s="33" t="n">
        <v>5</v>
      </c>
      <c r="G624" s="33" t="n">
        <v>0</v>
      </c>
      <c r="H624" s="33" t="n">
        <v>713</v>
      </c>
      <c r="I624" s="33" t="inlineStr">
        <is>
          <t>us</t>
        </is>
      </c>
      <c r="J624" s="33" t="n">
        <v>348</v>
      </c>
      <c r="K624" s="33" t="n">
        <v>0</v>
      </c>
      <c r="L624" s="33" t="n">
        <v>15.5</v>
      </c>
      <c r="M624" s="33" t="inlineStr">
        <is>
          <t>mwc</t>
        </is>
      </c>
      <c r="N624" s="33" t="n">
        <v>40</v>
      </c>
      <c r="O624" s="33" t="n">
        <v>-4.99</v>
      </c>
      <c r="P624" s="33" t="n">
        <v>153.5</v>
      </c>
      <c r="Q624" s="33" t="inlineStr">
        <is>
          <t>Kokopo, Papua New Guinea</t>
        </is>
      </c>
      <c r="S624" s="33" t="inlineStr">
        <is>
          <t>Papua New Guinea</t>
        </is>
      </c>
      <c r="T624" s="36">
        <f>DATE(MID(C624,7,4),MID(C624,4,2),MID(C624,1,2))+TIME(MID(C624,12,2),MID(C624,15,2),0)</f>
        <v/>
      </c>
      <c r="U624" s="33">
        <f>IF(ISNUMBER(VALUE(MID(A624,7,1))),"Distance-prefix pattern","Named-region pattern")</f>
        <v/>
      </c>
      <c r="V624" s="33">
        <f>LOWER(M624)</f>
        <v/>
      </c>
      <c r="W624" s="33">
        <f>IF(COUNTIFS($A$2:$A$1001,A624,$C$2:$C$1001,C624)&gt;1,"Duplicate","Unique")</f>
        <v/>
      </c>
      <c r="X624" s="33">
        <f>YEAR(T624)</f>
        <v/>
      </c>
      <c r="Y624" s="33">
        <f>IF(B624&lt;6.5,"&lt;6.5",IF(B624&lt;7,"6.5–6.9",IF(B624&lt;7.5,"7.0–7.4",IF(B624&lt;8,"7.5–7.9","8.0+"))))</f>
        <v/>
      </c>
      <c r="Z624" s="33">
        <f>IF(F624="","Blank",F624)</f>
        <v/>
      </c>
    </row>
    <row r="625" ht="15" customHeight="1" s="34">
      <c r="A625" s="33" t="inlineStr">
        <is>
          <t>M 6.7 - 118 km SSW of Padang, Indonesia</t>
        </is>
      </c>
      <c r="B625" s="33" t="n">
        <v>6.7</v>
      </c>
      <c r="C625" s="33" t="inlineStr">
        <is>
          <t>20/09/2007 08:31</t>
        </is>
      </c>
      <c r="D625" s="33" t="n">
        <v>3</v>
      </c>
      <c r="E625" s="33" t="n">
        <v>5</v>
      </c>
      <c r="G625" s="33" t="n">
        <v>0</v>
      </c>
      <c r="H625" s="33" t="n">
        <v>696</v>
      </c>
      <c r="I625" s="33" t="inlineStr">
        <is>
          <t>us</t>
        </is>
      </c>
      <c r="J625" s="33" t="n">
        <v>503</v>
      </c>
      <c r="K625" s="33" t="n">
        <v>0</v>
      </c>
      <c r="L625" s="33" t="n">
        <v>26.9</v>
      </c>
      <c r="M625" s="33" t="inlineStr">
        <is>
          <t>mwc</t>
        </is>
      </c>
      <c r="N625" s="33" t="n">
        <v>30</v>
      </c>
      <c r="O625" s="33" t="n">
        <v>-1.999</v>
      </c>
      <c r="P625" s="33" t="n">
        <v>100.141</v>
      </c>
      <c r="Q625" s="33" t="inlineStr">
        <is>
          <t>Padang, Indonesia</t>
        </is>
      </c>
      <c r="S625" s="33" t="inlineStr">
        <is>
          <t>Indonesia</t>
        </is>
      </c>
      <c r="T625" s="36">
        <f>DATE(MID(C625,7,4),MID(C625,4,2),MID(C625,1,2))+TIME(MID(C625,12,2),MID(C625,15,2),0)</f>
        <v/>
      </c>
      <c r="U625" s="33">
        <f>IF(ISNUMBER(VALUE(MID(A625,7,1))),"Distance-prefix pattern","Named-region pattern")</f>
        <v/>
      </c>
      <c r="V625" s="33">
        <f>LOWER(M625)</f>
        <v/>
      </c>
      <c r="W625" s="33">
        <f>IF(COUNTIFS($A$2:$A$1001,A625,$C$2:$C$1001,C625)&gt;1,"Duplicate","Unique")</f>
        <v/>
      </c>
      <c r="X625" s="33">
        <f>YEAR(T625)</f>
        <v/>
      </c>
      <c r="Y625" s="33">
        <f>IF(B625&lt;6.5,"&lt;6.5",IF(B625&lt;7,"6.5–6.9",IF(B625&lt;7.5,"7.0–7.4",IF(B625&lt;8,"7.5–7.9","8.0+"))))</f>
        <v/>
      </c>
      <c r="Z625" s="33">
        <f>IF(F625="","Blank",F625)</f>
        <v/>
      </c>
    </row>
    <row r="626" ht="15" customHeight="1" s="34">
      <c r="A626" s="33" t="inlineStr">
        <is>
          <t>M 7.0 - 153 km SSW of Padang, Indonesia</t>
        </is>
      </c>
      <c r="B626" s="33" t="n">
        <v>7</v>
      </c>
      <c r="C626" s="33" t="inlineStr">
        <is>
          <t>13/09/2007 03:35</t>
        </is>
      </c>
      <c r="D626" s="33" t="n">
        <v>4</v>
      </c>
      <c r="E626" s="33" t="n">
        <v>7</v>
      </c>
      <c r="G626" s="33" t="n">
        <v>0</v>
      </c>
      <c r="H626" s="33" t="n">
        <v>768</v>
      </c>
      <c r="I626" s="33" t="inlineStr">
        <is>
          <t>us</t>
        </is>
      </c>
      <c r="J626" s="33" t="n">
        <v>537</v>
      </c>
      <c r="K626" s="33" t="n">
        <v>0</v>
      </c>
      <c r="L626" s="33" t="n">
        <v>23.1</v>
      </c>
      <c r="M626" s="33" t="inlineStr">
        <is>
          <t>mwc</t>
        </is>
      </c>
      <c r="N626" s="33" t="n">
        <v>22</v>
      </c>
      <c r="O626" s="33" t="n">
        <v>-2.13</v>
      </c>
      <c r="P626" s="33" t="n">
        <v>99.627</v>
      </c>
      <c r="Q626" s="33" t="inlineStr">
        <is>
          <t>Padang, Indonesia</t>
        </is>
      </c>
      <c r="S626" s="33" t="inlineStr">
        <is>
          <t>Indonesia</t>
        </is>
      </c>
      <c r="T626" s="36">
        <f>DATE(MID(C626,7,4),MID(C626,4,2),MID(C626,1,2))+TIME(MID(C626,12,2),MID(C626,15,2),0)</f>
        <v/>
      </c>
      <c r="U626" s="33">
        <f>IF(ISNUMBER(VALUE(MID(A626,7,1))),"Distance-prefix pattern","Named-region pattern")</f>
        <v/>
      </c>
      <c r="V626" s="33">
        <f>LOWER(M626)</f>
        <v/>
      </c>
      <c r="W626" s="33">
        <f>IF(COUNTIFS($A$2:$A$1001,A626,$C$2:$C$1001,C626)&gt;1,"Duplicate","Unique")</f>
        <v/>
      </c>
      <c r="X626" s="33">
        <f>YEAR(T626)</f>
        <v/>
      </c>
      <c r="Y626" s="33">
        <f>IF(B626&lt;6.5,"&lt;6.5",IF(B626&lt;7,"6.5–6.9",IF(B626&lt;7.5,"7.0–7.4",IF(B626&lt;8,"7.5–7.9","8.0+"))))</f>
        <v/>
      </c>
      <c r="Z626" s="33">
        <f>IF(F626="","Blank",F626)</f>
        <v/>
      </c>
    </row>
    <row r="627" ht="15" customHeight="1" s="34">
      <c r="A627" s="33" t="inlineStr">
        <is>
          <t>M 6.5 - Kepulauan Mentawai region, Indonesia</t>
        </is>
      </c>
      <c r="B627" s="33" t="n">
        <v>6.5</v>
      </c>
      <c r="C627" s="33" t="inlineStr">
        <is>
          <t>13/09/2007 02:30</t>
        </is>
      </c>
      <c r="D627" s="33" t="n">
        <v>0</v>
      </c>
      <c r="E627" s="33" t="n">
        <v>5</v>
      </c>
      <c r="G627" s="33" t="n">
        <v>0</v>
      </c>
      <c r="H627" s="33" t="n">
        <v>650</v>
      </c>
      <c r="I627" s="33" t="inlineStr">
        <is>
          <t>us</t>
        </is>
      </c>
      <c r="J627" s="33" t="n">
        <v>409</v>
      </c>
      <c r="K627" s="33" t="n">
        <v>0</v>
      </c>
      <c r="L627" s="33" t="n">
        <v>26.2</v>
      </c>
      <c r="M627" s="33" t="inlineStr">
        <is>
          <t>mwc</t>
        </is>
      </c>
      <c r="N627" s="33" t="n">
        <v>28.9</v>
      </c>
      <c r="O627" s="33" t="n">
        <v>-1.689</v>
      </c>
      <c r="P627" s="33" t="n">
        <v>99.66800000000001</v>
      </c>
      <c r="Q627" s="33" t="inlineStr">
        <is>
          <t>Kepulauan Mentawai region, Indonesia</t>
        </is>
      </c>
      <c r="S627" s="33" t="inlineStr">
        <is>
          <t>Indonesia</t>
        </is>
      </c>
      <c r="T627" s="36">
        <f>DATE(MID(C627,7,4),MID(C627,4,2),MID(C627,1,2))+TIME(MID(C627,12,2),MID(C627,15,2),0)</f>
        <v/>
      </c>
      <c r="U627" s="33">
        <f>IF(ISNUMBER(VALUE(MID(A627,7,1))),"Distance-prefix pattern","Named-region pattern")</f>
        <v/>
      </c>
      <c r="V627" s="33">
        <f>LOWER(M627)</f>
        <v/>
      </c>
      <c r="W627" s="33">
        <f>IF(COUNTIFS($A$2:$A$1001,A627,$C$2:$C$1001,C627)&gt;1,"Duplicate","Unique")</f>
        <v/>
      </c>
      <c r="X627" s="33">
        <f>YEAR(T627)</f>
        <v/>
      </c>
      <c r="Y627" s="33">
        <f>IF(B627&lt;6.5,"&lt;6.5",IF(B627&lt;7,"6.5–6.9",IF(B627&lt;7.5,"7.0–7.4",IF(B627&lt;8,"7.5–7.9","8.0+"))))</f>
        <v/>
      </c>
      <c r="Z627" s="33">
        <f>IF(F627="","Blank",F627)</f>
        <v/>
      </c>
    </row>
    <row r="628" ht="15" customHeight="1" s="34">
      <c r="A628" s="33" t="inlineStr">
        <is>
          <t>M 7.9 - 87 km SW of Sungai Penuh, Indonesia</t>
        </is>
      </c>
      <c r="B628" s="33" t="n">
        <v>7.9</v>
      </c>
      <c r="C628" s="33" t="inlineStr">
        <is>
          <t>12/09/2007 23:49</t>
        </is>
      </c>
      <c r="D628" s="33" t="n">
        <v>8</v>
      </c>
      <c r="E628" s="33" t="n">
        <v>7</v>
      </c>
      <c r="G628" s="33" t="n">
        <v>0</v>
      </c>
      <c r="H628" s="33" t="n">
        <v>1133</v>
      </c>
      <c r="I628" s="33" t="inlineStr">
        <is>
          <t>us</t>
        </is>
      </c>
      <c r="J628" s="33" t="n">
        <v>446</v>
      </c>
      <c r="K628" s="33" t="n">
        <v>0</v>
      </c>
      <c r="L628" s="33" t="n">
        <v>29.1</v>
      </c>
      <c r="M628" s="33" t="inlineStr">
        <is>
          <t>mwc</t>
        </is>
      </c>
      <c r="N628" s="33" t="n">
        <v>35</v>
      </c>
      <c r="O628" s="33" t="n">
        <v>-2.625</v>
      </c>
      <c r="P628" s="33" t="n">
        <v>100.841</v>
      </c>
      <c r="Q628" s="33" t="inlineStr">
        <is>
          <t>Sungai Penuh, Indonesia</t>
        </is>
      </c>
      <c r="S628" s="33" t="inlineStr">
        <is>
          <t>Indonesia</t>
        </is>
      </c>
      <c r="T628" s="36">
        <f>DATE(MID(C628,7,4),MID(C628,4,2),MID(C628,1,2))+TIME(MID(C628,12,2),MID(C628,15,2),0)</f>
        <v/>
      </c>
      <c r="U628" s="33">
        <f>IF(ISNUMBER(VALUE(MID(A628,7,1))),"Distance-prefix pattern","Named-region pattern")</f>
        <v/>
      </c>
      <c r="V628" s="33">
        <f>LOWER(M628)</f>
        <v/>
      </c>
      <c r="W628" s="33">
        <f>IF(COUNTIFS($A$2:$A$1001,A628,$C$2:$C$1001,C628)&gt;1,"Duplicate","Unique")</f>
        <v/>
      </c>
      <c r="X628" s="33">
        <f>YEAR(T628)</f>
        <v/>
      </c>
      <c r="Y628" s="33">
        <f>IF(B628&lt;6.5,"&lt;6.5",IF(B628&lt;7,"6.5–6.9",IF(B628&lt;7.5,"7.0–7.4",IF(B628&lt;8,"7.5–7.9","8.0+"))))</f>
        <v/>
      </c>
      <c r="Z628" s="33">
        <f>IF(F628="","Blank",F628)</f>
        <v/>
      </c>
    </row>
    <row r="629" ht="15" customHeight="1" s="34">
      <c r="A629" s="33" t="inlineStr">
        <is>
          <t>M 7.8 - 148 km WSW of Sungai Penuh, Indonesia</t>
        </is>
      </c>
      <c r="B629" s="33" t="n">
        <v>7.8</v>
      </c>
      <c r="C629" s="33" t="inlineStr">
        <is>
          <t>12/09/2007 23:49</t>
        </is>
      </c>
      <c r="D629" s="33" t="n">
        <v>7</v>
      </c>
      <c r="E629" s="33" t="n">
        <v>8</v>
      </c>
      <c r="G629" s="33" t="n">
        <v>0</v>
      </c>
      <c r="H629" s="33" t="n">
        <v>1152</v>
      </c>
      <c r="I629" s="33" t="inlineStr">
        <is>
          <t>duputel</t>
        </is>
      </c>
      <c r="J629" s="33" t="n">
        <v>0</v>
      </c>
      <c r="K629" s="33" t="n">
        <v>0</v>
      </c>
      <c r="L629" s="33" t="n">
        <v>0</v>
      </c>
      <c r="M629" s="33" t="inlineStr">
        <is>
          <t>mww</t>
        </is>
      </c>
      <c r="N629" s="33" t="n">
        <v>40.5</v>
      </c>
      <c r="O629" s="33" t="n">
        <v>-2.52</v>
      </c>
      <c r="P629" s="33" t="n">
        <v>100.139</v>
      </c>
      <c r="Q629" s="33" t="inlineStr">
        <is>
          <t>Sungai Penuh, Indonesia</t>
        </is>
      </c>
      <c r="R629" s="33" t="inlineStr">
        <is>
          <t>Asia</t>
        </is>
      </c>
      <c r="S629" s="33" t="inlineStr">
        <is>
          <t>Indonesia</t>
        </is>
      </c>
      <c r="T629" s="36">
        <f>DATE(MID(C629,7,4),MID(C629,4,2),MID(C629,1,2))+TIME(MID(C629,12,2),MID(C629,15,2),0)</f>
        <v/>
      </c>
      <c r="U629" s="33">
        <f>IF(ISNUMBER(VALUE(MID(A629,7,1))),"Distance-prefix pattern","Named-region pattern")</f>
        <v/>
      </c>
      <c r="V629" s="33">
        <f>LOWER(M629)</f>
        <v/>
      </c>
      <c r="W629" s="33">
        <f>IF(COUNTIFS($A$2:$A$1001,A629,$C$2:$C$1001,C629)&gt;1,"Duplicate","Unique")</f>
        <v/>
      </c>
      <c r="X629" s="33">
        <f>YEAR(T629)</f>
        <v/>
      </c>
      <c r="Y629" s="33">
        <f>IF(B629&lt;6.5,"&lt;6.5",IF(B629&lt;7,"6.5–6.9",IF(B629&lt;7.5,"7.0–7.4",IF(B629&lt;8,"7.5–7.9","8.0+"))))</f>
        <v/>
      </c>
      <c r="Z629" s="33">
        <f>IF(F629="","Blank",F629)</f>
        <v/>
      </c>
    </row>
    <row r="630" ht="15" customHeight="1" s="34">
      <c r="A630" s="33" t="inlineStr">
        <is>
          <t>M 8.4 - 122 km SW of Bengkulu, Indonesia</t>
        </is>
      </c>
      <c r="B630" s="33" t="n">
        <v>8.4</v>
      </c>
      <c r="C630" s="33" t="inlineStr">
        <is>
          <t>12/09/2007 11:10</t>
        </is>
      </c>
      <c r="D630" s="33" t="n">
        <v>0</v>
      </c>
      <c r="E630" s="33" t="n">
        <v>6</v>
      </c>
      <c r="G630" s="33" t="n">
        <v>0</v>
      </c>
      <c r="H630" s="33" t="n">
        <v>1086</v>
      </c>
      <c r="I630" s="33" t="inlineStr">
        <is>
          <t>official</t>
        </is>
      </c>
      <c r="J630" s="33" t="n">
        <v>411</v>
      </c>
      <c r="K630" s="33" t="n">
        <v>0</v>
      </c>
      <c r="L630" s="33" t="n">
        <v>32.3</v>
      </c>
      <c r="M630" s="33" t="inlineStr">
        <is>
          <t>mww</t>
        </is>
      </c>
      <c r="N630" s="33" t="n">
        <v>34</v>
      </c>
      <c r="O630" s="33" t="n">
        <v>-4.438</v>
      </c>
      <c r="P630" s="33" t="n">
        <v>101.367</v>
      </c>
      <c r="Q630" s="33" t="inlineStr">
        <is>
          <t>Bengkulu, Indonesia</t>
        </is>
      </c>
      <c r="S630" s="33" t="inlineStr">
        <is>
          <t>Indonesia</t>
        </is>
      </c>
      <c r="T630" s="36">
        <f>DATE(MID(C630,7,4),MID(C630,4,2),MID(C630,1,2))+TIME(MID(C630,12,2),MID(C630,15,2),0)</f>
        <v/>
      </c>
      <c r="U630" s="33">
        <f>IF(ISNUMBER(VALUE(MID(A630,7,1))),"Distance-prefix pattern","Named-region pattern")</f>
        <v/>
      </c>
      <c r="V630" s="33">
        <f>LOWER(M630)</f>
        <v/>
      </c>
      <c r="W630" s="33">
        <f>IF(COUNTIFS($A$2:$A$1001,A630,$C$2:$C$1001,C630)&gt;1,"Duplicate","Unique")</f>
        <v/>
      </c>
      <c r="X630" s="33">
        <f>YEAR(T630)</f>
        <v/>
      </c>
      <c r="Y630" s="33">
        <f>IF(B630&lt;6.5,"&lt;6.5",IF(B630&lt;7,"6.5–6.9",IF(B630&lt;7.5,"7.0–7.4",IF(B630&lt;8,"7.5–7.9","8.0+"))))</f>
        <v/>
      </c>
      <c r="Z630" s="33">
        <f>IF(F630="","Blank",F630)</f>
        <v/>
      </c>
    </row>
    <row r="631" ht="15" customHeight="1" s="34">
      <c r="A631" s="33" t="inlineStr">
        <is>
          <t>M 6.8 - 39 km WNW of Timbiquí, Colombia</t>
        </is>
      </c>
      <c r="B631" s="33" t="n">
        <v>6.8</v>
      </c>
      <c r="C631" s="33" t="inlineStr">
        <is>
          <t>10/09/2007 01:49</t>
        </is>
      </c>
      <c r="D631" s="33" t="n">
        <v>5</v>
      </c>
      <c r="E631" s="33" t="n">
        <v>6</v>
      </c>
      <c r="G631" s="33" t="n">
        <v>0</v>
      </c>
      <c r="H631" s="33" t="n">
        <v>747</v>
      </c>
      <c r="I631" s="33" t="inlineStr">
        <is>
          <t>us</t>
        </is>
      </c>
      <c r="J631" s="33" t="n">
        <v>653</v>
      </c>
      <c r="K631" s="33" t="n">
        <v>0</v>
      </c>
      <c r="L631" s="33" t="n">
        <v>17.6</v>
      </c>
      <c r="M631" s="33" t="inlineStr">
        <is>
          <t>mwc</t>
        </is>
      </c>
      <c r="N631" s="33" t="n">
        <v>15</v>
      </c>
      <c r="O631" s="33" t="n">
        <v>2.966</v>
      </c>
      <c r="P631" s="33" t="n">
        <v>-77.96299999999999</v>
      </c>
      <c r="Q631" s="33" t="inlineStr">
        <is>
          <t>Timbiquí, Colombia</t>
        </is>
      </c>
      <c r="S631" s="33" t="inlineStr">
        <is>
          <t>Colombia</t>
        </is>
      </c>
      <c r="T631" s="36">
        <f>DATE(MID(C631,7,4),MID(C631,4,2),MID(C631,1,2))+TIME(MID(C631,12,2),MID(C631,15,2),0)</f>
        <v/>
      </c>
      <c r="U631" s="33">
        <f>IF(ISNUMBER(VALUE(MID(A631,7,1))),"Distance-prefix pattern","Named-region pattern")</f>
        <v/>
      </c>
      <c r="V631" s="33">
        <f>LOWER(M631)</f>
        <v/>
      </c>
      <c r="W631" s="33">
        <f>IF(COUNTIFS($A$2:$A$1001,A631,$C$2:$C$1001,C631)&gt;1,"Duplicate","Unique")</f>
        <v/>
      </c>
      <c r="X631" s="33">
        <f>YEAR(T631)</f>
        <v/>
      </c>
      <c r="Y631" s="33">
        <f>IF(B631&lt;6.5,"&lt;6.5",IF(B631&lt;7,"6.5–6.9",IF(B631&lt;7.5,"7.0–7.4",IF(B631&lt;8,"7.5–7.9","8.0+"))))</f>
        <v/>
      </c>
      <c r="Z631" s="33">
        <f>IF(F631="","Blank",F631)</f>
        <v/>
      </c>
    </row>
    <row r="632" ht="15" customHeight="1" s="34">
      <c r="A632" s="33" t="inlineStr">
        <is>
          <t>M 7.2 - 97 km S of Lata, Solomon Islands</t>
        </is>
      </c>
      <c r="B632" s="33" t="n">
        <v>7.2</v>
      </c>
      <c r="C632" s="33" t="inlineStr">
        <is>
          <t>02/09/2007 01:05</t>
        </is>
      </c>
      <c r="D632" s="33" t="n">
        <v>0</v>
      </c>
      <c r="E632" s="33" t="n">
        <v>5</v>
      </c>
      <c r="G632" s="33" t="n">
        <v>0</v>
      </c>
      <c r="H632" s="33" t="n">
        <v>798</v>
      </c>
      <c r="I632" s="33" t="inlineStr">
        <is>
          <t>us</t>
        </is>
      </c>
      <c r="J632" s="33" t="n">
        <v>312</v>
      </c>
      <c r="K632" s="33" t="n">
        <v>0</v>
      </c>
      <c r="L632" s="33" t="n">
        <v>21.3</v>
      </c>
      <c r="M632" s="33" t="inlineStr">
        <is>
          <t>mwc</t>
        </is>
      </c>
      <c r="N632" s="33" t="n">
        <v>35</v>
      </c>
      <c r="O632" s="33" t="n">
        <v>-11.61</v>
      </c>
      <c r="P632" s="33" t="n">
        <v>165.762</v>
      </c>
      <c r="Q632" s="33" t="inlineStr">
        <is>
          <t>Lata, Solomon Islands</t>
        </is>
      </c>
      <c r="T632" s="36">
        <f>DATE(MID(C632,7,4),MID(C632,4,2),MID(C632,1,2))+TIME(MID(C632,12,2),MID(C632,15,2),0)</f>
        <v/>
      </c>
      <c r="U632" s="33">
        <f>IF(ISNUMBER(VALUE(MID(A632,7,1))),"Distance-prefix pattern","Named-region pattern")</f>
        <v/>
      </c>
      <c r="V632" s="33">
        <f>LOWER(M632)</f>
        <v/>
      </c>
      <c r="W632" s="33">
        <f>IF(COUNTIFS($A$2:$A$1001,A632,$C$2:$C$1001,C632)&gt;1,"Duplicate","Unique")</f>
        <v/>
      </c>
      <c r="X632" s="33">
        <f>YEAR(T632)</f>
        <v/>
      </c>
      <c r="Y632" s="33">
        <f>IF(B632&lt;6.5,"&lt;6.5",IF(B632&lt;7,"6.5–6.9",IF(B632&lt;7.5,"7.0–7.4",IF(B632&lt;8,"7.5–7.9","8.0+"))))</f>
        <v/>
      </c>
      <c r="Z632" s="33">
        <f>IF(F632="","Blank",F632)</f>
        <v/>
      </c>
    </row>
    <row r="633" ht="15" customHeight="1" s="34">
      <c r="A633" s="33" t="inlineStr">
        <is>
          <t>M 6.5 - 31 km WSW of Malango, Solomon Islands</t>
        </is>
      </c>
      <c r="B633" s="33" t="n">
        <v>6.5</v>
      </c>
      <c r="C633" s="33" t="inlineStr">
        <is>
          <t>16/08/2007 08:39</t>
        </is>
      </c>
      <c r="D633" s="33" t="n">
        <v>5</v>
      </c>
      <c r="E633" s="33" t="n">
        <v>6</v>
      </c>
      <c r="G633" s="33" t="n">
        <v>0</v>
      </c>
      <c r="H633" s="33" t="n">
        <v>675</v>
      </c>
      <c r="I633" s="33" t="inlineStr">
        <is>
          <t>us</t>
        </is>
      </c>
      <c r="J633" s="33" t="n">
        <v>382</v>
      </c>
      <c r="K633" s="33" t="n">
        <v>0</v>
      </c>
      <c r="L633" s="33" t="n">
        <v>12.8</v>
      </c>
      <c r="M633" s="33" t="inlineStr">
        <is>
          <t>mwc</t>
        </is>
      </c>
      <c r="N633" s="33" t="n">
        <v>15</v>
      </c>
      <c r="O633" s="33" t="n">
        <v>-9.834</v>
      </c>
      <c r="P633" s="33" t="n">
        <v>159.465</v>
      </c>
      <c r="Q633" s="33" t="inlineStr">
        <is>
          <t>Malango, Solomon Islands</t>
        </is>
      </c>
      <c r="T633" s="36">
        <f>DATE(MID(C633,7,4),MID(C633,4,2),MID(C633,1,2))+TIME(MID(C633,12,2),MID(C633,15,2),0)</f>
        <v/>
      </c>
      <c r="U633" s="33">
        <f>IF(ISNUMBER(VALUE(MID(A633,7,1))),"Distance-prefix pattern","Named-region pattern")</f>
        <v/>
      </c>
      <c r="V633" s="33">
        <f>LOWER(M633)</f>
        <v/>
      </c>
      <c r="W633" s="33">
        <f>IF(COUNTIFS($A$2:$A$1001,A633,$C$2:$C$1001,C633)&gt;1,"Duplicate","Unique")</f>
        <v/>
      </c>
      <c r="X633" s="33">
        <f>YEAR(T633)</f>
        <v/>
      </c>
      <c r="Y633" s="33">
        <f>IF(B633&lt;6.5,"&lt;6.5",IF(B633&lt;7,"6.5–6.9",IF(B633&lt;7.5,"7.0–7.4",IF(B633&lt;8,"7.5–7.9","8.0+"))))</f>
        <v/>
      </c>
      <c r="Z633" s="33">
        <f>IF(F633="","Blank",F633)</f>
        <v/>
      </c>
    </row>
    <row r="634" ht="15" customHeight="1" s="34">
      <c r="A634" s="33" t="inlineStr">
        <is>
          <t>M 8.0 - 41 km SW of San Vicente de Cañete, Peru</t>
        </is>
      </c>
      <c r="B634" s="33" t="n">
        <v>8</v>
      </c>
      <c r="C634" s="33" t="inlineStr">
        <is>
          <t>15/08/2007 23:40</t>
        </is>
      </c>
      <c r="D634" s="33" t="n">
        <v>9</v>
      </c>
      <c r="E634" s="33" t="n">
        <v>8</v>
      </c>
      <c r="G634" s="33" t="n">
        <v>0</v>
      </c>
      <c r="H634" s="33" t="n">
        <v>1385</v>
      </c>
      <c r="I634" s="33" t="inlineStr">
        <is>
          <t>us</t>
        </is>
      </c>
      <c r="J634" s="33" t="n">
        <v>625</v>
      </c>
      <c r="K634" s="33" t="n">
        <v>0</v>
      </c>
      <c r="L634" s="33" t="n">
        <v>25.7</v>
      </c>
      <c r="M634" s="33" t="inlineStr">
        <is>
          <t>mwc</t>
        </is>
      </c>
      <c r="N634" s="33" t="n">
        <v>39</v>
      </c>
      <c r="O634" s="33" t="n">
        <v>-13.386</v>
      </c>
      <c r="P634" s="33" t="n">
        <v>-76.60299999999999</v>
      </c>
      <c r="Q634" s="33" t="inlineStr">
        <is>
          <t>San Vicente de Cañete, Peru</t>
        </is>
      </c>
      <c r="S634" s="33" t="inlineStr">
        <is>
          <t>Peru</t>
        </is>
      </c>
      <c r="T634" s="36">
        <f>DATE(MID(C634,7,4),MID(C634,4,2),MID(C634,1,2))+TIME(MID(C634,12,2),MID(C634,15,2),0)</f>
        <v/>
      </c>
      <c r="U634" s="33">
        <f>IF(ISNUMBER(VALUE(MID(A634,7,1))),"Distance-prefix pattern","Named-region pattern")</f>
        <v/>
      </c>
      <c r="V634" s="33">
        <f>LOWER(M634)</f>
        <v/>
      </c>
      <c r="W634" s="33">
        <f>IF(COUNTIFS($A$2:$A$1001,A634,$C$2:$C$1001,C634)&gt;1,"Duplicate","Unique")</f>
        <v/>
      </c>
      <c r="X634" s="33">
        <f>YEAR(T634)</f>
        <v/>
      </c>
      <c r="Y634" s="33">
        <f>IF(B634&lt;6.5,"&lt;6.5",IF(B634&lt;7,"6.5–6.9",IF(B634&lt;7.5,"7.0–7.4",IF(B634&lt;8,"7.5–7.9","8.0+"))))</f>
        <v/>
      </c>
      <c r="Z634" s="33">
        <f>IF(F634="","Blank",F634)</f>
        <v/>
      </c>
    </row>
    <row r="635" ht="15" customHeight="1" s="34">
      <c r="A635" s="33" t="inlineStr">
        <is>
          <t>M 7.5 - 35 km NNE of Rengasdengklok, Indonesia</t>
        </is>
      </c>
      <c r="B635" s="33" t="n">
        <v>7.5</v>
      </c>
      <c r="C635" s="33" t="inlineStr">
        <is>
          <t>08/08/2007 17:05</t>
        </is>
      </c>
      <c r="D635" s="33" t="n">
        <v>0</v>
      </c>
      <c r="E635" s="33" t="n">
        <v>5</v>
      </c>
      <c r="G635" s="33" t="n">
        <v>0</v>
      </c>
      <c r="H635" s="33" t="n">
        <v>865</v>
      </c>
      <c r="I635" s="33" t="inlineStr">
        <is>
          <t>us</t>
        </is>
      </c>
      <c r="J635" s="33" t="n">
        <v>228</v>
      </c>
      <c r="K635" s="33" t="n">
        <v>0</v>
      </c>
      <c r="L635" s="33" t="n">
        <v>30.7</v>
      </c>
      <c r="M635" s="33" t="inlineStr">
        <is>
          <t>mwc</t>
        </is>
      </c>
      <c r="N635" s="33" t="n">
        <v>280</v>
      </c>
      <c r="O635" s="33" t="n">
        <v>-5.859</v>
      </c>
      <c r="P635" s="33" t="n">
        <v>107.419</v>
      </c>
      <c r="Q635" s="33" t="inlineStr">
        <is>
          <t>Rengasdengklok, Indonesia</t>
        </is>
      </c>
      <c r="S635" s="33" t="inlineStr">
        <is>
          <t>Indonesia</t>
        </is>
      </c>
      <c r="T635" s="36">
        <f>DATE(MID(C635,7,4),MID(C635,4,2),MID(C635,1,2))+TIME(MID(C635,12,2),MID(C635,15,2),0)</f>
        <v/>
      </c>
      <c r="U635" s="33">
        <f>IF(ISNUMBER(VALUE(MID(A635,7,1))),"Distance-prefix pattern","Named-region pattern")</f>
        <v/>
      </c>
      <c r="V635" s="33">
        <f>LOWER(M635)</f>
        <v/>
      </c>
      <c r="W635" s="33">
        <f>IF(COUNTIFS($A$2:$A$1001,A635,$C$2:$C$1001,C635)&gt;1,"Duplicate","Unique")</f>
        <v/>
      </c>
      <c r="X635" s="33">
        <f>YEAR(T635)</f>
        <v/>
      </c>
      <c r="Y635" s="33">
        <f>IF(B635&lt;6.5,"&lt;6.5",IF(B635&lt;7,"6.5–6.9",IF(B635&lt;7.5,"7.0–7.4",IF(B635&lt;8,"7.5–7.9","8.0+"))))</f>
        <v/>
      </c>
      <c r="Z635" s="33">
        <f>IF(F635="","Blank",F635)</f>
        <v/>
      </c>
    </row>
    <row r="636" ht="15" customHeight="1" s="34">
      <c r="A636" s="33" t="inlineStr">
        <is>
          <t>M 7.2 - 56 km E of Luganville, Vanuatu</t>
        </is>
      </c>
      <c r="B636" s="33" t="n">
        <v>7.2</v>
      </c>
      <c r="C636" s="33" t="inlineStr">
        <is>
          <t>01/08/2007 17:08</t>
        </is>
      </c>
      <c r="D636" s="33" t="n">
        <v>7</v>
      </c>
      <c r="E636" s="33" t="n">
        <v>7</v>
      </c>
      <c r="G636" s="33" t="n">
        <v>0</v>
      </c>
      <c r="H636" s="33" t="n">
        <v>803</v>
      </c>
      <c r="I636" s="33" t="inlineStr">
        <is>
          <t>us</t>
        </is>
      </c>
      <c r="J636" s="33" t="n">
        <v>494</v>
      </c>
      <c r="K636" s="33" t="n">
        <v>0</v>
      </c>
      <c r="L636" s="33" t="n">
        <v>20.4</v>
      </c>
      <c r="M636" s="33" t="inlineStr">
        <is>
          <t>mwb</t>
        </is>
      </c>
      <c r="N636" s="33" t="n">
        <v>120</v>
      </c>
      <c r="O636" s="33" t="n">
        <v>-15.595</v>
      </c>
      <c r="P636" s="33" t="n">
        <v>167.68</v>
      </c>
      <c r="Q636" s="33" t="inlineStr">
        <is>
          <t>Luganville, Vanuatu</t>
        </is>
      </c>
      <c r="S636" s="33" t="inlineStr">
        <is>
          <t>Vanuatu</t>
        </is>
      </c>
      <c r="T636" s="36">
        <f>DATE(MID(C636,7,4),MID(C636,4,2),MID(C636,1,2))+TIME(MID(C636,12,2),MID(C636,15,2),0)</f>
        <v/>
      </c>
      <c r="U636" s="33">
        <f>IF(ISNUMBER(VALUE(MID(A636,7,1))),"Distance-prefix pattern","Named-region pattern")</f>
        <v/>
      </c>
      <c r="V636" s="33">
        <f>LOWER(M636)</f>
        <v/>
      </c>
      <c r="W636" s="33">
        <f>IF(COUNTIFS($A$2:$A$1001,A636,$C$2:$C$1001,C636)&gt;1,"Duplicate","Unique")</f>
        <v/>
      </c>
      <c r="X636" s="33">
        <f>YEAR(T636)</f>
        <v/>
      </c>
      <c r="Y636" s="33">
        <f>IF(B636&lt;6.5,"&lt;6.5",IF(B636&lt;7,"6.5–6.9",IF(B636&lt;7.5,"7.0–7.4",IF(B636&lt;8,"7.5–7.9","8.0+"))))</f>
        <v/>
      </c>
      <c r="Z636" s="33">
        <f>IF(F636="","Blank",F636)</f>
        <v/>
      </c>
    </row>
    <row r="637" ht="15" customHeight="1" s="34">
      <c r="A637" s="33" t="inlineStr">
        <is>
          <t>M 6.9 - 140 km NNW of Tobelo, Indonesia</t>
        </is>
      </c>
      <c r="B637" s="33" t="n">
        <v>6.9</v>
      </c>
      <c r="C637" s="33" t="inlineStr">
        <is>
          <t>26/07/2007 05:40</t>
        </is>
      </c>
      <c r="D637" s="33" t="n">
        <v>3</v>
      </c>
      <c r="E637" s="33" t="n">
        <v>5</v>
      </c>
      <c r="G637" s="33" t="n">
        <v>0</v>
      </c>
      <c r="H637" s="33" t="n">
        <v>734</v>
      </c>
      <c r="I637" s="33" t="inlineStr">
        <is>
          <t>us</t>
        </is>
      </c>
      <c r="J637" s="33" t="n">
        <v>374</v>
      </c>
      <c r="K637" s="33" t="n">
        <v>0</v>
      </c>
      <c r="L637" s="33" t="n">
        <v>24.1</v>
      </c>
      <c r="M637" s="33" t="inlineStr">
        <is>
          <t>mwb</t>
        </is>
      </c>
      <c r="N637" s="33" t="n">
        <v>25</v>
      </c>
      <c r="O637" s="33" t="n">
        <v>2.872</v>
      </c>
      <c r="P637" s="33" t="n">
        <v>127.464</v>
      </c>
      <c r="Q637" s="33" t="inlineStr">
        <is>
          <t>Tobelo, Indonesia</t>
        </is>
      </c>
      <c r="S637" s="33" t="inlineStr">
        <is>
          <t>Indonesia</t>
        </is>
      </c>
      <c r="T637" s="36">
        <f>DATE(MID(C637,7,4),MID(C637,4,2),MID(C637,1,2))+TIME(MID(C637,12,2),MID(C637,15,2),0)</f>
        <v/>
      </c>
      <c r="U637" s="33">
        <f>IF(ISNUMBER(VALUE(MID(A637,7,1))),"Distance-prefix pattern","Named-region pattern")</f>
        <v/>
      </c>
      <c r="V637" s="33">
        <f>LOWER(M637)</f>
        <v/>
      </c>
      <c r="W637" s="33">
        <f>IF(COUNTIFS($A$2:$A$1001,A637,$C$2:$C$1001,C637)&gt;1,"Duplicate","Unique")</f>
        <v/>
      </c>
      <c r="X637" s="33">
        <f>YEAR(T637)</f>
        <v/>
      </c>
      <c r="Y637" s="33">
        <f>IF(B637&lt;6.5,"&lt;6.5",IF(B637&lt;7,"6.5–6.9",IF(B637&lt;7.5,"7.0–7.4",IF(B637&lt;8,"7.5–7.9","8.0+"))))</f>
        <v/>
      </c>
      <c r="Z637" s="33">
        <f>IF(F637="","Blank",F637)</f>
        <v/>
      </c>
    </row>
    <row r="638" ht="15" customHeight="1" s="34">
      <c r="A638" s="33" t="inlineStr">
        <is>
          <t>M 6.8 - 133 km WNW of Mikuni, Japan</t>
        </is>
      </c>
      <c r="B638" s="33" t="n">
        <v>6.8</v>
      </c>
      <c r="C638" s="33" t="inlineStr">
        <is>
          <t>16/07/2007 14:17</t>
        </is>
      </c>
      <c r="D638" s="33" t="n">
        <v>5</v>
      </c>
      <c r="E638" s="33" t="n">
        <v>4</v>
      </c>
      <c r="G638" s="33" t="n">
        <v>0</v>
      </c>
      <c r="H638" s="33" t="n">
        <v>779</v>
      </c>
      <c r="I638" s="33" t="inlineStr">
        <is>
          <t>us</t>
        </is>
      </c>
      <c r="J638" s="33" t="n">
        <v>664</v>
      </c>
      <c r="K638" s="33" t="n">
        <v>0</v>
      </c>
      <c r="L638" s="33" t="n">
        <v>18.2</v>
      </c>
      <c r="M638" s="33" t="inlineStr">
        <is>
          <t>mwb</t>
        </is>
      </c>
      <c r="N638" s="33" t="n">
        <v>350.4</v>
      </c>
      <c r="O638" s="33" t="n">
        <v>36.808</v>
      </c>
      <c r="P638" s="33" t="n">
        <v>134.85</v>
      </c>
      <c r="Q638" s="33" t="inlineStr">
        <is>
          <t>Mikuni, Japan</t>
        </is>
      </c>
      <c r="T638" s="36">
        <f>DATE(MID(C638,7,4),MID(C638,4,2),MID(C638,1,2))+TIME(MID(C638,12,2),MID(C638,15,2),0)</f>
        <v/>
      </c>
      <c r="U638" s="33">
        <f>IF(ISNUMBER(VALUE(MID(A638,7,1))),"Distance-prefix pattern","Named-region pattern")</f>
        <v/>
      </c>
      <c r="V638" s="33">
        <f>LOWER(M638)</f>
        <v/>
      </c>
      <c r="W638" s="33">
        <f>IF(COUNTIFS($A$2:$A$1001,A638,$C$2:$C$1001,C638)&gt;1,"Duplicate","Unique")</f>
        <v/>
      </c>
      <c r="X638" s="33">
        <f>YEAR(T638)</f>
        <v/>
      </c>
      <c r="Y638" s="33">
        <f>IF(B638&lt;6.5,"&lt;6.5",IF(B638&lt;7,"6.5–6.9",IF(B638&lt;7.5,"7.0–7.4",IF(B638&lt;8,"7.5–7.9","8.0+"))))</f>
        <v/>
      </c>
      <c r="Z638" s="33">
        <f>IF(F638="","Blank",F638)</f>
        <v/>
      </c>
    </row>
    <row r="639" ht="15" customHeight="1" s="34">
      <c r="A639" s="33" t="inlineStr">
        <is>
          <t>M 6.6 - 20 km NNW of Kashiwazaki, Japan</t>
        </is>
      </c>
      <c r="B639" s="33" t="n">
        <v>6.6</v>
      </c>
      <c r="C639" s="33" t="inlineStr">
        <is>
          <t>16/07/2007 01:13</t>
        </is>
      </c>
      <c r="D639" s="33" t="n">
        <v>8</v>
      </c>
      <c r="E639" s="33" t="n">
        <v>8</v>
      </c>
      <c r="G639" s="33" t="n">
        <v>0</v>
      </c>
      <c r="H639" s="33" t="n">
        <v>831</v>
      </c>
      <c r="I639" s="33" t="inlineStr">
        <is>
          <t>us</t>
        </is>
      </c>
      <c r="J639" s="33" t="n">
        <v>782</v>
      </c>
      <c r="K639" s="33" t="n">
        <v>0</v>
      </c>
      <c r="L639" s="33" t="n">
        <v>16.7</v>
      </c>
      <c r="M639" s="33" t="inlineStr">
        <is>
          <t>mwc</t>
        </is>
      </c>
      <c r="N639" s="33" t="n">
        <v>12</v>
      </c>
      <c r="O639" s="33" t="n">
        <v>37.535</v>
      </c>
      <c r="P639" s="33" t="n">
        <v>138.446</v>
      </c>
      <c r="Q639" s="33" t="inlineStr">
        <is>
          <t>Kashiwazaki, Japan</t>
        </is>
      </c>
      <c r="R639" s="33" t="inlineStr">
        <is>
          <t>Asia</t>
        </is>
      </c>
      <c r="S639" s="33" t="inlineStr">
        <is>
          <t>Japan</t>
        </is>
      </c>
      <c r="T639" s="36">
        <f>DATE(MID(C639,7,4),MID(C639,4,2),MID(C639,1,2))+TIME(MID(C639,12,2),MID(C639,15,2),0)</f>
        <v/>
      </c>
      <c r="U639" s="33">
        <f>IF(ISNUMBER(VALUE(MID(A639,7,1))),"Distance-prefix pattern","Named-region pattern")</f>
        <v/>
      </c>
      <c r="V639" s="33">
        <f>LOWER(M639)</f>
        <v/>
      </c>
      <c r="W639" s="33">
        <f>IF(COUNTIFS($A$2:$A$1001,A639,$C$2:$C$1001,C639)&gt;1,"Duplicate","Unique")</f>
        <v/>
      </c>
      <c r="X639" s="33">
        <f>YEAR(T639)</f>
        <v/>
      </c>
      <c r="Y639" s="33">
        <f>IF(B639&lt;6.5,"&lt;6.5",IF(B639&lt;7,"6.5–6.9",IF(B639&lt;7.5,"7.0–7.4",IF(B639&lt;8,"7.5–7.9","8.0+"))))</f>
        <v/>
      </c>
      <c r="Z639" s="33">
        <f>IF(F639="","Blank",F639)</f>
        <v/>
      </c>
    </row>
    <row r="640" ht="15" customHeight="1" s="34">
      <c r="A640" s="33" t="inlineStr">
        <is>
          <t>M 6.7 - 43 km SSE of Iztapa, Guatemala</t>
        </is>
      </c>
      <c r="B640" s="33" t="n">
        <v>6.7</v>
      </c>
      <c r="C640" s="33" t="inlineStr">
        <is>
          <t>13/06/2007 19:29</t>
        </is>
      </c>
      <c r="D640" s="33" t="n">
        <v>6</v>
      </c>
      <c r="E640" s="33" t="n">
        <v>6</v>
      </c>
      <c r="G640" s="33" t="n">
        <v>0</v>
      </c>
      <c r="H640" s="33" t="n">
        <v>972</v>
      </c>
      <c r="I640" s="33" t="inlineStr">
        <is>
          <t>us</t>
        </is>
      </c>
      <c r="J640" s="33" t="n">
        <v>468</v>
      </c>
      <c r="K640" s="33" t="n">
        <v>0</v>
      </c>
      <c r="L640" s="33" t="n">
        <v>37.7</v>
      </c>
      <c r="M640" s="33" t="inlineStr">
        <is>
          <t>mwc</t>
        </is>
      </c>
      <c r="N640" s="33" t="n">
        <v>23</v>
      </c>
      <c r="O640" s="33" t="n">
        <v>13.554</v>
      </c>
      <c r="P640" s="33" t="n">
        <v>-90.61799999999999</v>
      </c>
      <c r="Q640" s="33" t="inlineStr">
        <is>
          <t>Iztapa, Guatemala</t>
        </is>
      </c>
      <c r="T640" s="36">
        <f>DATE(MID(C640,7,4),MID(C640,4,2),MID(C640,1,2))+TIME(MID(C640,12,2),MID(C640,15,2),0)</f>
        <v/>
      </c>
      <c r="U640" s="33">
        <f>IF(ISNUMBER(VALUE(MID(A640,7,1))),"Distance-prefix pattern","Named-region pattern")</f>
        <v/>
      </c>
      <c r="V640" s="33">
        <f>LOWER(M640)</f>
        <v/>
      </c>
      <c r="W640" s="33">
        <f>IF(COUNTIFS($A$2:$A$1001,A640,$C$2:$C$1001,C640)&gt;1,"Duplicate","Unique")</f>
        <v/>
      </c>
      <c r="X640" s="33">
        <f>YEAR(T640)</f>
        <v/>
      </c>
      <c r="Y640" s="33">
        <f>IF(B640&lt;6.5,"&lt;6.5",IF(B640&lt;7,"6.5–6.9",IF(B640&lt;7.5,"7.0–7.4",IF(B640&lt;8,"7.5–7.9","8.0+"))))</f>
        <v/>
      </c>
      <c r="Z640" s="33">
        <f>IF(F640="","Blank",F640)</f>
        <v/>
      </c>
    </row>
    <row r="641" ht="15" customHeight="1" s="34">
      <c r="A641" s="33" t="inlineStr">
        <is>
          <t>M 6.9 - 113 km SSE of Panguna, Papua New Guinea</t>
        </is>
      </c>
      <c r="B641" s="33" t="n">
        <v>6.9</v>
      </c>
      <c r="C641" s="33" t="inlineStr">
        <is>
          <t>01/04/2007 21:11</t>
        </is>
      </c>
      <c r="D641" s="33" t="n">
        <v>0</v>
      </c>
      <c r="E641" s="33" t="n">
        <v>7</v>
      </c>
      <c r="G641" s="33" t="n">
        <v>0</v>
      </c>
      <c r="H641" s="33" t="n">
        <v>732</v>
      </c>
      <c r="I641" s="33" t="inlineStr">
        <is>
          <t>us</t>
        </is>
      </c>
      <c r="J641" s="33" t="n">
        <v>305</v>
      </c>
      <c r="K641" s="33" t="n">
        <v>0</v>
      </c>
      <c r="L641" s="33" t="n">
        <v>15.3</v>
      </c>
      <c r="M641" s="33" t="inlineStr">
        <is>
          <t>mwc</t>
        </is>
      </c>
      <c r="N641" s="33" t="n">
        <v>10</v>
      </c>
      <c r="O641" s="33" t="n">
        <v>-7.306</v>
      </c>
      <c r="P641" s="33" t="n">
        <v>155.741</v>
      </c>
      <c r="Q641" s="33" t="inlineStr">
        <is>
          <t>Panguna, Papua New Guinea</t>
        </is>
      </c>
      <c r="S641" s="33" t="inlineStr">
        <is>
          <t>Solomon Islands</t>
        </is>
      </c>
      <c r="T641" s="36">
        <f>DATE(MID(C641,7,4),MID(C641,4,2),MID(C641,1,2))+TIME(MID(C641,12,2),MID(C641,15,2),0)</f>
        <v/>
      </c>
      <c r="U641" s="33">
        <f>IF(ISNUMBER(VALUE(MID(A641,7,1))),"Distance-prefix pattern","Named-region pattern")</f>
        <v/>
      </c>
      <c r="V641" s="33">
        <f>LOWER(M641)</f>
        <v/>
      </c>
      <c r="W641" s="33">
        <f>IF(COUNTIFS($A$2:$A$1001,A641,$C$2:$C$1001,C641)&gt;1,"Duplicate","Unique")</f>
        <v/>
      </c>
      <c r="X641" s="33">
        <f>YEAR(T641)</f>
        <v/>
      </c>
      <c r="Y641" s="33">
        <f>IF(B641&lt;6.5,"&lt;6.5",IF(B641&lt;7,"6.5–6.9",IF(B641&lt;7.5,"7.0–7.4",IF(B641&lt;8,"7.5–7.9","8.0+"))))</f>
        <v/>
      </c>
      <c r="Z641" s="33">
        <f>IF(F641="","Blank",F641)</f>
        <v/>
      </c>
    </row>
    <row r="642" ht="15" customHeight="1" s="34">
      <c r="A642" s="33" t="inlineStr">
        <is>
          <t>M 6.6 - 99 km SSE of Panguna, Papua New Guinea</t>
        </is>
      </c>
      <c r="B642" s="33" t="n">
        <v>6.6</v>
      </c>
      <c r="C642" s="33" t="inlineStr">
        <is>
          <t>01/04/2007 20:47</t>
        </is>
      </c>
      <c r="D642" s="33" t="n">
        <v>0</v>
      </c>
      <c r="E642" s="33" t="n">
        <v>7</v>
      </c>
      <c r="G642" s="33" t="n">
        <v>0</v>
      </c>
      <c r="H642" s="33" t="n">
        <v>670</v>
      </c>
      <c r="I642" s="33" t="inlineStr">
        <is>
          <t>us</t>
        </is>
      </c>
      <c r="J642" s="33" t="n">
        <v>251</v>
      </c>
      <c r="K642" s="33" t="n">
        <v>0</v>
      </c>
      <c r="L642" s="33" t="n">
        <v>16</v>
      </c>
      <c r="M642" s="33" t="inlineStr">
        <is>
          <t>mb</t>
        </is>
      </c>
      <c r="N642" s="33" t="n">
        <v>10</v>
      </c>
      <c r="O642" s="33" t="n">
        <v>-7.169</v>
      </c>
      <c r="P642" s="33" t="n">
        <v>155.777</v>
      </c>
      <c r="Q642" s="33" t="inlineStr">
        <is>
          <t>Panguna, Papua New Guinea</t>
        </is>
      </c>
      <c r="S642" s="33" t="inlineStr">
        <is>
          <t>Solomon Islands</t>
        </is>
      </c>
      <c r="T642" s="36">
        <f>DATE(MID(C642,7,4),MID(C642,4,2),MID(C642,1,2))+TIME(MID(C642,12,2),MID(C642,15,2),0)</f>
        <v/>
      </c>
      <c r="U642" s="33">
        <f>IF(ISNUMBER(VALUE(MID(A642,7,1))),"Distance-prefix pattern","Named-region pattern")</f>
        <v/>
      </c>
      <c r="V642" s="33">
        <f>LOWER(M642)</f>
        <v/>
      </c>
      <c r="W642" s="33">
        <f>IF(COUNTIFS($A$2:$A$1001,A642,$C$2:$C$1001,C642)&gt;1,"Duplicate","Unique")</f>
        <v/>
      </c>
      <c r="X642" s="33">
        <f>YEAR(T642)</f>
        <v/>
      </c>
      <c r="Y642" s="33">
        <f>IF(B642&lt;6.5,"&lt;6.5",IF(B642&lt;7,"6.5–6.9",IF(B642&lt;7.5,"7.0–7.4",IF(B642&lt;8,"7.5–7.9","8.0+"))))</f>
        <v/>
      </c>
      <c r="Z642" s="33">
        <f>IF(F642="","Blank",F642)</f>
        <v/>
      </c>
    </row>
    <row r="643" ht="15" customHeight="1" s="34">
      <c r="A643" s="33" t="inlineStr">
        <is>
          <t>M 8.1 - 45 km SSE of Gizo, Solomon Islands</t>
        </is>
      </c>
      <c r="B643" s="33" t="n">
        <v>8.1</v>
      </c>
      <c r="C643" s="33" t="inlineStr">
        <is>
          <t>01/04/2007 20:39</t>
        </is>
      </c>
      <c r="D643" s="33" t="n">
        <v>9</v>
      </c>
      <c r="E643" s="33" t="n">
        <v>8</v>
      </c>
      <c r="G643" s="33" t="n">
        <v>0</v>
      </c>
      <c r="H643" s="33" t="n">
        <v>1025</v>
      </c>
      <c r="I643" s="33" t="inlineStr">
        <is>
          <t>us</t>
        </is>
      </c>
      <c r="J643" s="33" t="n">
        <v>439</v>
      </c>
      <c r="K643" s="33" t="n">
        <v>0</v>
      </c>
      <c r="L643" s="33" t="n">
        <v>14.7</v>
      </c>
      <c r="M643" s="33" t="inlineStr">
        <is>
          <t>mwc</t>
        </is>
      </c>
      <c r="N643" s="33" t="n">
        <v>24</v>
      </c>
      <c r="O643" s="33" t="n">
        <v>-8.465999999999999</v>
      </c>
      <c r="P643" s="33" t="n">
        <v>157.043</v>
      </c>
      <c r="Q643" s="33" t="inlineStr">
        <is>
          <t>Gizo, Solomon Islands</t>
        </is>
      </c>
      <c r="S643" s="33" t="inlineStr">
        <is>
          <t>Solomon Islands</t>
        </is>
      </c>
      <c r="T643" s="36">
        <f>DATE(MID(C643,7,4),MID(C643,4,2),MID(C643,1,2))+TIME(MID(C643,12,2),MID(C643,15,2),0)</f>
        <v/>
      </c>
      <c r="U643" s="33">
        <f>IF(ISNUMBER(VALUE(MID(A643,7,1))),"Distance-prefix pattern","Named-region pattern")</f>
        <v/>
      </c>
      <c r="V643" s="33">
        <f>LOWER(M643)</f>
        <v/>
      </c>
      <c r="W643" s="33">
        <f>IF(COUNTIFS($A$2:$A$1001,A643,$C$2:$C$1001,C643)&gt;1,"Duplicate","Unique")</f>
        <v/>
      </c>
      <c r="X643" s="33">
        <f>YEAR(T643)</f>
        <v/>
      </c>
      <c r="Y643" s="33">
        <f>IF(B643&lt;6.5,"&lt;6.5",IF(B643&lt;7,"6.5–6.9",IF(B643&lt;7.5,"7.0–7.4",IF(B643&lt;8,"7.5–7.9","8.0+"))))</f>
        <v/>
      </c>
      <c r="Z643" s="33">
        <f>IF(F643="","Blank",F643)</f>
        <v/>
      </c>
    </row>
    <row r="644" ht="15" customHeight="1" s="34">
      <c r="A644" s="33" t="inlineStr">
        <is>
          <t>M 6.7 - 46 km NW of Nanao, Japan</t>
        </is>
      </c>
      <c r="B644" s="33" t="n">
        <v>6.7</v>
      </c>
      <c r="C644" s="33" t="inlineStr">
        <is>
          <t>25/03/2007 00:41</t>
        </is>
      </c>
      <c r="D644" s="33" t="n">
        <v>7</v>
      </c>
      <c r="E644" s="33" t="n">
        <v>8</v>
      </c>
      <c r="G644" s="33" t="n">
        <v>0</v>
      </c>
      <c r="H644" s="33" t="n">
        <v>782</v>
      </c>
      <c r="I644" s="33" t="inlineStr">
        <is>
          <t>us</t>
        </is>
      </c>
      <c r="J644" s="33" t="n">
        <v>493</v>
      </c>
      <c r="K644" s="33" t="n">
        <v>0</v>
      </c>
      <c r="L644" s="33" t="n">
        <v>23.9</v>
      </c>
      <c r="M644" s="33" t="inlineStr">
        <is>
          <t>mwc</t>
        </is>
      </c>
      <c r="N644" s="33" t="n">
        <v>8</v>
      </c>
      <c r="O644" s="33" t="n">
        <v>37.336</v>
      </c>
      <c r="P644" s="33" t="n">
        <v>136.588</v>
      </c>
      <c r="Q644" s="33" t="inlineStr">
        <is>
          <t>Nanao, Japan</t>
        </is>
      </c>
      <c r="R644" s="33" t="inlineStr">
        <is>
          <t>Asia</t>
        </is>
      </c>
      <c r="S644" s="33" t="inlineStr">
        <is>
          <t>Japan</t>
        </is>
      </c>
      <c r="T644" s="36">
        <f>DATE(MID(C644,7,4),MID(C644,4,2),MID(C644,1,2))+TIME(MID(C644,12,2),MID(C644,15,2),0)</f>
        <v/>
      </c>
      <c r="U644" s="33">
        <f>IF(ISNUMBER(VALUE(MID(A644,7,1))),"Distance-prefix pattern","Named-region pattern")</f>
        <v/>
      </c>
      <c r="V644" s="33">
        <f>LOWER(M644)</f>
        <v/>
      </c>
      <c r="W644" s="33">
        <f>IF(COUNTIFS($A$2:$A$1001,A644,$C$2:$C$1001,C644)&gt;1,"Duplicate","Unique")</f>
        <v/>
      </c>
      <c r="X644" s="33">
        <f>YEAR(T644)</f>
        <v/>
      </c>
      <c r="Y644" s="33">
        <f>IF(B644&lt;6.5,"&lt;6.5",IF(B644&lt;7,"6.5–6.9",IF(B644&lt;7.5,"7.0–7.4",IF(B644&lt;8,"7.5–7.9","8.0+"))))</f>
        <v/>
      </c>
      <c r="Z644" s="33">
        <f>IF(F644="","Blank",F644)</f>
        <v/>
      </c>
    </row>
    <row r="645" ht="15" customHeight="1" s="34">
      <c r="A645" s="33" t="inlineStr">
        <is>
          <t>M 7.1 - 119 km S of Isangel, Vanuatu</t>
        </is>
      </c>
      <c r="B645" s="33" t="n">
        <v>7.1</v>
      </c>
      <c r="C645" s="33" t="inlineStr">
        <is>
          <t>25/03/2007 00:40</t>
        </is>
      </c>
      <c r="D645" s="33" t="n">
        <v>3</v>
      </c>
      <c r="E645" s="33" t="n">
        <v>6</v>
      </c>
      <c r="G645" s="33" t="n">
        <v>0</v>
      </c>
      <c r="H645" s="33" t="n">
        <v>779</v>
      </c>
      <c r="I645" s="33" t="inlineStr">
        <is>
          <t>us</t>
        </is>
      </c>
      <c r="J645" s="33" t="n">
        <v>426</v>
      </c>
      <c r="K645" s="33" t="n">
        <v>0</v>
      </c>
      <c r="L645" s="33" t="n">
        <v>25.3</v>
      </c>
      <c r="M645" s="33" t="inlineStr">
        <is>
          <t>mwb</t>
        </is>
      </c>
      <c r="N645" s="33" t="n">
        <v>34</v>
      </c>
      <c r="O645" s="33" t="n">
        <v>-20.617</v>
      </c>
      <c r="P645" s="33" t="n">
        <v>169.357</v>
      </c>
      <c r="Q645" s="33" t="inlineStr">
        <is>
          <t>Isangel, Vanuatu</t>
        </is>
      </c>
      <c r="T645" s="36">
        <f>DATE(MID(C645,7,4),MID(C645,4,2),MID(C645,1,2))+TIME(MID(C645,12,2),MID(C645,15,2),0)</f>
        <v/>
      </c>
      <c r="U645" s="33">
        <f>IF(ISNUMBER(VALUE(MID(A645,7,1))),"Distance-prefix pattern","Named-region pattern")</f>
        <v/>
      </c>
      <c r="V645" s="33">
        <f>LOWER(M645)</f>
        <v/>
      </c>
      <c r="W645" s="33">
        <f>IF(COUNTIFS($A$2:$A$1001,A645,$C$2:$C$1001,C645)&gt;1,"Duplicate","Unique")</f>
        <v/>
      </c>
      <c r="X645" s="33">
        <f>YEAR(T645)</f>
        <v/>
      </c>
      <c r="Y645" s="33">
        <f>IF(B645&lt;6.5,"&lt;6.5",IF(B645&lt;7,"6.5–6.9",IF(B645&lt;7.5,"7.0–7.4",IF(B645&lt;8,"7.5–7.9","8.0+"))))</f>
        <v/>
      </c>
      <c r="Z645" s="33">
        <f>IF(F645="","Blank",F645)</f>
        <v/>
      </c>
    </row>
    <row r="646" ht="15" customHeight="1" s="34">
      <c r="A646" s="33" t="inlineStr">
        <is>
          <t>M 6.7 - 206 km SSW of Sofifi, Indonesia</t>
        </is>
      </c>
      <c r="B646" s="33" t="n">
        <v>6.7</v>
      </c>
      <c r="C646" s="33" t="inlineStr">
        <is>
          <t>20/02/2007 08:04</t>
        </is>
      </c>
      <c r="D646" s="33" t="n">
        <v>0</v>
      </c>
      <c r="E646" s="33" t="n">
        <v>6</v>
      </c>
      <c r="G646" s="33" t="n">
        <v>0</v>
      </c>
      <c r="H646" s="33" t="n">
        <v>691</v>
      </c>
      <c r="I646" s="33" t="inlineStr">
        <is>
          <t>us</t>
        </is>
      </c>
      <c r="J646" s="33" t="n">
        <v>253</v>
      </c>
      <c r="K646" s="33" t="n">
        <v>0</v>
      </c>
      <c r="L646" s="33" t="n">
        <v>40.3</v>
      </c>
      <c r="M646" s="33" t="inlineStr">
        <is>
          <t>mwc</t>
        </is>
      </c>
      <c r="N646" s="33" t="n">
        <v>12</v>
      </c>
      <c r="O646" s="33" t="n">
        <v>-1.034</v>
      </c>
      <c r="P646" s="33" t="n">
        <v>126.976</v>
      </c>
      <c r="Q646" s="33" t="inlineStr">
        <is>
          <t>S</t>
        </is>
      </c>
      <c r="S646" s="33" t="inlineStr">
        <is>
          <t>Indonesia</t>
        </is>
      </c>
      <c r="T646" s="36">
        <f>DATE(MID(C646,7,4),MID(C646,4,2),MID(C646,1,2))+TIME(MID(C646,12,2),MID(C646,15,2),0)</f>
        <v/>
      </c>
      <c r="U646" s="33">
        <f>IF(ISNUMBER(VALUE(MID(A646,7,1))),"Distance-prefix pattern","Named-region pattern")</f>
        <v/>
      </c>
      <c r="V646" s="33">
        <f>LOWER(M646)</f>
        <v/>
      </c>
      <c r="W646" s="33">
        <f>IF(COUNTIFS($A$2:$A$1001,A646,$C$2:$C$1001,C646)&gt;1,"Duplicate","Unique")</f>
        <v/>
      </c>
      <c r="X646" s="33">
        <f>YEAR(T646)</f>
        <v/>
      </c>
      <c r="Y646" s="33">
        <f>IF(B646&lt;6.5,"&lt;6.5",IF(B646&lt;7,"6.5–6.9",IF(B646&lt;7.5,"7.0–7.4",IF(B646&lt;8,"7.5–7.9","8.0+"))))</f>
        <v/>
      </c>
      <c r="Z646" s="33">
        <f>IF(F646="","Blank",F646)</f>
        <v/>
      </c>
    </row>
    <row r="647" ht="15" customHeight="1" s="34">
      <c r="A647" s="33" t="inlineStr">
        <is>
          <t>M 7.5 - 126 km WNW of Ternate, Indonesia</t>
        </is>
      </c>
      <c r="B647" s="33" t="n">
        <v>7.5</v>
      </c>
      <c r="C647" s="33" t="inlineStr">
        <is>
          <t>21/01/2007 11:27</t>
        </is>
      </c>
      <c r="D647" s="33" t="n">
        <v>6</v>
      </c>
      <c r="E647" s="33" t="n">
        <v>5</v>
      </c>
      <c r="G647" s="33" t="n">
        <v>0</v>
      </c>
      <c r="H647" s="33" t="n">
        <v>874</v>
      </c>
      <c r="I647" s="33" t="inlineStr">
        <is>
          <t>us</t>
        </is>
      </c>
      <c r="J647" s="33" t="n">
        <v>570</v>
      </c>
      <c r="K647" s="33" t="n">
        <v>0</v>
      </c>
      <c r="L647" s="33" t="n">
        <v>21.6</v>
      </c>
      <c r="M647" s="33" t="inlineStr">
        <is>
          <t>mwc</t>
        </is>
      </c>
      <c r="N647" s="33" t="n">
        <v>22</v>
      </c>
      <c r="O647" s="33" t="n">
        <v>1.065</v>
      </c>
      <c r="P647" s="33" t="n">
        <v>126.282</v>
      </c>
      <c r="Q647" s="33" t="inlineStr">
        <is>
          <t>Ternate, Indonesia</t>
        </is>
      </c>
      <c r="S647" s="33" t="inlineStr">
        <is>
          <t>Indonesia</t>
        </is>
      </c>
      <c r="T647" s="36">
        <f>DATE(MID(C647,7,4),MID(C647,4,2),MID(C647,1,2))+TIME(MID(C647,12,2),MID(C647,15,2),0)</f>
        <v/>
      </c>
      <c r="U647" s="33">
        <f>IF(ISNUMBER(VALUE(MID(A647,7,1))),"Distance-prefix pattern","Named-region pattern")</f>
        <v/>
      </c>
      <c r="V647" s="33">
        <f>LOWER(M647)</f>
        <v/>
      </c>
      <c r="W647" s="33">
        <f>IF(COUNTIFS($A$2:$A$1001,A647,$C$2:$C$1001,C647)&gt;1,"Duplicate","Unique")</f>
        <v/>
      </c>
      <c r="X647" s="33">
        <f>YEAR(T647)</f>
        <v/>
      </c>
      <c r="Y647" s="33">
        <f>IF(B647&lt;6.5,"&lt;6.5",IF(B647&lt;7,"6.5–6.9",IF(B647&lt;7.5,"7.0–7.4",IF(B647&lt;8,"7.5–7.9","8.0+"))))</f>
        <v/>
      </c>
      <c r="Z647" s="33">
        <f>IF(F647="","Blank",F647)</f>
        <v/>
      </c>
    </row>
    <row r="648" ht="15" customHeight="1" s="34">
      <c r="A648" s="33" t="inlineStr">
        <is>
          <t>M 8.1 - east of the Kuril Islands</t>
        </is>
      </c>
      <c r="B648" s="33" t="n">
        <v>8.1</v>
      </c>
      <c r="C648" s="33" t="inlineStr">
        <is>
          <t>13/01/2007 04:23</t>
        </is>
      </c>
      <c r="D648" s="33" t="n">
        <v>4</v>
      </c>
      <c r="E648" s="33" t="n">
        <v>5</v>
      </c>
      <c r="G648" s="33" t="n">
        <v>0</v>
      </c>
      <c r="H648" s="33" t="n">
        <v>1034</v>
      </c>
      <c r="I648" s="33" t="inlineStr">
        <is>
          <t>us</t>
        </is>
      </c>
      <c r="J648" s="33" t="n">
        <v>606</v>
      </c>
      <c r="K648" s="33" t="n">
        <v>0</v>
      </c>
      <c r="L648" s="33" t="n">
        <v>14</v>
      </c>
      <c r="M648" s="33" t="inlineStr">
        <is>
          <t>mwc</t>
        </is>
      </c>
      <c r="N648" s="33" t="n">
        <v>10</v>
      </c>
      <c r="O648" s="33" t="n">
        <v>46.243</v>
      </c>
      <c r="P648" s="33" t="n">
        <v>154.524</v>
      </c>
      <c r="Q648" s="33" t="inlineStr">
        <is>
          <t>the Kuril Islands</t>
        </is>
      </c>
      <c r="T648" s="36">
        <f>DATE(MID(C648,7,4),MID(C648,4,2),MID(C648,1,2))+TIME(MID(C648,12,2),MID(C648,15,2),0)</f>
        <v/>
      </c>
      <c r="U648" s="33">
        <f>IF(ISNUMBER(VALUE(MID(A648,7,1))),"Distance-prefix pattern","Named-region pattern")</f>
        <v/>
      </c>
      <c r="V648" s="33">
        <f>LOWER(M648)</f>
        <v/>
      </c>
      <c r="W648" s="33">
        <f>IF(COUNTIFS($A$2:$A$1001,A648,$C$2:$C$1001,C648)&gt;1,"Duplicate","Unique")</f>
        <v/>
      </c>
      <c r="X648" s="33">
        <f>YEAR(T648)</f>
        <v/>
      </c>
      <c r="Y648" s="33">
        <f>IF(B648&lt;6.5,"&lt;6.5",IF(B648&lt;7,"6.5–6.9",IF(B648&lt;7.5,"7.0–7.4",IF(B648&lt;8,"7.5–7.9","8.0+"))))</f>
        <v/>
      </c>
      <c r="Z648" s="33">
        <f>IF(F648="","Blank",F648)</f>
        <v/>
      </c>
    </row>
    <row r="649" ht="15" customHeight="1" s="34">
      <c r="A649" s="33" t="inlineStr">
        <is>
          <t>M 6.9 - 26 km W of Hengchun, Taiwan</t>
        </is>
      </c>
      <c r="B649" s="33" t="n">
        <v>6.9</v>
      </c>
      <c r="C649" s="33" t="inlineStr">
        <is>
          <t>26/12/2006 12:34</t>
        </is>
      </c>
      <c r="D649" s="33" t="n">
        <v>6</v>
      </c>
      <c r="E649" s="33" t="n">
        <v>7</v>
      </c>
      <c r="G649" s="33" t="n">
        <v>0</v>
      </c>
      <c r="H649" s="33" t="n">
        <v>798</v>
      </c>
      <c r="I649" s="33" t="inlineStr">
        <is>
          <t>us</t>
        </is>
      </c>
      <c r="J649" s="33" t="n">
        <v>466</v>
      </c>
      <c r="K649" s="33" t="n">
        <v>0</v>
      </c>
      <c r="L649" s="33" t="n">
        <v>31.6</v>
      </c>
      <c r="M649" s="33" t="inlineStr">
        <is>
          <t>mwc</t>
        </is>
      </c>
      <c r="N649" s="33" t="n">
        <v>10</v>
      </c>
      <c r="O649" s="33" t="n">
        <v>21.974</v>
      </c>
      <c r="P649" s="33" t="n">
        <v>120.493</v>
      </c>
      <c r="Q649" s="33" t="inlineStr">
        <is>
          <t>Hengchun, Taiwan</t>
        </is>
      </c>
      <c r="R649" s="33" t="inlineStr">
        <is>
          <t>Asia</t>
        </is>
      </c>
      <c r="S649" s="33" t="inlineStr">
        <is>
          <t>Taiwan</t>
        </is>
      </c>
      <c r="T649" s="36">
        <f>DATE(MID(C649,7,4),MID(C649,4,2),MID(C649,1,2))+TIME(MID(C649,12,2),MID(C649,15,2),0)</f>
        <v/>
      </c>
      <c r="U649" s="33">
        <f>IF(ISNUMBER(VALUE(MID(A649,7,1))),"Distance-prefix pattern","Named-region pattern")</f>
        <v/>
      </c>
      <c r="V649" s="33">
        <f>LOWER(M649)</f>
        <v/>
      </c>
      <c r="W649" s="33">
        <f>IF(COUNTIFS($A$2:$A$1001,A649,$C$2:$C$1001,C649)&gt;1,"Duplicate","Unique")</f>
        <v/>
      </c>
      <c r="X649" s="33">
        <f>YEAR(T649)</f>
        <v/>
      </c>
      <c r="Y649" s="33">
        <f>IF(B649&lt;6.5,"&lt;6.5",IF(B649&lt;7,"6.5–6.9",IF(B649&lt;7.5,"7.0–7.4",IF(B649&lt;8,"7.5–7.9","8.0+"))))</f>
        <v/>
      </c>
      <c r="Z649" s="33">
        <f>IF(F649="","Blank",F649)</f>
        <v/>
      </c>
    </row>
    <row r="650" ht="15" customHeight="1" s="34">
      <c r="A650" s="33" t="inlineStr">
        <is>
          <t>M 7.1 - 30 km SW of Hengchun, Taiwan</t>
        </is>
      </c>
      <c r="B650" s="33" t="n">
        <v>7.1</v>
      </c>
      <c r="C650" s="33" t="inlineStr">
        <is>
          <t>26/12/2006 12:26</t>
        </is>
      </c>
      <c r="D650" s="33" t="n">
        <v>8</v>
      </c>
      <c r="E650" s="33" t="n">
        <v>7</v>
      </c>
      <c r="G650" s="33" t="n">
        <v>0</v>
      </c>
      <c r="H650" s="33" t="n">
        <v>1023</v>
      </c>
      <c r="I650" s="33" t="inlineStr">
        <is>
          <t>us</t>
        </is>
      </c>
      <c r="J650" s="33" t="n">
        <v>744</v>
      </c>
      <c r="K650" s="33" t="n">
        <v>0</v>
      </c>
      <c r="L650" s="33" t="n">
        <v>29.1</v>
      </c>
      <c r="M650" s="33" t="inlineStr">
        <is>
          <t>mwb</t>
        </is>
      </c>
      <c r="N650" s="33" t="n">
        <v>10</v>
      </c>
      <c r="O650" s="33" t="n">
        <v>21.799</v>
      </c>
      <c r="P650" s="33" t="n">
        <v>120.547</v>
      </c>
      <c r="Q650" s="33" t="inlineStr">
        <is>
          <t>Hengchun, Taiwan</t>
        </is>
      </c>
      <c r="R650" s="33" t="inlineStr">
        <is>
          <t>Asia</t>
        </is>
      </c>
      <c r="S650" s="33" t="inlineStr">
        <is>
          <t>Taiwan</t>
        </is>
      </c>
      <c r="T650" s="36">
        <f>DATE(MID(C650,7,4),MID(C650,4,2),MID(C650,1,2))+TIME(MID(C650,12,2),MID(C650,15,2),0)</f>
        <v/>
      </c>
      <c r="U650" s="33">
        <f>IF(ISNUMBER(VALUE(MID(A650,7,1))),"Distance-prefix pattern","Named-region pattern")</f>
        <v/>
      </c>
      <c r="V650" s="33">
        <f>LOWER(M650)</f>
        <v/>
      </c>
      <c r="W650" s="33">
        <f>IF(COUNTIFS($A$2:$A$1001,A650,$C$2:$C$1001,C650)&gt;1,"Duplicate","Unique")</f>
        <v/>
      </c>
      <c r="X650" s="33">
        <f>YEAR(T650)</f>
        <v/>
      </c>
      <c r="Y650" s="33">
        <f>IF(B650&lt;6.5,"&lt;6.5",IF(B650&lt;7,"6.5–6.9",IF(B650&lt;7.5,"7.0–7.4",IF(B650&lt;8,"7.5–7.9","8.0+"))))</f>
        <v/>
      </c>
      <c r="Z650" s="33">
        <f>IF(F650="","Blank",F650)</f>
        <v/>
      </c>
    </row>
    <row r="651" ht="15" customHeight="1" s="34">
      <c r="A651" s="33" t="inlineStr">
        <is>
          <t>M 8.3 - Kuril Islands</t>
        </is>
      </c>
      <c r="B651" s="33" t="n">
        <v>8.300000000000001</v>
      </c>
      <c r="C651" s="33" t="inlineStr">
        <is>
          <t>15/11/2006 11:14</t>
        </is>
      </c>
      <c r="D651" s="33" t="n">
        <v>4</v>
      </c>
      <c r="E651" s="33" t="n">
        <v>7</v>
      </c>
      <c r="G651" s="33" t="n">
        <v>0</v>
      </c>
      <c r="H651" s="33" t="n">
        <v>1064</v>
      </c>
      <c r="I651" s="33" t="inlineStr">
        <is>
          <t>us</t>
        </is>
      </c>
      <c r="J651" s="33" t="n">
        <v>576</v>
      </c>
      <c r="K651" s="33" t="n">
        <v>0</v>
      </c>
      <c r="L651" s="33" t="n">
        <v>20.9</v>
      </c>
      <c r="M651" s="33" t="inlineStr">
        <is>
          <t>mwc</t>
        </is>
      </c>
      <c r="N651" s="33" t="n">
        <v>10</v>
      </c>
      <c r="O651" s="33" t="n">
        <v>46.592</v>
      </c>
      <c r="P651" s="33" t="n">
        <v>153.266</v>
      </c>
      <c r="Q651" s="33" t="inlineStr">
        <is>
          <t>Kuril Islands</t>
        </is>
      </c>
      <c r="T651" s="36">
        <f>DATE(MID(C651,7,4),MID(C651,4,2),MID(C651,1,2))+TIME(MID(C651,12,2),MID(C651,15,2),0)</f>
        <v/>
      </c>
      <c r="U651" s="33">
        <f>IF(ISNUMBER(VALUE(MID(A651,7,1))),"Distance-prefix pattern","Named-region pattern")</f>
        <v/>
      </c>
      <c r="V651" s="33">
        <f>LOWER(M651)</f>
        <v/>
      </c>
      <c r="W651" s="33">
        <f>IF(COUNTIFS($A$2:$A$1001,A651,$C$2:$C$1001,C651)&gt;1,"Duplicate","Unique")</f>
        <v/>
      </c>
      <c r="X651" s="33">
        <f>YEAR(T651)</f>
        <v/>
      </c>
      <c r="Y651" s="33">
        <f>IF(B651&lt;6.5,"&lt;6.5",IF(B651&lt;7,"6.5–6.9",IF(B651&lt;7.5,"7.0–7.4",IF(B651&lt;8,"7.5–7.9","8.0+"))))</f>
        <v/>
      </c>
      <c r="Z651" s="33">
        <f>IF(F651="","Blank",F651)</f>
        <v/>
      </c>
    </row>
    <row r="652" ht="15" customHeight="1" s="34">
      <c r="A652" s="33" t="inlineStr">
        <is>
          <t>M 6.6 - 155 km SE of Kimbe, Papua New Guinea</t>
        </is>
      </c>
      <c r="B652" s="33" t="n">
        <v>6.6</v>
      </c>
      <c r="C652" s="33" t="inlineStr">
        <is>
          <t>07/11/2006 17:38</t>
        </is>
      </c>
      <c r="D652" s="33" t="n">
        <v>0</v>
      </c>
      <c r="E652" s="33" t="n">
        <v>6</v>
      </c>
      <c r="G652" s="33" t="n">
        <v>0</v>
      </c>
      <c r="H652" s="33" t="n">
        <v>670</v>
      </c>
      <c r="I652" s="33" t="inlineStr">
        <is>
          <t>us</t>
        </is>
      </c>
      <c r="J652" s="33" t="n">
        <v>352</v>
      </c>
      <c r="K652" s="33" t="n">
        <v>0</v>
      </c>
      <c r="L652" s="33" t="n">
        <v>18.6</v>
      </c>
      <c r="M652" s="33" t="inlineStr">
        <is>
          <t>mwc</t>
        </is>
      </c>
      <c r="N652" s="33" t="n">
        <v>11</v>
      </c>
      <c r="O652" s="33" t="n">
        <v>-6.482</v>
      </c>
      <c r="P652" s="33" t="n">
        <v>151.195</v>
      </c>
      <c r="Q652" s="33" t="inlineStr">
        <is>
          <t>Kimbe, Papua New Guinea</t>
        </is>
      </c>
      <c r="T652" s="36">
        <f>DATE(MID(C652,7,4),MID(C652,4,2),MID(C652,1,2))+TIME(MID(C652,12,2),MID(C652,15,2),0)</f>
        <v/>
      </c>
      <c r="U652" s="33">
        <f>IF(ISNUMBER(VALUE(MID(A652,7,1))),"Distance-prefix pattern","Named-region pattern")</f>
        <v/>
      </c>
      <c r="V652" s="33">
        <f>LOWER(M652)</f>
        <v/>
      </c>
      <c r="W652" s="33">
        <f>IF(COUNTIFS($A$2:$A$1001,A652,$C$2:$C$1001,C652)&gt;1,"Duplicate","Unique")</f>
        <v/>
      </c>
      <c r="X652" s="33">
        <f>YEAR(T652)</f>
        <v/>
      </c>
      <c r="Y652" s="33">
        <f>IF(B652&lt;6.5,"&lt;6.5",IF(B652&lt;7,"6.5–6.9",IF(B652&lt;7.5,"7.0–7.4",IF(B652&lt;8,"7.5–7.9","8.0+"))))</f>
        <v/>
      </c>
      <c r="Z652" s="33">
        <f>IF(F652="","Blank",F652)</f>
        <v/>
      </c>
    </row>
    <row r="653" ht="15" customHeight="1" s="34">
      <c r="A653" s="33" t="inlineStr">
        <is>
          <t>M 6.7 - 52 km SW of San Vicente de Cañete, Peru</t>
        </is>
      </c>
      <c r="B653" s="33" t="n">
        <v>6.7</v>
      </c>
      <c r="C653" s="33" t="inlineStr">
        <is>
          <t>20/10/2006 10:48</t>
        </is>
      </c>
      <c r="D653" s="33" t="n">
        <v>5</v>
      </c>
      <c r="E653" s="33" t="n">
        <v>6</v>
      </c>
      <c r="G653" s="33" t="n">
        <v>0</v>
      </c>
      <c r="H653" s="33" t="n">
        <v>732</v>
      </c>
      <c r="I653" s="33" t="inlineStr">
        <is>
          <t>us</t>
        </is>
      </c>
      <c r="J653" s="33" t="n">
        <v>444</v>
      </c>
      <c r="K653" s="33" t="n">
        <v>0</v>
      </c>
      <c r="L653" s="33" t="n">
        <v>53.4</v>
      </c>
      <c r="M653" s="33" t="inlineStr">
        <is>
          <t>mwc</t>
        </is>
      </c>
      <c r="N653" s="33" t="n">
        <v>23</v>
      </c>
      <c r="O653" s="33" t="n">
        <v>-13.457</v>
      </c>
      <c r="P653" s="33" t="n">
        <v>-76.67700000000001</v>
      </c>
      <c r="Q653" s="33" t="inlineStr">
        <is>
          <t>San Vicente de Cañete, Peru</t>
        </is>
      </c>
      <c r="S653" s="33" t="inlineStr">
        <is>
          <t>Peru</t>
        </is>
      </c>
      <c r="T653" s="36">
        <f>DATE(MID(C653,7,4),MID(C653,4,2),MID(C653,1,2))+TIME(MID(C653,12,2),MID(C653,15,2),0)</f>
        <v/>
      </c>
      <c r="U653" s="33">
        <f>IF(ISNUMBER(VALUE(MID(A653,7,1))),"Distance-prefix pattern","Named-region pattern")</f>
        <v/>
      </c>
      <c r="V653" s="33">
        <f>LOWER(M653)</f>
        <v/>
      </c>
      <c r="W653" s="33">
        <f>IF(COUNTIFS($A$2:$A$1001,A653,$C$2:$C$1001,C653)&gt;1,"Duplicate","Unique")</f>
        <v/>
      </c>
      <c r="X653" s="33">
        <f>YEAR(T653)</f>
        <v/>
      </c>
      <c r="Y653" s="33">
        <f>IF(B653&lt;6.5,"&lt;6.5",IF(B653&lt;7,"6.5–6.9",IF(B653&lt;7.5,"7.0–7.4",IF(B653&lt;8,"7.5–7.9","8.0+"))))</f>
        <v/>
      </c>
      <c r="Z653" s="33">
        <f>IF(F653="","Blank",F653)</f>
        <v/>
      </c>
    </row>
    <row r="654" ht="15" customHeight="1" s="34">
      <c r="A654" s="33" t="inlineStr">
        <is>
          <t>M 6.7 - 100 km ESE of Kimbe, Papua New Guinea</t>
        </is>
      </c>
      <c r="B654" s="33" t="n">
        <v>6.7</v>
      </c>
      <c r="C654" s="33" t="inlineStr">
        <is>
          <t>17/10/2006 01:25</t>
        </is>
      </c>
      <c r="D654" s="33" t="n">
        <v>5</v>
      </c>
      <c r="E654" s="33" t="n">
        <v>6</v>
      </c>
      <c r="G654" s="33" t="n">
        <v>0</v>
      </c>
      <c r="H654" s="33" t="n">
        <v>692</v>
      </c>
      <c r="I654" s="33" t="inlineStr">
        <is>
          <t>us</t>
        </is>
      </c>
      <c r="J654" s="33" t="n">
        <v>533</v>
      </c>
      <c r="K654" s="33" t="n">
        <v>0</v>
      </c>
      <c r="L654" s="33" t="n">
        <v>15.6</v>
      </c>
      <c r="M654" s="33" t="inlineStr">
        <is>
          <t>mwc</t>
        </is>
      </c>
      <c r="N654" s="33" t="n">
        <v>32</v>
      </c>
      <c r="O654" s="33" t="n">
        <v>-5.881</v>
      </c>
      <c r="P654" s="33" t="n">
        <v>150.982</v>
      </c>
      <c r="Q654" s="33" t="inlineStr">
        <is>
          <t>Kimbe, Papua New Guinea</t>
        </is>
      </c>
      <c r="S654" s="33" t="inlineStr">
        <is>
          <t>Papua New Guinea</t>
        </is>
      </c>
      <c r="T654" s="36">
        <f>DATE(MID(C654,7,4),MID(C654,4,2),MID(C654,1,2))+TIME(MID(C654,12,2),MID(C654,15,2),0)</f>
        <v/>
      </c>
      <c r="U654" s="33">
        <f>IF(ISNUMBER(VALUE(MID(A654,7,1))),"Distance-prefix pattern","Named-region pattern")</f>
        <v/>
      </c>
      <c r="V654" s="33">
        <f>LOWER(M654)</f>
        <v/>
      </c>
      <c r="W654" s="33">
        <f>IF(COUNTIFS($A$2:$A$1001,A654,$C$2:$C$1001,C654)&gt;1,"Duplicate","Unique")</f>
        <v/>
      </c>
      <c r="X654" s="33">
        <f>YEAR(T654)</f>
        <v/>
      </c>
      <c r="Y654" s="33">
        <f>IF(B654&lt;6.5,"&lt;6.5",IF(B654&lt;7,"6.5–6.9",IF(B654&lt;7.5,"7.0–7.4",IF(B654&lt;8,"7.5–7.9","8.0+"))))</f>
        <v/>
      </c>
      <c r="Z654" s="33">
        <f>IF(F654="","Blank",F654)</f>
        <v/>
      </c>
    </row>
    <row r="655" ht="15" customHeight="1" s="34">
      <c r="A655" s="33" t="inlineStr">
        <is>
          <t>M 6.7 - 14 km SW of Puako, Hawaii</t>
        </is>
      </c>
      <c r="B655" s="33" t="n">
        <v>6.7</v>
      </c>
      <c r="C655" s="33" t="inlineStr">
        <is>
          <t>15/10/2006 17:07</t>
        </is>
      </c>
      <c r="D655" s="33" t="n">
        <v>8</v>
      </c>
      <c r="E655" s="33" t="n">
        <v>9</v>
      </c>
      <c r="G655" s="33" t="n">
        <v>0</v>
      </c>
      <c r="H655" s="33" t="n">
        <v>1481</v>
      </c>
      <c r="I655" s="33" t="inlineStr">
        <is>
          <t>hv</t>
        </is>
      </c>
      <c r="J655" s="33" t="n">
        <v>43</v>
      </c>
      <c r="K655" s="33" t="n">
        <v>0</v>
      </c>
      <c r="L655" s="33" t="n">
        <v>124</v>
      </c>
      <c r="M655" s="33" t="inlineStr">
        <is>
          <t>md</t>
        </is>
      </c>
      <c r="N655" s="33" t="n">
        <v>38.182</v>
      </c>
      <c r="O655" s="33" t="n">
        <v>19.877</v>
      </c>
      <c r="P655" s="33" t="n">
        <v>-155.935</v>
      </c>
      <c r="Q655" s="33" t="inlineStr">
        <is>
          <t>Puako, Hawaii</t>
        </is>
      </c>
      <c r="S655" s="33" t="inlineStr">
        <is>
          <t>United States of America</t>
        </is>
      </c>
      <c r="T655" s="36">
        <f>DATE(MID(C655,7,4),MID(C655,4,2),MID(C655,1,2))+TIME(MID(C655,12,2),MID(C655,15,2),0)</f>
        <v/>
      </c>
      <c r="U655" s="33">
        <f>IF(ISNUMBER(VALUE(MID(A655,7,1))),"Distance-prefix pattern","Named-region pattern")</f>
        <v/>
      </c>
      <c r="V655" s="33">
        <f>LOWER(M655)</f>
        <v/>
      </c>
      <c r="W655" s="33">
        <f>IF(COUNTIFS($A$2:$A$1001,A655,$C$2:$C$1001,C655)&gt;1,"Duplicate","Unique")</f>
        <v/>
      </c>
      <c r="X655" s="33">
        <f>YEAR(T655)</f>
        <v/>
      </c>
      <c r="Y655" s="33">
        <f>IF(B655&lt;6.5,"&lt;6.5",IF(B655&lt;7,"6.5–6.9",IF(B655&lt;7.5,"7.0–7.4",IF(B655&lt;8,"7.5–7.9","8.0+"))))</f>
        <v/>
      </c>
      <c r="Z655" s="33">
        <f>IF(F655="","Blank",F655)</f>
        <v/>
      </c>
    </row>
    <row r="656" ht="15" customHeight="1" s="34">
      <c r="A656" s="33" t="inlineStr">
        <is>
          <t>M 6.9 - 201 km ESE of Hihifo, Tonga</t>
        </is>
      </c>
      <c r="B656" s="33" t="n">
        <v>6.9</v>
      </c>
      <c r="C656" s="33" t="inlineStr">
        <is>
          <t>28/09/2006 06:22</t>
        </is>
      </c>
      <c r="D656" s="33" t="n">
        <v>3</v>
      </c>
      <c r="E656" s="33" t="n">
        <v>3</v>
      </c>
      <c r="G656" s="33" t="n">
        <v>0</v>
      </c>
      <c r="H656" s="33" t="n">
        <v>737</v>
      </c>
      <c r="I656" s="33" t="inlineStr">
        <is>
          <t>us</t>
        </is>
      </c>
      <c r="J656" s="33" t="n">
        <v>702</v>
      </c>
      <c r="K656" s="33" t="n">
        <v>0</v>
      </c>
      <c r="L656" s="33" t="n">
        <v>20.9</v>
      </c>
      <c r="M656" s="33" t="inlineStr">
        <is>
          <t>mwc</t>
        </is>
      </c>
      <c r="N656" s="33" t="n">
        <v>28</v>
      </c>
      <c r="O656" s="33" t="n">
        <v>-16.592</v>
      </c>
      <c r="P656" s="33" t="n">
        <v>-172.033</v>
      </c>
      <c r="Q656" s="33" t="inlineStr">
        <is>
          <t>Hihifo, Tonga</t>
        </is>
      </c>
      <c r="T656" s="36">
        <f>DATE(MID(C656,7,4),MID(C656,4,2),MID(C656,1,2))+TIME(MID(C656,12,2),MID(C656,15,2),0)</f>
        <v/>
      </c>
      <c r="U656" s="33">
        <f>IF(ISNUMBER(VALUE(MID(A656,7,1))),"Distance-prefix pattern","Named-region pattern")</f>
        <v/>
      </c>
      <c r="V656" s="33">
        <f>LOWER(M656)</f>
        <v/>
      </c>
      <c r="W656" s="33">
        <f>IF(COUNTIFS($A$2:$A$1001,A656,$C$2:$C$1001,C656)&gt;1,"Duplicate","Unique")</f>
        <v/>
      </c>
      <c r="X656" s="33">
        <f>YEAR(T656)</f>
        <v/>
      </c>
      <c r="Y656" s="33">
        <f>IF(B656&lt;6.5,"&lt;6.5",IF(B656&lt;7,"6.5–6.9",IF(B656&lt;7.5,"7.0–7.4",IF(B656&lt;8,"7.5–7.9","8.0+"))))</f>
        <v/>
      </c>
      <c r="Z656" s="33">
        <f>IF(F656="","Blank",F656)</f>
        <v/>
      </c>
    </row>
    <row r="657" ht="15" customHeight="1" s="34">
      <c r="A657" s="33" t="inlineStr">
        <is>
          <t>M 6.8 - 49 km S of Panguna, Papua New Guinea</t>
        </is>
      </c>
      <c r="B657" s="33" t="n">
        <v>6.8</v>
      </c>
      <c r="C657" s="33" t="inlineStr">
        <is>
          <t>01/09/2006 10:18</t>
        </is>
      </c>
      <c r="D657" s="33" t="n">
        <v>0</v>
      </c>
      <c r="E657" s="33" t="n">
        <v>6</v>
      </c>
      <c r="G657" s="33" t="n">
        <v>0</v>
      </c>
      <c r="H657" s="33" t="n">
        <v>711</v>
      </c>
      <c r="I657" s="33" t="inlineStr">
        <is>
          <t>us</t>
        </is>
      </c>
      <c r="J657" s="33" t="n">
        <v>459</v>
      </c>
      <c r="K657" s="33" t="n">
        <v>0</v>
      </c>
      <c r="L657" s="33" t="n">
        <v>28.4</v>
      </c>
      <c r="M657" s="33" t="inlineStr">
        <is>
          <t>mwb</t>
        </is>
      </c>
      <c r="N657" s="33" t="n">
        <v>38</v>
      </c>
      <c r="O657" s="33" t="n">
        <v>-6.759</v>
      </c>
      <c r="P657" s="33" t="n">
        <v>155.512</v>
      </c>
      <c r="Q657" s="33" t="inlineStr">
        <is>
          <t>Panguna, Papua New Guinea</t>
        </is>
      </c>
      <c r="S657" s="33" t="inlineStr">
        <is>
          <t>Papua New Guinea</t>
        </is>
      </c>
      <c r="T657" s="36">
        <f>DATE(MID(C657,7,4),MID(C657,4,2),MID(C657,1,2))+TIME(MID(C657,12,2),MID(C657,15,2),0)</f>
        <v/>
      </c>
      <c r="U657" s="33">
        <f>IF(ISNUMBER(VALUE(MID(A657,7,1))),"Distance-prefix pattern","Named-region pattern")</f>
        <v/>
      </c>
      <c r="V657" s="33">
        <f>LOWER(M657)</f>
        <v/>
      </c>
      <c r="W657" s="33">
        <f>IF(COUNTIFS($A$2:$A$1001,A657,$C$2:$C$1001,C657)&gt;1,"Duplicate","Unique")</f>
        <v/>
      </c>
      <c r="X657" s="33">
        <f>YEAR(T657)</f>
        <v/>
      </c>
      <c r="Y657" s="33">
        <f>IF(B657&lt;6.5,"&lt;6.5",IF(B657&lt;7,"6.5–6.9",IF(B657&lt;7.5,"7.0–7.4",IF(B657&lt;8,"7.5–7.9","8.0+"))))</f>
        <v/>
      </c>
      <c r="Z657" s="33">
        <f>IF(F657="","Blank",F657)</f>
        <v/>
      </c>
    </row>
    <row r="658" ht="15" customHeight="1" s="34">
      <c r="A658" s="33" t="inlineStr">
        <is>
          <t>M 6.5 - 81 km ESE of Ozernovskiy, Russia</t>
        </is>
      </c>
      <c r="B658" s="33" t="n">
        <v>6.5</v>
      </c>
      <c r="C658" s="33" t="inlineStr">
        <is>
          <t>24/08/2006 21:50</t>
        </is>
      </c>
      <c r="D658" s="33" t="n">
        <v>0</v>
      </c>
      <c r="E658" s="33" t="n">
        <v>6</v>
      </c>
      <c r="G658" s="33" t="n">
        <v>0</v>
      </c>
      <c r="H658" s="33" t="n">
        <v>650</v>
      </c>
      <c r="I658" s="33" t="inlineStr">
        <is>
          <t>us</t>
        </is>
      </c>
      <c r="J658" s="33" t="n">
        <v>700</v>
      </c>
      <c r="K658" s="33" t="n">
        <v>0</v>
      </c>
      <c r="L658" s="33" t="n">
        <v>47.4</v>
      </c>
      <c r="M658" s="33" t="inlineStr">
        <is>
          <t>mwb</t>
        </is>
      </c>
      <c r="N658" s="33" t="n">
        <v>43</v>
      </c>
      <c r="O658" s="33" t="n">
        <v>51.148</v>
      </c>
      <c r="P658" s="33" t="n">
        <v>157.522</v>
      </c>
      <c r="Q658" s="33" t="inlineStr">
        <is>
          <t>Ozernovskiy, Russia</t>
        </is>
      </c>
      <c r="R658" s="33" t="inlineStr">
        <is>
          <t>Asia</t>
        </is>
      </c>
      <c r="S658" s="33" t="inlineStr">
        <is>
          <t>Russia</t>
        </is>
      </c>
      <c r="T658" s="36">
        <f>DATE(MID(C658,7,4),MID(C658,4,2),MID(C658,1,2))+TIME(MID(C658,12,2),MID(C658,15,2),0)</f>
        <v/>
      </c>
      <c r="U658" s="33">
        <f>IF(ISNUMBER(VALUE(MID(A658,7,1))),"Distance-prefix pattern","Named-region pattern")</f>
        <v/>
      </c>
      <c r="V658" s="33">
        <f>LOWER(M658)</f>
        <v/>
      </c>
      <c r="W658" s="33">
        <f>IF(COUNTIFS($A$2:$A$1001,A658,$C$2:$C$1001,C658)&gt;1,"Duplicate","Unique")</f>
        <v/>
      </c>
      <c r="X658" s="33">
        <f>YEAR(T658)</f>
        <v/>
      </c>
      <c r="Y658" s="33">
        <f>IF(B658&lt;6.5,"&lt;6.5",IF(B658&lt;7,"6.5–6.9",IF(B658&lt;7.5,"7.0–7.4",IF(B658&lt;8,"7.5–7.9","8.0+"))))</f>
        <v/>
      </c>
      <c r="Z658" s="33">
        <f>IF(F658="","Blank",F658)</f>
        <v/>
      </c>
    </row>
    <row r="659" ht="15" customHeight="1" s="34">
      <c r="A659" s="33" t="inlineStr">
        <is>
          <t>M 6.8 - 51 km NE of Norsup, Vanuatu</t>
        </is>
      </c>
      <c r="B659" s="33" t="n">
        <v>6.8</v>
      </c>
      <c r="C659" s="33" t="inlineStr">
        <is>
          <t>07/08/2006 22:18</t>
        </is>
      </c>
      <c r="D659" s="33" t="n">
        <v>5</v>
      </c>
      <c r="E659" s="33" t="n">
        <v>5</v>
      </c>
      <c r="G659" s="33" t="n">
        <v>0</v>
      </c>
      <c r="H659" s="33" t="n">
        <v>713</v>
      </c>
      <c r="I659" s="33" t="inlineStr">
        <is>
          <t>us</t>
        </is>
      </c>
      <c r="J659" s="33" t="n">
        <v>551</v>
      </c>
      <c r="K659" s="33" t="n">
        <v>0</v>
      </c>
      <c r="L659" s="33" t="n">
        <v>26.2</v>
      </c>
      <c r="M659" s="33" t="inlineStr">
        <is>
          <t>mwb</t>
        </is>
      </c>
      <c r="N659" s="33" t="n">
        <v>150</v>
      </c>
      <c r="O659" s="33" t="n">
        <v>-15.798</v>
      </c>
      <c r="P659" s="33" t="n">
        <v>167.789</v>
      </c>
      <c r="Q659" s="33" t="inlineStr">
        <is>
          <t>Norsup, Vanuatu</t>
        </is>
      </c>
      <c r="S659" s="33" t="inlineStr">
        <is>
          <t>Vanuatu</t>
        </is>
      </c>
      <c r="T659" s="36">
        <f>DATE(MID(C659,7,4),MID(C659,4,2),MID(C659,1,2))+TIME(MID(C659,12,2),MID(C659,15,2),0)</f>
        <v/>
      </c>
      <c r="U659" s="33">
        <f>IF(ISNUMBER(VALUE(MID(A659,7,1))),"Distance-prefix pattern","Named-region pattern")</f>
        <v/>
      </c>
      <c r="V659" s="33">
        <f>LOWER(M659)</f>
        <v/>
      </c>
      <c r="W659" s="33">
        <f>IF(COUNTIFS($A$2:$A$1001,A659,$C$2:$C$1001,C659)&gt;1,"Duplicate","Unique")</f>
        <v/>
      </c>
      <c r="X659" s="33">
        <f>YEAR(T659)</f>
        <v/>
      </c>
      <c r="Y659" s="33">
        <f>IF(B659&lt;6.5,"&lt;6.5",IF(B659&lt;7,"6.5–6.9",IF(B659&lt;7.5,"7.0–7.4",IF(B659&lt;8,"7.5–7.9","8.0+"))))</f>
        <v/>
      </c>
      <c r="Z659" s="33">
        <f>IF(F659="","Blank",F659)</f>
        <v/>
      </c>
    </row>
    <row r="660" ht="15" customHeight="1" s="34">
      <c r="A660" s="33" t="inlineStr">
        <is>
          <t>M 7.7 - 226 km SSW of Singaparna, Indonesia</t>
        </is>
      </c>
      <c r="B660" s="33" t="n">
        <v>7.7</v>
      </c>
      <c r="C660" s="33" t="inlineStr">
        <is>
          <t>17/07/2006 08:19</t>
        </is>
      </c>
      <c r="D660" s="33" t="n">
        <v>7</v>
      </c>
      <c r="E660" s="33" t="n">
        <v>5</v>
      </c>
      <c r="G660" s="33" t="n">
        <v>0</v>
      </c>
      <c r="H660" s="33" t="n">
        <v>947</v>
      </c>
      <c r="I660" s="33" t="inlineStr">
        <is>
          <t>us</t>
        </is>
      </c>
      <c r="J660" s="33" t="n">
        <v>357</v>
      </c>
      <c r="K660" s="33" t="n">
        <v>0</v>
      </c>
      <c r="L660" s="33" t="n">
        <v>36.8</v>
      </c>
      <c r="M660" s="33" t="inlineStr">
        <is>
          <t>mwc</t>
        </is>
      </c>
      <c r="N660" s="33" t="n">
        <v>20</v>
      </c>
      <c r="O660" s="33" t="n">
        <v>-9.284000000000001</v>
      </c>
      <c r="P660" s="33" t="n">
        <v>107.419</v>
      </c>
      <c r="Q660" s="33" t="inlineStr">
        <is>
          <t>Singaparna, Indonesia</t>
        </is>
      </c>
      <c r="T660" s="36">
        <f>DATE(MID(C660,7,4),MID(C660,4,2),MID(C660,1,2))+TIME(MID(C660,12,2),MID(C660,15,2),0)</f>
        <v/>
      </c>
      <c r="U660" s="33">
        <f>IF(ISNUMBER(VALUE(MID(A660,7,1))),"Distance-prefix pattern","Named-region pattern")</f>
        <v/>
      </c>
      <c r="V660" s="33">
        <f>LOWER(M660)</f>
        <v/>
      </c>
      <c r="W660" s="33">
        <f>IF(COUNTIFS($A$2:$A$1001,A660,$C$2:$C$1001,C660)&gt;1,"Duplicate","Unique")</f>
        <v/>
      </c>
      <c r="X660" s="33">
        <f>YEAR(T660)</f>
        <v/>
      </c>
      <c r="Y660" s="33">
        <f>IF(B660&lt;6.5,"&lt;6.5",IF(B660&lt;7,"6.5–6.9",IF(B660&lt;7.5,"7.0–7.4",IF(B660&lt;8,"7.5–7.9","8.0+"))))</f>
        <v/>
      </c>
      <c r="Z660" s="33">
        <f>IF(F660="","Blank",F660)</f>
        <v/>
      </c>
    </row>
    <row r="661" ht="15" customHeight="1" s="34">
      <c r="A661" s="33" t="inlineStr">
        <is>
          <t>M 6.5 - 111 km E of Kimbe, Papua New Guinea</t>
        </is>
      </c>
      <c r="B661" s="33" t="n">
        <v>6.5</v>
      </c>
      <c r="C661" s="33" t="inlineStr">
        <is>
          <t>28/05/2006 03:12</t>
        </is>
      </c>
      <c r="D661" s="33" t="n">
        <v>0</v>
      </c>
      <c r="E661" s="33" t="n">
        <v>6</v>
      </c>
      <c r="G661" s="33" t="n">
        <v>0</v>
      </c>
      <c r="H661" s="33" t="n">
        <v>650</v>
      </c>
      <c r="I661" s="33" t="inlineStr">
        <is>
          <t>us</t>
        </is>
      </c>
      <c r="J661" s="33" t="n">
        <v>477</v>
      </c>
      <c r="K661" s="33" t="n">
        <v>0</v>
      </c>
      <c r="L661" s="33" t="n">
        <v>20.3</v>
      </c>
      <c r="M661" s="33" t="inlineStr">
        <is>
          <t>mwc</t>
        </is>
      </c>
      <c r="N661" s="33" t="n">
        <v>34</v>
      </c>
      <c r="O661" s="33" t="n">
        <v>-5.724</v>
      </c>
      <c r="P661" s="33" t="n">
        <v>151.133</v>
      </c>
      <c r="Q661" s="33" t="inlineStr">
        <is>
          <t>Kimbe, Papua New Guinea</t>
        </is>
      </c>
      <c r="S661" s="33" t="inlineStr">
        <is>
          <t>Papua New Guinea</t>
        </is>
      </c>
      <c r="T661" s="36">
        <f>DATE(MID(C661,7,4),MID(C661,4,2),MID(C661,1,2))+TIME(MID(C661,12,2),MID(C661,15,2),0)</f>
        <v/>
      </c>
      <c r="U661" s="33">
        <f>IF(ISNUMBER(VALUE(MID(A661,7,1))),"Distance-prefix pattern","Named-region pattern")</f>
        <v/>
      </c>
      <c r="V661" s="33">
        <f>LOWER(M661)</f>
        <v/>
      </c>
      <c r="W661" s="33">
        <f>IF(COUNTIFS($A$2:$A$1001,A661,$C$2:$C$1001,C661)&gt;1,"Duplicate","Unique")</f>
        <v/>
      </c>
      <c r="X661" s="33">
        <f>YEAR(T661)</f>
        <v/>
      </c>
      <c r="Y661" s="33">
        <f>IF(B661&lt;6.5,"&lt;6.5",IF(B661&lt;7,"6.5–6.9",IF(B661&lt;7.5,"7.0–7.4",IF(B661&lt;8,"7.5–7.9","8.0+"))))</f>
        <v/>
      </c>
      <c r="Z661" s="33">
        <f>IF(F661="","Blank",F661)</f>
        <v/>
      </c>
    </row>
    <row r="662" ht="15" customHeight="1" s="34">
      <c r="A662" s="33" t="inlineStr">
        <is>
          <t>M 6.6 - 42 km NNW of Tilichiki, Russia</t>
        </is>
      </c>
      <c r="B662" s="33" t="n">
        <v>6.6</v>
      </c>
      <c r="C662" s="33" t="inlineStr">
        <is>
          <t>22/05/2006 11:12</t>
        </is>
      </c>
      <c r="D662" s="33" t="n">
        <v>0</v>
      </c>
      <c r="E662" s="33" t="n">
        <v>7</v>
      </c>
      <c r="G662" s="33" t="n">
        <v>0</v>
      </c>
      <c r="H662" s="33" t="n">
        <v>670</v>
      </c>
      <c r="I662" s="33" t="inlineStr">
        <is>
          <t>us</t>
        </is>
      </c>
      <c r="J662" s="33" t="n">
        <v>548</v>
      </c>
      <c r="K662" s="33" t="n">
        <v>0</v>
      </c>
      <c r="L662" s="33" t="n">
        <v>28</v>
      </c>
      <c r="M662" s="33" t="inlineStr">
        <is>
          <t>mwc</t>
        </is>
      </c>
      <c r="N662" s="33" t="n">
        <v>19</v>
      </c>
      <c r="O662" s="33" t="n">
        <v>60.772</v>
      </c>
      <c r="P662" s="33" t="n">
        <v>165.743</v>
      </c>
      <c r="Q662" s="33" t="inlineStr">
        <is>
          <t>Tilichiki, Russia</t>
        </is>
      </c>
      <c r="R662" s="33" t="inlineStr">
        <is>
          <t>Asia</t>
        </is>
      </c>
      <c r="S662" s="33" t="inlineStr">
        <is>
          <t>Russia</t>
        </is>
      </c>
      <c r="T662" s="36">
        <f>DATE(MID(C662,7,4),MID(C662,4,2),MID(C662,1,2))+TIME(MID(C662,12,2),MID(C662,15,2),0)</f>
        <v/>
      </c>
      <c r="U662" s="33">
        <f>IF(ISNUMBER(VALUE(MID(A662,7,1))),"Distance-prefix pattern","Named-region pattern")</f>
        <v/>
      </c>
      <c r="V662" s="33">
        <f>LOWER(M662)</f>
        <v/>
      </c>
      <c r="W662" s="33">
        <f>IF(COUNTIFS($A$2:$A$1001,A662,$C$2:$C$1001,C662)&gt;1,"Duplicate","Unique")</f>
        <v/>
      </c>
      <c r="X662" s="33">
        <f>YEAR(T662)</f>
        <v/>
      </c>
      <c r="Y662" s="33">
        <f>IF(B662&lt;6.5,"&lt;6.5",IF(B662&lt;7,"6.5–6.9",IF(B662&lt;7.5,"7.0–7.4",IF(B662&lt;8,"7.5–7.9","8.0+"))))</f>
        <v/>
      </c>
      <c r="Z662" s="33">
        <f>IF(F662="","Blank",F662)</f>
        <v/>
      </c>
    </row>
    <row r="663" ht="15" customHeight="1" s="34">
      <c r="A663" s="33" t="inlineStr">
        <is>
          <t>M 6.8 - 256 km SSW of Singkil, Indonesia</t>
        </is>
      </c>
      <c r="B663" s="33" t="n">
        <v>6.8</v>
      </c>
      <c r="C663" s="33" t="inlineStr">
        <is>
          <t>16/05/2006 15:28</t>
        </is>
      </c>
      <c r="D663" s="33" t="n">
        <v>4</v>
      </c>
      <c r="E663" s="33" t="n">
        <v>5</v>
      </c>
      <c r="G663" s="33" t="n">
        <v>0</v>
      </c>
      <c r="H663" s="33" t="n">
        <v>719</v>
      </c>
      <c r="I663" s="33" t="inlineStr">
        <is>
          <t>us</t>
        </is>
      </c>
      <c r="J663" s="33" t="n">
        <v>701</v>
      </c>
      <c r="K663" s="33" t="n">
        <v>0</v>
      </c>
      <c r="L663" s="33" t="n">
        <v>16.3</v>
      </c>
      <c r="M663" s="33" t="inlineStr">
        <is>
          <t>mwb</t>
        </is>
      </c>
      <c r="N663" s="33" t="n">
        <v>12</v>
      </c>
      <c r="O663" s="33" t="n">
        <v>0.093</v>
      </c>
      <c r="P663" s="33" t="n">
        <v>97.05</v>
      </c>
      <c r="Q663" s="33" t="inlineStr">
        <is>
          <t>Singkil, Indonesia</t>
        </is>
      </c>
      <c r="T663" s="36">
        <f>DATE(MID(C663,7,4),MID(C663,4,2),MID(C663,1,2))+TIME(MID(C663,12,2),MID(C663,15,2),0)</f>
        <v/>
      </c>
      <c r="U663" s="33">
        <f>IF(ISNUMBER(VALUE(MID(A663,7,1))),"Distance-prefix pattern","Named-region pattern")</f>
        <v/>
      </c>
      <c r="V663" s="33">
        <f>LOWER(M663)</f>
        <v/>
      </c>
      <c r="W663" s="33">
        <f>IF(COUNTIFS($A$2:$A$1001,A663,$C$2:$C$1001,C663)&gt;1,"Duplicate","Unique")</f>
        <v/>
      </c>
      <c r="X663" s="33">
        <f>YEAR(T663)</f>
        <v/>
      </c>
      <c r="Y663" s="33">
        <f>IF(B663&lt;6.5,"&lt;6.5",IF(B663&lt;7,"6.5–6.9",IF(B663&lt;7.5,"7.0–7.4",IF(B663&lt;8,"7.5–7.9","8.0+"))))</f>
        <v/>
      </c>
      <c r="Z663" s="33">
        <f>IF(F663="","Blank",F663)</f>
        <v/>
      </c>
    </row>
    <row r="664" ht="15" customHeight="1" s="34">
      <c r="A664" s="33" t="inlineStr">
        <is>
          <t>M 8.0 - 47 km SSE of Pangai, Tonga</t>
        </is>
      </c>
      <c r="B664" s="33" t="n">
        <v>8</v>
      </c>
      <c r="C664" s="33" t="inlineStr">
        <is>
          <t>03/05/2006 15:26</t>
        </is>
      </c>
      <c r="D664" s="33" t="n">
        <v>7</v>
      </c>
      <c r="E664" s="33" t="n">
        <v>7</v>
      </c>
      <c r="G664" s="33" t="n">
        <v>0</v>
      </c>
      <c r="H664" s="33" t="n">
        <v>1013</v>
      </c>
      <c r="I664" s="33" t="inlineStr">
        <is>
          <t>us</t>
        </is>
      </c>
      <c r="J664" s="33" t="n">
        <v>626</v>
      </c>
      <c r="K664" s="33" t="n">
        <v>0</v>
      </c>
      <c r="L664" s="33" t="n">
        <v>20.7</v>
      </c>
      <c r="M664" s="33" t="inlineStr">
        <is>
          <t>mwc</t>
        </is>
      </c>
      <c r="N664" s="33" t="n">
        <v>55</v>
      </c>
      <c r="O664" s="33" t="n">
        <v>-20.187</v>
      </c>
      <c r="P664" s="33" t="n">
        <v>-174.123</v>
      </c>
      <c r="Q664" s="33" t="inlineStr">
        <is>
          <t>Pangai, Tonga</t>
        </is>
      </c>
      <c r="T664" s="36">
        <f>DATE(MID(C664,7,4),MID(C664,4,2),MID(C664,1,2))+TIME(MID(C664,12,2),MID(C664,15,2),0)</f>
        <v/>
      </c>
      <c r="U664" s="33">
        <f>IF(ISNUMBER(VALUE(MID(A664,7,1))),"Distance-prefix pattern","Named-region pattern")</f>
        <v/>
      </c>
      <c r="V664" s="33">
        <f>LOWER(M664)</f>
        <v/>
      </c>
      <c r="W664" s="33">
        <f>IF(COUNTIFS($A$2:$A$1001,A664,$C$2:$C$1001,C664)&gt;1,"Duplicate","Unique")</f>
        <v/>
      </c>
      <c r="X664" s="33">
        <f>YEAR(T664)</f>
        <v/>
      </c>
      <c r="Y664" s="33">
        <f>IF(B664&lt;6.5,"&lt;6.5",IF(B664&lt;7,"6.5–6.9",IF(B664&lt;7.5,"7.0–7.4",IF(B664&lt;8,"7.5–7.9","8.0+"))))</f>
        <v/>
      </c>
      <c r="Z664" s="33">
        <f>IF(F664="","Blank",F664)</f>
        <v/>
      </c>
    </row>
    <row r="665" ht="15" customHeight="1" s="34">
      <c r="A665" s="33" t="inlineStr">
        <is>
          <t>M 8.0 - 50 km ESE of Pangai, Tonga</t>
        </is>
      </c>
      <c r="B665" s="33" t="n">
        <v>8</v>
      </c>
      <c r="C665" s="33" t="inlineStr">
        <is>
          <t>03/05/2006 15:26</t>
        </is>
      </c>
      <c r="D665" s="33" t="n">
        <v>8</v>
      </c>
      <c r="E665" s="33" t="n">
        <v>9</v>
      </c>
      <c r="G665" s="33" t="n">
        <v>0</v>
      </c>
      <c r="H665" s="33" t="n">
        <v>1026</v>
      </c>
      <c r="I665" s="33" t="inlineStr">
        <is>
          <t>duputel</t>
        </is>
      </c>
      <c r="J665" s="33" t="n">
        <v>0</v>
      </c>
      <c r="K665" s="33" t="n">
        <v>0</v>
      </c>
      <c r="L665" s="33" t="n">
        <v>0</v>
      </c>
      <c r="M665" s="33" t="inlineStr">
        <is>
          <t>mww</t>
        </is>
      </c>
      <c r="N665" s="33" t="n">
        <v>60.5</v>
      </c>
      <c r="O665" s="33" t="n">
        <v>-19.99</v>
      </c>
      <c r="P665" s="33" t="n">
        <v>-173.907</v>
      </c>
      <c r="Q665" s="33" t="inlineStr">
        <is>
          <t>Pangai, Tonga</t>
        </is>
      </c>
      <c r="T665" s="36">
        <f>DATE(MID(C665,7,4),MID(C665,4,2),MID(C665,1,2))+TIME(MID(C665,12,2),MID(C665,15,2),0)</f>
        <v/>
      </c>
      <c r="U665" s="33">
        <f>IF(ISNUMBER(VALUE(MID(A665,7,1))),"Distance-prefix pattern","Named-region pattern")</f>
        <v/>
      </c>
      <c r="V665" s="33">
        <f>LOWER(M665)</f>
        <v/>
      </c>
      <c r="W665" s="33">
        <f>IF(COUNTIFS($A$2:$A$1001,A665,$C$2:$C$1001,C665)&gt;1,"Duplicate","Unique")</f>
        <v/>
      </c>
      <c r="X665" s="33">
        <f>YEAR(T665)</f>
        <v/>
      </c>
      <c r="Y665" s="33">
        <f>IF(B665&lt;6.5,"&lt;6.5",IF(B665&lt;7,"6.5–6.9",IF(B665&lt;7.5,"7.0–7.4",IF(B665&lt;8,"7.5–7.9","8.0+"))))</f>
        <v/>
      </c>
      <c r="Z665" s="33">
        <f>IF(F665="","Blank",F665)</f>
        <v/>
      </c>
    </row>
    <row r="666" ht="15" customHeight="1" s="34">
      <c r="A666" s="33" t="inlineStr">
        <is>
          <t>M 6.5 - 73 km WNW of Copiapó, Chile</t>
        </is>
      </c>
      <c r="B666" s="33" t="n">
        <v>6.5</v>
      </c>
      <c r="C666" s="33" t="inlineStr">
        <is>
          <t>30/04/2006 21:40</t>
        </is>
      </c>
      <c r="D666" s="33" t="n">
        <v>7</v>
      </c>
      <c r="E666" s="33" t="n">
        <v>7</v>
      </c>
      <c r="G666" s="33" t="n">
        <v>0</v>
      </c>
      <c r="H666" s="33" t="n">
        <v>653</v>
      </c>
      <c r="I666" s="33" t="inlineStr">
        <is>
          <t>us</t>
        </is>
      </c>
      <c r="J666" s="33" t="n">
        <v>282</v>
      </c>
      <c r="K666" s="33" t="n">
        <v>0</v>
      </c>
      <c r="L666" s="33" t="n">
        <v>46.3</v>
      </c>
      <c r="M666" s="33" t="inlineStr">
        <is>
          <t>mwc</t>
        </is>
      </c>
      <c r="N666" s="33" t="n">
        <v>12</v>
      </c>
      <c r="O666" s="33" t="n">
        <v>-27.211</v>
      </c>
      <c r="P666" s="33" t="n">
        <v>-71.056</v>
      </c>
      <c r="Q666" s="33" t="inlineStr">
        <is>
          <t>Copiapó, Chile</t>
        </is>
      </c>
      <c r="S666" s="33" t="inlineStr">
        <is>
          <t>Chile</t>
        </is>
      </c>
      <c r="T666" s="36">
        <f>DATE(MID(C666,7,4),MID(C666,4,2),MID(C666,1,2))+TIME(MID(C666,12,2),MID(C666,15,2),0)</f>
        <v/>
      </c>
      <c r="U666" s="33">
        <f>IF(ISNUMBER(VALUE(MID(A666,7,1))),"Distance-prefix pattern","Named-region pattern")</f>
        <v/>
      </c>
      <c r="V666" s="33">
        <f>LOWER(M666)</f>
        <v/>
      </c>
      <c r="W666" s="33">
        <f>IF(COUNTIFS($A$2:$A$1001,A666,$C$2:$C$1001,C666)&gt;1,"Duplicate","Unique")</f>
        <v/>
      </c>
      <c r="X666" s="33">
        <f>YEAR(T666)</f>
        <v/>
      </c>
      <c r="Y666" s="33">
        <f>IF(B666&lt;6.5,"&lt;6.5",IF(B666&lt;7,"6.5–6.9",IF(B666&lt;7.5,"7.0–7.4",IF(B666&lt;8,"7.5–7.9","8.0+"))))</f>
        <v/>
      </c>
      <c r="Z666" s="33">
        <f>IF(F666="","Blank",F666)</f>
        <v/>
      </c>
    </row>
    <row r="667" ht="15" customHeight="1" s="34">
      <c r="A667" s="33" t="inlineStr">
        <is>
          <t>M 6.7 - 78 km WNW of Copiapó, Chile</t>
        </is>
      </c>
      <c r="B667" s="33" t="n">
        <v>6.7</v>
      </c>
      <c r="C667" s="33" t="inlineStr">
        <is>
          <t>30/04/2006 19:17</t>
        </is>
      </c>
      <c r="D667" s="33" t="n">
        <v>6</v>
      </c>
      <c r="E667" s="33" t="n">
        <v>7</v>
      </c>
      <c r="G667" s="33" t="n">
        <v>0</v>
      </c>
      <c r="H667" s="33" t="n">
        <v>696</v>
      </c>
      <c r="I667" s="33" t="inlineStr">
        <is>
          <t>us</t>
        </is>
      </c>
      <c r="J667" s="33" t="n">
        <v>277</v>
      </c>
      <c r="K667" s="33" t="n">
        <v>0</v>
      </c>
      <c r="L667" s="33" t="n">
        <v>25.6</v>
      </c>
      <c r="M667" s="33" t="inlineStr">
        <is>
          <t>mwb</t>
        </is>
      </c>
      <c r="N667" s="33" t="n">
        <v>12</v>
      </c>
      <c r="O667" s="33" t="n">
        <v>-27.017</v>
      </c>
      <c r="P667" s="33" t="n">
        <v>-71.02200000000001</v>
      </c>
      <c r="Q667" s="33" t="inlineStr">
        <is>
          <t>Copiapó, Chile</t>
        </is>
      </c>
      <c r="S667" s="33" t="inlineStr">
        <is>
          <t>Chile</t>
        </is>
      </c>
      <c r="T667" s="36">
        <f>DATE(MID(C667,7,4),MID(C667,4,2),MID(C667,1,2))+TIME(MID(C667,12,2),MID(C667,15,2),0)</f>
        <v/>
      </c>
      <c r="U667" s="33">
        <f>IF(ISNUMBER(VALUE(MID(A667,7,1))),"Distance-prefix pattern","Named-region pattern")</f>
        <v/>
      </c>
      <c r="V667" s="33">
        <f>LOWER(M667)</f>
        <v/>
      </c>
      <c r="W667" s="33">
        <f>IF(COUNTIFS($A$2:$A$1001,A667,$C$2:$C$1001,C667)&gt;1,"Duplicate","Unique")</f>
        <v/>
      </c>
      <c r="X667" s="33">
        <f>YEAR(T667)</f>
        <v/>
      </c>
      <c r="Y667" s="33">
        <f>IF(B667&lt;6.5,"&lt;6.5",IF(B667&lt;7,"6.5–6.9",IF(B667&lt;7.5,"7.0–7.4",IF(B667&lt;8,"7.5–7.9","8.0+"))))</f>
        <v/>
      </c>
      <c r="Z667" s="33">
        <f>IF(F667="","Blank",F667)</f>
        <v/>
      </c>
    </row>
    <row r="668" ht="15" customHeight="1" s="34">
      <c r="A668" s="33" t="inlineStr">
        <is>
          <t>M 6.6 - 80 km E of Tilichiki, Russia</t>
        </is>
      </c>
      <c r="B668" s="33" t="n">
        <v>6.6</v>
      </c>
      <c r="C668" s="33" t="inlineStr">
        <is>
          <t>29/04/2006 16:58</t>
        </is>
      </c>
      <c r="D668" s="33" t="n">
        <v>0</v>
      </c>
      <c r="E668" s="33" t="n">
        <v>8</v>
      </c>
      <c r="G668" s="33" t="n">
        <v>0</v>
      </c>
      <c r="H668" s="33" t="n">
        <v>670</v>
      </c>
      <c r="I668" s="33" t="inlineStr">
        <is>
          <t>us</t>
        </is>
      </c>
      <c r="J668" s="33" t="n">
        <v>645</v>
      </c>
      <c r="K668" s="33" t="n">
        <v>0</v>
      </c>
      <c r="L668" s="33" t="n">
        <v>28.4</v>
      </c>
      <c r="M668" s="33" t="inlineStr">
        <is>
          <t>mwc</t>
        </is>
      </c>
      <c r="N668" s="33" t="n">
        <v>11</v>
      </c>
      <c r="O668" s="33" t="n">
        <v>60.491</v>
      </c>
      <c r="P668" s="33" t="n">
        <v>167.516</v>
      </c>
      <c r="Q668" s="33" t="inlineStr">
        <is>
          <t>Tilichiki, Russia</t>
        </is>
      </c>
      <c r="R668" s="33" t="inlineStr">
        <is>
          <t>Asia</t>
        </is>
      </c>
      <c r="S668" s="33" t="inlineStr">
        <is>
          <t>Russia</t>
        </is>
      </c>
      <c r="T668" s="36">
        <f>DATE(MID(C668,7,4),MID(C668,4,2),MID(C668,1,2))+TIME(MID(C668,12,2),MID(C668,15,2),0)</f>
        <v/>
      </c>
      <c r="U668" s="33">
        <f>IF(ISNUMBER(VALUE(MID(A668,7,1))),"Distance-prefix pattern","Named-region pattern")</f>
        <v/>
      </c>
      <c r="V668" s="33">
        <f>LOWER(M668)</f>
        <v/>
      </c>
      <c r="W668" s="33">
        <f>IF(COUNTIFS($A$2:$A$1001,A668,$C$2:$C$1001,C668)&gt;1,"Duplicate","Unique")</f>
        <v/>
      </c>
      <c r="X668" s="33">
        <f>YEAR(T668)</f>
        <v/>
      </c>
      <c r="Y668" s="33">
        <f>IF(B668&lt;6.5,"&lt;6.5",IF(B668&lt;7,"6.5–6.9",IF(B668&lt;7.5,"7.0–7.4",IF(B668&lt;8,"7.5–7.9","8.0+"))))</f>
        <v/>
      </c>
      <c r="Z668" s="33">
        <f>IF(F668="","Blank",F668)</f>
        <v/>
      </c>
    </row>
    <row r="669" ht="15" customHeight="1" s="34">
      <c r="A669" s="33" t="inlineStr">
        <is>
          <t>M 7.6 - 80 km NE of Tilichiki, Russia</t>
        </is>
      </c>
      <c r="B669" s="33" t="n">
        <v>7.6</v>
      </c>
      <c r="C669" s="33" t="inlineStr">
        <is>
          <t>20/04/2006 23:25</t>
        </is>
      </c>
      <c r="D669" s="33" t="n">
        <v>0</v>
      </c>
      <c r="E669" s="33" t="n">
        <v>8</v>
      </c>
      <c r="G669" s="33" t="n">
        <v>0</v>
      </c>
      <c r="H669" s="33" t="n">
        <v>889</v>
      </c>
      <c r="I669" s="33" t="inlineStr">
        <is>
          <t>us</t>
        </is>
      </c>
      <c r="J669" s="33" t="n">
        <v>579</v>
      </c>
      <c r="K669" s="33" t="n">
        <v>0</v>
      </c>
      <c r="L669" s="33" t="n">
        <v>18.5</v>
      </c>
      <c r="M669" s="33" t="inlineStr">
        <is>
          <t>mwc</t>
        </is>
      </c>
      <c r="N669" s="33" t="n">
        <v>22</v>
      </c>
      <c r="O669" s="33" t="n">
        <v>60.949</v>
      </c>
      <c r="P669" s="33" t="n">
        <v>167.089</v>
      </c>
      <c r="Q669" s="33" t="inlineStr">
        <is>
          <t>Tilichiki, Russia</t>
        </is>
      </c>
      <c r="R669" s="33" t="inlineStr">
        <is>
          <t>Asia</t>
        </is>
      </c>
      <c r="S669" s="33" t="inlineStr">
        <is>
          <t>Russia</t>
        </is>
      </c>
      <c r="T669" s="36">
        <f>DATE(MID(C669,7,4),MID(C669,4,2),MID(C669,1,2))+TIME(MID(C669,12,2),MID(C669,15,2),0)</f>
        <v/>
      </c>
      <c r="U669" s="33">
        <f>IF(ISNUMBER(VALUE(MID(A669,7,1))),"Distance-prefix pattern","Named-region pattern")</f>
        <v/>
      </c>
      <c r="V669" s="33">
        <f>LOWER(M669)</f>
        <v/>
      </c>
      <c r="W669" s="33">
        <f>IF(COUNTIFS($A$2:$A$1001,A669,$C$2:$C$1001,C669)&gt;1,"Duplicate","Unique")</f>
        <v/>
      </c>
      <c r="X669" s="33">
        <f>YEAR(T669)</f>
        <v/>
      </c>
      <c r="Y669" s="33">
        <f>IF(B669&lt;6.5,"&lt;6.5",IF(B669&lt;7,"6.5–6.9",IF(B669&lt;7.5,"7.0–7.4",IF(B669&lt;8,"7.5–7.9","8.0+"))))</f>
        <v/>
      </c>
      <c r="Z669" s="33">
        <f>IF(F669="","Blank",F669)</f>
        <v/>
      </c>
    </row>
    <row r="670" ht="15" customHeight="1" s="34">
      <c r="A670" s="33" t="inlineStr">
        <is>
          <t>M 6.5 - 130 km NNW of Lautoka, Fiji</t>
        </is>
      </c>
      <c r="B670" s="33" t="n">
        <v>6.5</v>
      </c>
      <c r="C670" s="33" t="inlineStr">
        <is>
          <t>07/04/2006 08:30</t>
        </is>
      </c>
      <c r="D670" s="33" t="n">
        <v>3</v>
      </c>
      <c r="E670" s="33" t="n">
        <v>5</v>
      </c>
      <c r="G670" s="33" t="n">
        <v>0</v>
      </c>
      <c r="H670" s="33" t="n">
        <v>654</v>
      </c>
      <c r="I670" s="33" t="inlineStr">
        <is>
          <t>us</t>
        </is>
      </c>
      <c r="J670" s="33" t="n">
        <v>247</v>
      </c>
      <c r="K670" s="33" t="n">
        <v>0</v>
      </c>
      <c r="L670" s="33" t="n">
        <v>25.5</v>
      </c>
      <c r="M670" s="33" t="inlineStr">
        <is>
          <t>mwc</t>
        </is>
      </c>
      <c r="N670" s="33" t="n">
        <v>14</v>
      </c>
      <c r="O670" s="33" t="n">
        <v>-16.527</v>
      </c>
      <c r="P670" s="33" t="n">
        <v>176.989</v>
      </c>
      <c r="Q670" s="33" t="inlineStr">
        <is>
          <t>Lautoka, Fiji</t>
        </is>
      </c>
      <c r="T670" s="36">
        <f>DATE(MID(C670,7,4),MID(C670,4,2),MID(C670,1,2))+TIME(MID(C670,12,2),MID(C670,15,2),0)</f>
        <v/>
      </c>
      <c r="U670" s="33">
        <f>IF(ISNUMBER(VALUE(MID(A670,7,1))),"Distance-prefix pattern","Named-region pattern")</f>
        <v/>
      </c>
      <c r="V670" s="33">
        <f>LOWER(M670)</f>
        <v/>
      </c>
      <c r="W670" s="33">
        <f>IF(COUNTIFS($A$2:$A$1001,A670,$C$2:$C$1001,C670)&gt;1,"Duplicate","Unique")</f>
        <v/>
      </c>
      <c r="X670" s="33">
        <f>YEAR(T670)</f>
        <v/>
      </c>
      <c r="Y670" s="33">
        <f>IF(B670&lt;6.5,"&lt;6.5",IF(B670&lt;7,"6.5–6.9",IF(B670&lt;7.5,"7.0–7.4",IF(B670&lt;8,"7.5–7.9","8.0+"))))</f>
        <v/>
      </c>
      <c r="Z670" s="33">
        <f>IF(F670="","Blank",F670)</f>
        <v/>
      </c>
    </row>
    <row r="671" ht="15" customHeight="1" s="34">
      <c r="A671" s="33" t="inlineStr">
        <is>
          <t>M 6.7 - 108 km W of Ambon, Indonesia</t>
        </is>
      </c>
      <c r="B671" s="33" t="n">
        <v>6.7</v>
      </c>
      <c r="C671" s="33" t="inlineStr">
        <is>
          <t>14/03/2006 06:57</t>
        </is>
      </c>
      <c r="D671" s="33" t="n">
        <v>0</v>
      </c>
      <c r="E671" s="33" t="n">
        <v>7</v>
      </c>
      <c r="G671" s="33" t="n">
        <v>0</v>
      </c>
      <c r="H671" s="33" t="n">
        <v>691</v>
      </c>
      <c r="I671" s="33" t="inlineStr">
        <is>
          <t>us</t>
        </is>
      </c>
      <c r="J671" s="33" t="n">
        <v>306</v>
      </c>
      <c r="K671" s="33" t="n">
        <v>0</v>
      </c>
      <c r="L671" s="33" t="n">
        <v>21.3</v>
      </c>
      <c r="M671" s="33" t="inlineStr">
        <is>
          <t>mwb</t>
        </is>
      </c>
      <c r="N671" s="33" t="n">
        <v>30.1</v>
      </c>
      <c r="O671" s="33" t="n">
        <v>-3.595</v>
      </c>
      <c r="P671" s="33" t="n">
        <v>127.214</v>
      </c>
      <c r="Q671" s="33" t="inlineStr">
        <is>
          <t>Ambon, Indonesia</t>
        </is>
      </c>
      <c r="S671" s="33" t="inlineStr">
        <is>
          <t>Indonesia</t>
        </is>
      </c>
      <c r="T671" s="36">
        <f>DATE(MID(C671,7,4),MID(C671,4,2),MID(C671,1,2))+TIME(MID(C671,12,2),MID(C671,15,2),0)</f>
        <v/>
      </c>
      <c r="U671" s="33">
        <f>IF(ISNUMBER(VALUE(MID(A671,7,1))),"Distance-prefix pattern","Named-region pattern")</f>
        <v/>
      </c>
      <c r="V671" s="33">
        <f>LOWER(M671)</f>
        <v/>
      </c>
      <c r="W671" s="33">
        <f>IF(COUNTIFS($A$2:$A$1001,A671,$C$2:$C$1001,C671)&gt;1,"Duplicate","Unique")</f>
        <v/>
      </c>
      <c r="X671" s="33">
        <f>YEAR(T671)</f>
        <v/>
      </c>
      <c r="Y671" s="33">
        <f>IF(B671&lt;6.5,"&lt;6.5",IF(B671&lt;7,"6.5–6.9",IF(B671&lt;7.5,"7.0–7.4",IF(B671&lt;8,"7.5–7.9","8.0+"))))</f>
        <v/>
      </c>
      <c r="Z671" s="33">
        <f>IF(F671="","Blank",F671)</f>
        <v/>
      </c>
    </row>
    <row r="672" ht="15" customHeight="1" s="34">
      <c r="A672" s="33" t="inlineStr">
        <is>
          <t>M 7.0 - 160 km SE of Chipinge, Zimbabwe</t>
        </is>
      </c>
      <c r="B672" s="33" t="n">
        <v>7</v>
      </c>
      <c r="C672" s="33" t="inlineStr">
        <is>
          <t>22/02/2006 22:19</t>
        </is>
      </c>
      <c r="D672" s="33" t="n">
        <v>5</v>
      </c>
      <c r="E672" s="33" t="n">
        <v>9</v>
      </c>
      <c r="G672" s="33" t="n">
        <v>0</v>
      </c>
      <c r="H672" s="33" t="n">
        <v>891</v>
      </c>
      <c r="I672" s="33" t="inlineStr">
        <is>
          <t>us</t>
        </is>
      </c>
      <c r="J672" s="33" t="n">
        <v>412</v>
      </c>
      <c r="K672" s="33" t="n">
        <v>0</v>
      </c>
      <c r="L672" s="33" t="n">
        <v>23.2</v>
      </c>
      <c r="M672" s="33" t="inlineStr">
        <is>
          <t>mwb</t>
        </is>
      </c>
      <c r="N672" s="33" t="n">
        <v>11</v>
      </c>
      <c r="O672" s="33" t="n">
        <v>-21.324</v>
      </c>
      <c r="P672" s="33" t="n">
        <v>33.583</v>
      </c>
      <c r="Q672" s="33" t="inlineStr">
        <is>
          <t>Chipinge, Zimbabwe</t>
        </is>
      </c>
      <c r="R672" s="33" t="inlineStr">
        <is>
          <t>Africa</t>
        </is>
      </c>
      <c r="S672" s="33" t="inlineStr">
        <is>
          <t>Mozambique</t>
        </is>
      </c>
      <c r="T672" s="36">
        <f>DATE(MID(C672,7,4),MID(C672,4,2),MID(C672,1,2))+TIME(MID(C672,12,2),MID(C672,15,2),0)</f>
        <v/>
      </c>
      <c r="U672" s="33">
        <f>IF(ISNUMBER(VALUE(MID(A672,7,1))),"Distance-prefix pattern","Named-region pattern")</f>
        <v/>
      </c>
      <c r="V672" s="33">
        <f>LOWER(M672)</f>
        <v/>
      </c>
      <c r="W672" s="33">
        <f>IF(COUNTIFS($A$2:$A$1001,A672,$C$2:$C$1001,C672)&gt;1,"Duplicate","Unique")</f>
        <v/>
      </c>
      <c r="X672" s="33">
        <f>YEAR(T672)</f>
        <v/>
      </c>
      <c r="Y672" s="33">
        <f>IF(B672&lt;6.5,"&lt;6.5",IF(B672&lt;7,"6.5–6.9",IF(B672&lt;7.5,"7.0–7.4",IF(B672&lt;8,"7.5–7.9","8.0+"))))</f>
        <v/>
      </c>
      <c r="Z672" s="33">
        <f>IF(F672="","Blank",F672)</f>
        <v/>
      </c>
    </row>
    <row r="673" ht="15" customHeight="1" s="34">
      <c r="A673" s="33" t="inlineStr">
        <is>
          <t>M 6.7 - 26 km NE of Kýthira, Greece</t>
        </is>
      </c>
      <c r="B673" s="33" t="n">
        <v>6.7</v>
      </c>
      <c r="C673" s="33" t="inlineStr">
        <is>
          <t>08/01/2006 11:34</t>
        </is>
      </c>
      <c r="D673" s="33" t="n">
        <v>7</v>
      </c>
      <c r="E673" s="33" t="n">
        <v>6</v>
      </c>
      <c r="G673" s="33" t="n">
        <v>0</v>
      </c>
      <c r="H673" s="33" t="n">
        <v>934</v>
      </c>
      <c r="I673" s="33" t="inlineStr">
        <is>
          <t>us</t>
        </is>
      </c>
      <c r="J673" s="33" t="n">
        <v>769</v>
      </c>
      <c r="K673" s="33" t="n">
        <v>0</v>
      </c>
      <c r="L673" s="33" t="n">
        <v>19.7</v>
      </c>
      <c r="M673" s="33" t="inlineStr">
        <is>
          <t>mwb</t>
        </is>
      </c>
      <c r="N673" s="33" t="n">
        <v>66</v>
      </c>
      <c r="O673" s="33" t="n">
        <v>36.311</v>
      </c>
      <c r="P673" s="33" t="n">
        <v>23.212</v>
      </c>
      <c r="Q673" s="33" t="inlineStr">
        <is>
          <t>Kýthira, Greece</t>
        </is>
      </c>
      <c r="R673" s="33" t="inlineStr">
        <is>
          <t>Europe</t>
        </is>
      </c>
      <c r="S673" s="33" t="inlineStr">
        <is>
          <t>Greece</t>
        </is>
      </c>
      <c r="T673" s="36">
        <f>DATE(MID(C673,7,4),MID(C673,4,2),MID(C673,1,2))+TIME(MID(C673,12,2),MID(C673,15,2),0)</f>
        <v/>
      </c>
      <c r="U673" s="33">
        <f>IF(ISNUMBER(VALUE(MID(A673,7,1))),"Distance-prefix pattern","Named-region pattern")</f>
        <v/>
      </c>
      <c r="V673" s="33">
        <f>LOWER(M673)</f>
        <v/>
      </c>
      <c r="W673" s="33">
        <f>IF(COUNTIFS($A$2:$A$1001,A673,$C$2:$C$1001,C673)&gt;1,"Duplicate","Unique")</f>
        <v/>
      </c>
      <c r="X673" s="33">
        <f>YEAR(T673)</f>
        <v/>
      </c>
      <c r="Y673" s="33">
        <f>IF(B673&lt;6.5,"&lt;6.5",IF(B673&lt;7,"6.5–6.9",IF(B673&lt;7.5,"7.0–7.4",IF(B673&lt;8,"7.5–7.9","8.0+"))))</f>
        <v/>
      </c>
      <c r="Z673" s="33">
        <f>IF(F673="","Blank",F673)</f>
        <v/>
      </c>
    </row>
    <row r="674" ht="15" customHeight="1" s="34">
      <c r="A674" s="33" t="inlineStr">
        <is>
          <t>M 6.6 - 75 km SSW of Bahía de Kino, Mexico</t>
        </is>
      </c>
      <c r="B674" s="33" t="n">
        <v>6.6</v>
      </c>
      <c r="C674" s="33" t="inlineStr">
        <is>
          <t>04/01/2006 08:32</t>
        </is>
      </c>
      <c r="D674" s="33" t="n">
        <v>7</v>
      </c>
      <c r="E674" s="33" t="n">
        <v>6</v>
      </c>
      <c r="G674" s="33" t="n">
        <v>0</v>
      </c>
      <c r="H674" s="33" t="n">
        <v>703</v>
      </c>
      <c r="I674" s="33" t="inlineStr">
        <is>
          <t>us</t>
        </is>
      </c>
      <c r="J674" s="33" t="n">
        <v>323</v>
      </c>
      <c r="K674" s="33" t="n">
        <v>0</v>
      </c>
      <c r="L674" s="33" t="n">
        <v>48.2</v>
      </c>
      <c r="M674" s="33" t="inlineStr">
        <is>
          <t>mwc</t>
        </is>
      </c>
      <c r="N674" s="33" t="n">
        <v>14</v>
      </c>
      <c r="O674" s="33" t="n">
        <v>28.164</v>
      </c>
      <c r="P674" s="33" t="n">
        <v>-112.117</v>
      </c>
      <c r="Q674" s="33" t="inlineStr">
        <is>
          <t>Bahía de Kino, Mexico</t>
        </is>
      </c>
      <c r="T674" s="36">
        <f>DATE(MID(C674,7,4),MID(C674,4,2),MID(C674,1,2))+TIME(MID(C674,12,2),MID(C674,15,2),0)</f>
        <v/>
      </c>
      <c r="U674" s="33">
        <f>IF(ISNUMBER(VALUE(MID(A674,7,1))),"Distance-prefix pattern","Named-region pattern")</f>
        <v/>
      </c>
      <c r="V674" s="33">
        <f>LOWER(M674)</f>
        <v/>
      </c>
      <c r="W674" s="33">
        <f>IF(COUNTIFS($A$2:$A$1001,A674,$C$2:$C$1001,C674)&gt;1,"Duplicate","Unique")</f>
        <v/>
      </c>
      <c r="X674" s="33">
        <f>YEAR(T674)</f>
        <v/>
      </c>
      <c r="Y674" s="33">
        <f>IF(B674&lt;6.5,"&lt;6.5",IF(B674&lt;7,"6.5–6.9",IF(B674&lt;7.5,"7.0–7.4",IF(B674&lt;8,"7.5–7.9","8.0+"))))</f>
        <v/>
      </c>
      <c r="Z674" s="33">
        <f>IF(F674="","Blank",F674)</f>
        <v/>
      </c>
    </row>
    <row r="675" ht="15" customHeight="1" s="34">
      <c r="A675" s="33" t="inlineStr">
        <is>
          <t>M 6.5 - 53 km SW of Ashk?sham, Afghanistan</t>
        </is>
      </c>
      <c r="B675" s="33" t="n">
        <v>6.5</v>
      </c>
      <c r="C675" s="33" t="inlineStr">
        <is>
          <t>12/12/2005 21:47</t>
        </is>
      </c>
      <c r="D675" s="33" t="n">
        <v>6</v>
      </c>
      <c r="E675" s="33" t="n">
        <v>5</v>
      </c>
      <c r="G675" s="33" t="n">
        <v>0</v>
      </c>
      <c r="H675" s="33" t="n">
        <v>721</v>
      </c>
      <c r="I675" s="33" t="inlineStr">
        <is>
          <t>us</t>
        </is>
      </c>
      <c r="J675" s="33" t="n">
        <v>529</v>
      </c>
      <c r="K675" s="33" t="n">
        <v>0</v>
      </c>
      <c r="L675" s="33" t="n">
        <v>20.5</v>
      </c>
      <c r="M675" s="33" t="inlineStr">
        <is>
          <t>mwb</t>
        </is>
      </c>
      <c r="N675" s="33" t="n">
        <v>224.6</v>
      </c>
      <c r="O675" s="33" t="n">
        <v>36.357</v>
      </c>
      <c r="P675" s="33" t="n">
        <v>71.093</v>
      </c>
      <c r="Q675" s="33" t="inlineStr">
        <is>
          <t>Ashk?sham, Afghanistan</t>
        </is>
      </c>
      <c r="R675" s="33" t="inlineStr">
        <is>
          <t>Asia</t>
        </is>
      </c>
      <c r="S675" s="33" t="inlineStr">
        <is>
          <t>Afghanistan</t>
        </is>
      </c>
      <c r="T675" s="36">
        <f>DATE(MID(C675,7,4),MID(C675,4,2),MID(C675,1,2))+TIME(MID(C675,12,2),MID(C675,15,2),0)</f>
        <v/>
      </c>
      <c r="U675" s="33">
        <f>IF(ISNUMBER(VALUE(MID(A675,7,1))),"Distance-prefix pattern","Named-region pattern")</f>
        <v/>
      </c>
      <c r="V675" s="33">
        <f>LOWER(M675)</f>
        <v/>
      </c>
      <c r="W675" s="33">
        <f>IF(COUNTIFS($A$2:$A$1001,A675,$C$2:$C$1001,C675)&gt;1,"Duplicate","Unique")</f>
        <v/>
      </c>
      <c r="X675" s="33">
        <f>YEAR(T675)</f>
        <v/>
      </c>
      <c r="Y675" s="33">
        <f>IF(B675&lt;6.5,"&lt;6.5",IF(B675&lt;7,"6.5–6.9",IF(B675&lt;7.5,"7.0–7.4",IF(B675&lt;8,"7.5–7.9","8.0+"))))</f>
        <v/>
      </c>
      <c r="Z675" s="33">
        <f>IF(F675="","Blank",F675)</f>
        <v/>
      </c>
    </row>
    <row r="676" ht="15" customHeight="1" s="34">
      <c r="A676" s="33" t="inlineStr">
        <is>
          <t>M 6.8 - 76 km ESE of Kalemie, Democratic Republic of the Congo</t>
        </is>
      </c>
      <c r="B676" s="33" t="n">
        <v>6.8</v>
      </c>
      <c r="C676" s="33" t="inlineStr">
        <is>
          <t>05/12/2005 12:19</t>
        </is>
      </c>
      <c r="D676" s="33" t="n">
        <v>5</v>
      </c>
      <c r="E676" s="33" t="n">
        <v>7</v>
      </c>
      <c r="G676" s="33" t="n">
        <v>0</v>
      </c>
      <c r="H676" s="33" t="n">
        <v>744</v>
      </c>
      <c r="I676" s="33" t="inlineStr">
        <is>
          <t>us</t>
        </is>
      </c>
      <c r="J676" s="33" t="n">
        <v>561</v>
      </c>
      <c r="K676" s="33" t="n">
        <v>0</v>
      </c>
      <c r="L676" s="33" t="n">
        <v>20</v>
      </c>
      <c r="M676" s="33" t="inlineStr">
        <is>
          <t>mwc</t>
        </is>
      </c>
      <c r="N676" s="33" t="n">
        <v>22</v>
      </c>
      <c r="O676" s="33" t="n">
        <v>-6.224</v>
      </c>
      <c r="P676" s="33" t="n">
        <v>29.83</v>
      </c>
      <c r="Q676" s="33" t="inlineStr">
        <is>
          <t>Kalemie, Democratic Republic</t>
        </is>
      </c>
      <c r="R676" s="33" t="inlineStr">
        <is>
          <t>Africa</t>
        </is>
      </c>
      <c r="S676" s="33" t="inlineStr">
        <is>
          <t>Tanzania</t>
        </is>
      </c>
      <c r="T676" s="36">
        <f>DATE(MID(C676,7,4),MID(C676,4,2),MID(C676,1,2))+TIME(MID(C676,12,2),MID(C676,15,2),0)</f>
        <v/>
      </c>
      <c r="U676" s="33">
        <f>IF(ISNUMBER(VALUE(MID(A676,7,1))),"Distance-prefix pattern","Named-region pattern")</f>
        <v/>
      </c>
      <c r="V676" s="33">
        <f>LOWER(M676)</f>
        <v/>
      </c>
      <c r="W676" s="33">
        <f>IF(COUNTIFS($A$2:$A$1001,A676,$C$2:$C$1001,C676)&gt;1,"Duplicate","Unique")</f>
        <v/>
      </c>
      <c r="X676" s="33">
        <f>YEAR(T676)</f>
        <v/>
      </c>
      <c r="Y676" s="33">
        <f>IF(B676&lt;6.5,"&lt;6.5",IF(B676&lt;7,"6.5–6.9",IF(B676&lt;7.5,"7.0–7.4",IF(B676&lt;8,"7.5–7.9","8.0+"))))</f>
        <v/>
      </c>
      <c r="Z676" s="33">
        <f>IF(F676="","Blank",F676)</f>
        <v/>
      </c>
    </row>
    <row r="677" ht="15" customHeight="1" s="34">
      <c r="A677" s="33" t="inlineStr">
        <is>
          <t>M 6.5 - 80 km ESE of Ishinomaki, Japan</t>
        </is>
      </c>
      <c r="B677" s="33" t="n">
        <v>6.5</v>
      </c>
      <c r="C677" s="33" t="inlineStr">
        <is>
          <t>02/12/2005 13:13</t>
        </is>
      </c>
      <c r="D677" s="33" t="n">
        <v>4</v>
      </c>
      <c r="E677" s="33" t="n">
        <v>5</v>
      </c>
      <c r="G677" s="33" t="n">
        <v>0</v>
      </c>
      <c r="H677" s="33" t="n">
        <v>683</v>
      </c>
      <c r="I677" s="33" t="inlineStr">
        <is>
          <t>us</t>
        </is>
      </c>
      <c r="J677" s="33" t="n">
        <v>464</v>
      </c>
      <c r="K677" s="33" t="n">
        <v>0</v>
      </c>
      <c r="L677" s="33" t="n">
        <v>48.8</v>
      </c>
      <c r="M677" s="33" t="inlineStr">
        <is>
          <t>mwc</t>
        </is>
      </c>
      <c r="N677" s="33" t="n">
        <v>29</v>
      </c>
      <c r="O677" s="33" t="n">
        <v>38.089</v>
      </c>
      <c r="P677" s="33" t="n">
        <v>142.122</v>
      </c>
      <c r="Q677" s="33" t="inlineStr">
        <is>
          <t>Ishinomaki, Japan</t>
        </is>
      </c>
      <c r="T677" s="36">
        <f>DATE(MID(C677,7,4),MID(C677,4,2),MID(C677,1,2))+TIME(MID(C677,12,2),MID(C677,15,2),0)</f>
        <v/>
      </c>
      <c r="U677" s="33">
        <f>IF(ISNUMBER(VALUE(MID(A677,7,1))),"Distance-prefix pattern","Named-region pattern")</f>
        <v/>
      </c>
      <c r="V677" s="33">
        <f>LOWER(M677)</f>
        <v/>
      </c>
      <c r="W677" s="33">
        <f>IF(COUNTIFS($A$2:$A$1001,A677,$C$2:$C$1001,C677)&gt;1,"Duplicate","Unique")</f>
        <v/>
      </c>
      <c r="X677" s="33">
        <f>YEAR(T677)</f>
        <v/>
      </c>
      <c r="Y677" s="33">
        <f>IF(B677&lt;6.5,"&lt;6.5",IF(B677&lt;7,"6.5–6.9",IF(B677&lt;7.5,"7.0–7.4",IF(B677&lt;8,"7.5–7.9","8.0+"))))</f>
        <v/>
      </c>
      <c r="Z677" s="33">
        <f>IF(F677="","Blank",F677)</f>
        <v/>
      </c>
    </row>
    <row r="678" ht="15" customHeight="1" s="34">
      <c r="A678" s="33" t="inlineStr">
        <is>
          <t>M 6.5 - 57 km SE of Sinabang, Indonesia</t>
        </is>
      </c>
      <c r="B678" s="33" t="n">
        <v>6.5</v>
      </c>
      <c r="C678" s="33" t="inlineStr">
        <is>
          <t>19/11/2005 14:10</t>
        </is>
      </c>
      <c r="D678" s="33" t="n">
        <v>3</v>
      </c>
      <c r="E678" s="33" t="n">
        <v>6</v>
      </c>
      <c r="G678" s="33" t="n">
        <v>0</v>
      </c>
      <c r="H678" s="33" t="n">
        <v>651</v>
      </c>
      <c r="I678" s="33" t="inlineStr">
        <is>
          <t>us</t>
        </is>
      </c>
      <c r="J678" s="33" t="n">
        <v>358</v>
      </c>
      <c r="K678" s="33" t="n">
        <v>0</v>
      </c>
      <c r="L678" s="33" t="n">
        <v>20.7</v>
      </c>
      <c r="M678" s="33" t="inlineStr">
        <is>
          <t>mwb</t>
        </is>
      </c>
      <c r="N678" s="33" t="n">
        <v>21</v>
      </c>
      <c r="O678" s="33" t="n">
        <v>2.164</v>
      </c>
      <c r="P678" s="33" t="n">
        <v>96.786</v>
      </c>
      <c r="Q678" s="33" t="inlineStr">
        <is>
          <t>Sinabang, Indonesia</t>
        </is>
      </c>
      <c r="S678" s="33" t="inlineStr">
        <is>
          <t>Indonesia</t>
        </is>
      </c>
      <c r="T678" s="36">
        <f>DATE(MID(C678,7,4),MID(C678,4,2),MID(C678,1,2))+TIME(MID(C678,12,2),MID(C678,15,2),0)</f>
        <v/>
      </c>
      <c r="U678" s="33">
        <f>IF(ISNUMBER(VALUE(MID(A678,7,1))),"Distance-prefix pattern","Named-region pattern")</f>
        <v/>
      </c>
      <c r="V678" s="33">
        <f>LOWER(M678)</f>
        <v/>
      </c>
      <c r="W678" s="33">
        <f>IF(COUNTIFS($A$2:$A$1001,A678,$C$2:$C$1001,C678)&gt;1,"Duplicate","Unique")</f>
        <v/>
      </c>
      <c r="X678" s="33">
        <f>YEAR(T678)</f>
        <v/>
      </c>
      <c r="Y678" s="33">
        <f>IF(B678&lt;6.5,"&lt;6.5",IF(B678&lt;7,"6.5–6.9",IF(B678&lt;7.5,"7.0–7.4",IF(B678&lt;8,"7.5–7.9","8.0+"))))</f>
        <v/>
      </c>
      <c r="Z678" s="33">
        <f>IF(F678="","Blank",F678)</f>
        <v/>
      </c>
    </row>
    <row r="679" ht="15" customHeight="1" s="34">
      <c r="A679" s="33" t="inlineStr">
        <is>
          <t>M 6.8 - 68 km NNE of San Pedro de Atacama, Chile</t>
        </is>
      </c>
      <c r="B679" s="33" t="n">
        <v>6.8</v>
      </c>
      <c r="C679" s="33" t="inlineStr">
        <is>
          <t>17/11/2005 19:26</t>
        </is>
      </c>
      <c r="D679" s="33" t="n">
        <v>0</v>
      </c>
      <c r="E679" s="33" t="n">
        <v>6</v>
      </c>
      <c r="G679" s="33" t="n">
        <v>0</v>
      </c>
      <c r="H679" s="33" t="n">
        <v>711</v>
      </c>
      <c r="I679" s="33" t="inlineStr">
        <is>
          <t>us</t>
        </is>
      </c>
      <c r="J679" s="33" t="n">
        <v>509</v>
      </c>
      <c r="K679" s="33" t="n">
        <v>0</v>
      </c>
      <c r="L679" s="33" t="n">
        <v>30.1</v>
      </c>
      <c r="M679" s="33" t="inlineStr">
        <is>
          <t>mwb</t>
        </is>
      </c>
      <c r="N679" s="33" t="n">
        <v>147</v>
      </c>
      <c r="O679" s="33" t="n">
        <v>-22.361</v>
      </c>
      <c r="P679" s="33" t="n">
        <v>-67.895</v>
      </c>
      <c r="Q679" s="33" t="inlineStr">
        <is>
          <t>San Pedro de Atacama, Chile</t>
        </is>
      </c>
      <c r="R679" s="33" t="inlineStr">
        <is>
          <t>South America</t>
        </is>
      </c>
      <c r="S679" s="33" t="inlineStr">
        <is>
          <t>Bolivia</t>
        </is>
      </c>
      <c r="T679" s="36">
        <f>DATE(MID(C679,7,4),MID(C679,4,2),MID(C679,1,2))+TIME(MID(C679,12,2),MID(C679,15,2),0)</f>
        <v/>
      </c>
      <c r="U679" s="33">
        <f>IF(ISNUMBER(VALUE(MID(A679,7,1))),"Distance-prefix pattern","Named-region pattern")</f>
        <v/>
      </c>
      <c r="V679" s="33">
        <f>LOWER(M679)</f>
        <v/>
      </c>
      <c r="W679" s="33">
        <f>IF(COUNTIFS($A$2:$A$1001,A679,$C$2:$C$1001,C679)&gt;1,"Duplicate","Unique")</f>
        <v/>
      </c>
      <c r="X679" s="33">
        <f>YEAR(T679)</f>
        <v/>
      </c>
      <c r="Y679" s="33">
        <f>IF(B679&lt;6.5,"&lt;6.5",IF(B679&lt;7,"6.5–6.9",IF(B679&lt;7.5,"7.0–7.4",IF(B679&lt;8,"7.5–7.9","8.0+"))))</f>
        <v/>
      </c>
      <c r="Z679" s="33">
        <f>IF(F679="","Blank",F679)</f>
        <v/>
      </c>
    </row>
    <row r="680" ht="15" customHeight="1" s="34">
      <c r="A680" s="33" t="inlineStr">
        <is>
          <t>M 7.6 - 21 km NNE of Muzaffar?b?d, Pakistan</t>
        </is>
      </c>
      <c r="B680" s="33" t="n">
        <v>7.6</v>
      </c>
      <c r="C680" s="33" t="inlineStr">
        <is>
          <t>08/10/2005 03:50</t>
        </is>
      </c>
      <c r="D680" s="33" t="n">
        <v>9</v>
      </c>
      <c r="E680" s="33" t="n">
        <v>9</v>
      </c>
      <c r="G680" s="33" t="n">
        <v>0</v>
      </c>
      <c r="H680" s="33" t="n">
        <v>1267</v>
      </c>
      <c r="I680" s="33" t="inlineStr">
        <is>
          <t>us</t>
        </is>
      </c>
      <c r="J680" s="33" t="n">
        <v>724</v>
      </c>
      <c r="K680" s="33" t="n">
        <v>0</v>
      </c>
      <c r="L680" s="33" t="n">
        <v>21.1</v>
      </c>
      <c r="M680" s="33" t="inlineStr">
        <is>
          <t>mwc</t>
        </is>
      </c>
      <c r="N680" s="33" t="n">
        <v>26</v>
      </c>
      <c r="O680" s="33" t="n">
        <v>34.539</v>
      </c>
      <c r="P680" s="33" t="n">
        <v>73.58799999999999</v>
      </c>
      <c r="Q680" s="33" t="inlineStr">
        <is>
          <t>Muzaffar?b?d, Pakistan</t>
        </is>
      </c>
      <c r="R680" s="33" t="inlineStr">
        <is>
          <t>Asia</t>
        </is>
      </c>
      <c r="S680" s="33" t="inlineStr">
        <is>
          <t>Pakistan</t>
        </is>
      </c>
      <c r="T680" s="36">
        <f>DATE(MID(C680,7,4),MID(C680,4,2),MID(C680,1,2))+TIME(MID(C680,12,2),MID(C680,15,2),0)</f>
        <v/>
      </c>
      <c r="U680" s="33">
        <f>IF(ISNUMBER(VALUE(MID(A680,7,1))),"Distance-prefix pattern","Named-region pattern")</f>
        <v/>
      </c>
      <c r="V680" s="33">
        <f>LOWER(M680)</f>
        <v/>
      </c>
      <c r="W680" s="33">
        <f>IF(COUNTIFS($A$2:$A$1001,A680,$C$2:$C$1001,C680)&gt;1,"Duplicate","Unique")</f>
        <v/>
      </c>
      <c r="X680" s="33">
        <f>YEAR(T680)</f>
        <v/>
      </c>
      <c r="Y680" s="33">
        <f>IF(B680&lt;6.5,"&lt;6.5",IF(B680&lt;7,"6.5–6.9",IF(B680&lt;7.5,"7.0–7.4",IF(B680&lt;8,"7.5–7.9","8.0+"))))</f>
        <v/>
      </c>
      <c r="Z680" s="33">
        <f>IF(F680="","Blank",F680)</f>
        <v/>
      </c>
    </row>
    <row r="681" ht="15" customHeight="1" s="34">
      <c r="A681" s="33" t="inlineStr">
        <is>
          <t>M 6.6 - 129 km SSW of Kokopo, Papua New Guinea</t>
        </is>
      </c>
      <c r="B681" s="33" t="n">
        <v>6.6</v>
      </c>
      <c r="C681" s="33" t="inlineStr">
        <is>
          <t>29/09/2005 15:50</t>
        </is>
      </c>
      <c r="D681" s="33" t="n">
        <v>0</v>
      </c>
      <c r="E681" s="33" t="n">
        <v>6</v>
      </c>
      <c r="G681" s="33" t="n">
        <v>0</v>
      </c>
      <c r="H681" s="33" t="n">
        <v>670</v>
      </c>
      <c r="I681" s="33" t="inlineStr">
        <is>
          <t>us</t>
        </is>
      </c>
      <c r="J681" s="33" t="n">
        <v>402</v>
      </c>
      <c r="K681" s="33" t="n">
        <v>0</v>
      </c>
      <c r="L681" s="33" t="n">
        <v>17.7</v>
      </c>
      <c r="M681" s="33" t="inlineStr">
        <is>
          <t>mwc</t>
        </is>
      </c>
      <c r="N681" s="33" t="n">
        <v>25</v>
      </c>
      <c r="O681" s="33" t="n">
        <v>-5.437</v>
      </c>
      <c r="P681" s="33" t="n">
        <v>151.84</v>
      </c>
      <c r="Q681" s="33" t="inlineStr">
        <is>
          <t>Kokopo, Papua New Guinea</t>
        </is>
      </c>
      <c r="S681" s="33" t="inlineStr">
        <is>
          <t>Papua New Guinea</t>
        </is>
      </c>
      <c r="T681" s="36">
        <f>DATE(MID(C681,7,4),MID(C681,4,2),MID(C681,1,2))+TIME(MID(C681,12,2),MID(C681,15,2),0)</f>
        <v/>
      </c>
      <c r="U681" s="33">
        <f>IF(ISNUMBER(VALUE(MID(A681,7,1))),"Distance-prefix pattern","Named-region pattern")</f>
        <v/>
      </c>
      <c r="V681" s="33">
        <f>LOWER(M681)</f>
        <v/>
      </c>
      <c r="W681" s="33">
        <f>IF(COUNTIFS($A$2:$A$1001,A681,$C$2:$C$1001,C681)&gt;1,"Duplicate","Unique")</f>
        <v/>
      </c>
      <c r="X681" s="33">
        <f>YEAR(T681)</f>
        <v/>
      </c>
      <c r="Y681" s="33">
        <f>IF(B681&lt;6.5,"&lt;6.5",IF(B681&lt;7,"6.5–6.9",IF(B681&lt;7.5,"7.0–7.4",IF(B681&lt;8,"7.5–7.9","8.0+"))))</f>
        <v/>
      </c>
      <c r="Z681" s="33">
        <f>IF(F681="","Blank",F681)</f>
        <v/>
      </c>
    </row>
    <row r="682" ht="15" customHeight="1" s="34">
      <c r="A682" s="33" t="inlineStr">
        <is>
          <t>M 7.5 - 39 km NW of Yurimaguas, Peru</t>
        </is>
      </c>
      <c r="B682" s="33" t="n">
        <v>7.5</v>
      </c>
      <c r="C682" s="33" t="inlineStr">
        <is>
          <t>26/09/2005 01:55</t>
        </is>
      </c>
      <c r="D682" s="33" t="n">
        <v>8</v>
      </c>
      <c r="E682" s="33" t="n">
        <v>7</v>
      </c>
      <c r="G682" s="33" t="n">
        <v>0</v>
      </c>
      <c r="H682" s="33" t="n">
        <v>1018</v>
      </c>
      <c r="I682" s="33" t="inlineStr">
        <is>
          <t>us</t>
        </is>
      </c>
      <c r="J682" s="33" t="n">
        <v>696</v>
      </c>
      <c r="K682" s="33" t="n">
        <v>0</v>
      </c>
      <c r="L682" s="33" t="n">
        <v>26.2</v>
      </c>
      <c r="M682" s="33" t="inlineStr">
        <is>
          <t>mwb</t>
        </is>
      </c>
      <c r="N682" s="33" t="n">
        <v>115</v>
      </c>
      <c r="O682" s="33" t="n">
        <v>-5.678</v>
      </c>
      <c r="P682" s="33" t="n">
        <v>-76.398</v>
      </c>
      <c r="Q682" s="33" t="inlineStr">
        <is>
          <t>Yurimaguas, Peru</t>
        </is>
      </c>
      <c r="R682" s="33" t="inlineStr">
        <is>
          <t>South America</t>
        </is>
      </c>
      <c r="S682" s="33" t="inlineStr">
        <is>
          <t>Peru</t>
        </is>
      </c>
      <c r="T682" s="36">
        <f>DATE(MID(C682,7,4),MID(C682,4,2),MID(C682,1,2))+TIME(MID(C682,12,2),MID(C682,15,2),0)</f>
        <v/>
      </c>
      <c r="U682" s="33">
        <f>IF(ISNUMBER(VALUE(MID(A682,7,1))),"Distance-prefix pattern","Named-region pattern")</f>
        <v/>
      </c>
      <c r="V682" s="33">
        <f>LOWER(M682)</f>
        <v/>
      </c>
      <c r="W682" s="33">
        <f>IF(COUNTIFS($A$2:$A$1001,A682,$C$2:$C$1001,C682)&gt;1,"Duplicate","Unique")</f>
        <v/>
      </c>
      <c r="X682" s="33">
        <f>YEAR(T682)</f>
        <v/>
      </c>
      <c r="Y682" s="33">
        <f>IF(B682&lt;6.5,"&lt;6.5",IF(B682&lt;7,"6.5–6.9",IF(B682&lt;7.5,"7.0–7.4",IF(B682&lt;8,"7.5–7.9","8.0+"))))</f>
        <v/>
      </c>
      <c r="Z682" s="33">
        <f>IF(F682="","Blank",F682)</f>
        <v/>
      </c>
    </row>
    <row r="683" ht="15" customHeight="1" s="34">
      <c r="A683" s="33" t="inlineStr">
        <is>
          <t>M 7.6 - 135 km E of Kokopo, Papua New Guinea</t>
        </is>
      </c>
      <c r="B683" s="33" t="n">
        <v>7.6</v>
      </c>
      <c r="C683" s="33" t="inlineStr">
        <is>
          <t>09/09/2005 07:26</t>
        </is>
      </c>
      <c r="D683" s="33" t="n">
        <v>5</v>
      </c>
      <c r="E683" s="33" t="n">
        <v>7</v>
      </c>
      <c r="G683" s="33" t="n">
        <v>0</v>
      </c>
      <c r="H683" s="33" t="n">
        <v>891</v>
      </c>
      <c r="I683" s="33" t="inlineStr">
        <is>
          <t>us</t>
        </is>
      </c>
      <c r="J683" s="33" t="n">
        <v>502</v>
      </c>
      <c r="K683" s="33" t="n">
        <v>0</v>
      </c>
      <c r="L683" s="33" t="n">
        <v>20</v>
      </c>
      <c r="M683" s="33" t="inlineStr">
        <is>
          <t>mwc</t>
        </is>
      </c>
      <c r="N683" s="33" t="n">
        <v>90</v>
      </c>
      <c r="O683" s="33" t="n">
        <v>-4.539</v>
      </c>
      <c r="P683" s="33" t="n">
        <v>153.474</v>
      </c>
      <c r="Q683" s="33" t="inlineStr">
        <is>
          <t>Kokopo, Papua New Guinea</t>
        </is>
      </c>
      <c r="S683" s="33" t="inlineStr">
        <is>
          <t>Papua New Guinea</t>
        </is>
      </c>
      <c r="T683" s="36">
        <f>DATE(MID(C683,7,4),MID(C683,4,2),MID(C683,1,2))+TIME(MID(C683,12,2),MID(C683,15,2),0)</f>
        <v/>
      </c>
      <c r="U683" s="33">
        <f>IF(ISNUMBER(VALUE(MID(A683,7,1))),"Distance-prefix pattern","Named-region pattern")</f>
        <v/>
      </c>
      <c r="V683" s="33">
        <f>LOWER(M683)</f>
        <v/>
      </c>
      <c r="W683" s="33">
        <f>IF(COUNTIFS($A$2:$A$1001,A683,$C$2:$C$1001,C683)&gt;1,"Duplicate","Unique")</f>
        <v/>
      </c>
      <c r="X683" s="33">
        <f>YEAR(T683)</f>
        <v/>
      </c>
      <c r="Y683" s="33">
        <f>IF(B683&lt;6.5,"&lt;6.5",IF(B683&lt;7,"6.5–6.9",IF(B683&lt;7.5,"7.0–7.4",IF(B683&lt;8,"7.5–7.9","8.0+"))))</f>
        <v/>
      </c>
      <c r="Z683" s="33">
        <f>IF(F683="","Blank",F683)</f>
        <v/>
      </c>
    </row>
    <row r="684" ht="15" customHeight="1" s="34">
      <c r="A684" s="33" t="inlineStr">
        <is>
          <t>M 7.2 - 66 km ESE of Ishinomaki, Japan</t>
        </is>
      </c>
      <c r="B684" s="33" t="n">
        <v>7.2</v>
      </c>
      <c r="C684" s="33" t="inlineStr">
        <is>
          <t>16/08/2005 02:46</t>
        </is>
      </c>
      <c r="D684" s="33" t="n">
        <v>7</v>
      </c>
      <c r="E684" s="33" t="n">
        <v>7</v>
      </c>
      <c r="G684" s="33" t="n">
        <v>0</v>
      </c>
      <c r="H684" s="33" t="n">
        <v>1104</v>
      </c>
      <c r="I684" s="33" t="inlineStr">
        <is>
          <t>us</t>
        </is>
      </c>
      <c r="J684" s="33" t="n">
        <v>698</v>
      </c>
      <c r="K684" s="33" t="n">
        <v>0</v>
      </c>
      <c r="L684" s="33" t="n">
        <v>19.6</v>
      </c>
      <c r="M684" s="33" t="inlineStr">
        <is>
          <t>mwc</t>
        </is>
      </c>
      <c r="N684" s="33" t="n">
        <v>36</v>
      </c>
      <c r="O684" s="33" t="n">
        <v>38.276</v>
      </c>
      <c r="P684" s="33" t="n">
        <v>142.039</v>
      </c>
      <c r="Q684" s="33" t="inlineStr">
        <is>
          <t>Ishinomaki, Japan</t>
        </is>
      </c>
      <c r="T684" s="36">
        <f>DATE(MID(C684,7,4),MID(C684,4,2),MID(C684,1,2))+TIME(MID(C684,12,2),MID(C684,15,2),0)</f>
        <v/>
      </c>
      <c r="U684" s="33">
        <f>IF(ISNUMBER(VALUE(MID(A684,7,1))),"Distance-prefix pattern","Named-region pattern")</f>
        <v/>
      </c>
      <c r="V684" s="33">
        <f>LOWER(M684)</f>
        <v/>
      </c>
      <c r="W684" s="33">
        <f>IF(COUNTIFS($A$2:$A$1001,A684,$C$2:$C$1001,C684)&gt;1,"Duplicate","Unique")</f>
        <v/>
      </c>
      <c r="X684" s="33">
        <f>YEAR(T684)</f>
        <v/>
      </c>
      <c r="Y684" s="33">
        <f>IF(B684&lt;6.5,"&lt;6.5",IF(B684&lt;7,"6.5–6.9",IF(B684&lt;7.5,"7.0–7.4",IF(B684&lt;8,"7.5–7.9","8.0+"))))</f>
        <v/>
      </c>
      <c r="Z684" s="33">
        <f>IF(F684="","Blank",F684)</f>
        <v/>
      </c>
    </row>
    <row r="685" ht="15" customHeight="1" s="34">
      <c r="A685" s="33" t="inlineStr">
        <is>
          <t>M 7.2 - Nicobar Islands, India region</t>
        </is>
      </c>
      <c r="B685" s="33" t="n">
        <v>7.2</v>
      </c>
      <c r="C685" s="33" t="inlineStr">
        <is>
          <t>24/07/2005 15:42</t>
        </is>
      </c>
      <c r="D685" s="33" t="n">
        <v>4</v>
      </c>
      <c r="E685" s="33" t="n">
        <v>5</v>
      </c>
      <c r="G685" s="33" t="n">
        <v>0</v>
      </c>
      <c r="H685" s="33" t="n">
        <v>808</v>
      </c>
      <c r="I685" s="33" t="inlineStr">
        <is>
          <t>us</t>
        </is>
      </c>
      <c r="J685" s="33" t="n">
        <v>636</v>
      </c>
      <c r="K685" s="33" t="n">
        <v>0</v>
      </c>
      <c r="L685" s="33" t="n">
        <v>26.4</v>
      </c>
      <c r="M685" s="33" t="inlineStr">
        <is>
          <t>mwc</t>
        </is>
      </c>
      <c r="N685" s="33" t="n">
        <v>16</v>
      </c>
      <c r="O685" s="33" t="n">
        <v>7.92</v>
      </c>
      <c r="P685" s="33" t="n">
        <v>92.19</v>
      </c>
      <c r="Q685" s="33" t="inlineStr">
        <is>
          <t>Nicobar Islands, India region</t>
        </is>
      </c>
      <c r="T685" s="36">
        <f>DATE(MID(C685,7,4),MID(C685,4,2),MID(C685,1,2))+TIME(MID(C685,12,2),MID(C685,15,2),0)</f>
        <v/>
      </c>
      <c r="U685" s="33">
        <f>IF(ISNUMBER(VALUE(MID(A685,7,1))),"Distance-prefix pattern","Named-region pattern")</f>
        <v/>
      </c>
      <c r="V685" s="33">
        <f>LOWER(M685)</f>
        <v/>
      </c>
      <c r="W685" s="33">
        <f>IF(COUNTIFS($A$2:$A$1001,A685,$C$2:$C$1001,C685)&gt;1,"Duplicate","Unique")</f>
        <v/>
      </c>
      <c r="X685" s="33">
        <f>YEAR(T685)</f>
        <v/>
      </c>
      <c r="Y685" s="33">
        <f>IF(B685&lt;6.5,"&lt;6.5",IF(B685&lt;7,"6.5–6.9",IF(B685&lt;7.5,"7.0–7.4",IF(B685&lt;8,"7.5–7.9","8.0+"))))</f>
        <v/>
      </c>
      <c r="Z685" s="33">
        <f>IF(F685="","Blank",F685)</f>
        <v/>
      </c>
    </row>
    <row r="686" ht="15" customHeight="1" s="34">
      <c r="A686" s="33" t="inlineStr">
        <is>
          <t>M 6.7 - 94 km WSW of Singkil, Indonesia</t>
        </is>
      </c>
      <c r="B686" s="33" t="n">
        <v>6.7</v>
      </c>
      <c r="C686" s="33" t="inlineStr">
        <is>
          <t>05/07/2005 01:52</t>
        </is>
      </c>
      <c r="D686" s="33" t="n">
        <v>3</v>
      </c>
      <c r="E686" s="33" t="n">
        <v>6</v>
      </c>
      <c r="G686" s="33" t="n">
        <v>0</v>
      </c>
      <c r="H686" s="33" t="n">
        <v>693</v>
      </c>
      <c r="I686" s="33" t="inlineStr">
        <is>
          <t>us</t>
        </is>
      </c>
      <c r="J686" s="33" t="n">
        <v>398</v>
      </c>
      <c r="K686" s="33" t="n">
        <v>0</v>
      </c>
      <c r="L686" s="33" t="n">
        <v>22.3</v>
      </c>
      <c r="M686" s="33" t="inlineStr">
        <is>
          <t>mwc</t>
        </is>
      </c>
      <c r="N686" s="33" t="n">
        <v>21</v>
      </c>
      <c r="O686" s="33" t="n">
        <v>1.819</v>
      </c>
      <c r="P686" s="33" t="n">
        <v>97.08199999999999</v>
      </c>
      <c r="Q686" s="33" t="inlineStr">
        <is>
          <t>Singkil, Indonesia</t>
        </is>
      </c>
      <c r="S686" s="33" t="inlineStr">
        <is>
          <t>Indonesia</t>
        </is>
      </c>
      <c r="T686" s="36">
        <f>DATE(MID(C686,7,4),MID(C686,4,2),MID(C686,1,2))+TIME(MID(C686,12,2),MID(C686,15,2),0)</f>
        <v/>
      </c>
      <c r="U686" s="33">
        <f>IF(ISNUMBER(VALUE(MID(A686,7,1))),"Distance-prefix pattern","Named-region pattern")</f>
        <v/>
      </c>
      <c r="V686" s="33">
        <f>LOWER(M686)</f>
        <v/>
      </c>
      <c r="W686" s="33">
        <f>IF(COUNTIFS($A$2:$A$1001,A686,$C$2:$C$1001,C686)&gt;1,"Duplicate","Unique")</f>
        <v/>
      </c>
      <c r="X686" s="33">
        <f>YEAR(T686)</f>
        <v/>
      </c>
      <c r="Y686" s="33">
        <f>IF(B686&lt;6.5,"&lt;6.5",IF(B686&lt;7,"6.5–6.9",IF(B686&lt;7.5,"7.0–7.4",IF(B686&lt;8,"7.5–7.9","8.0+"))))</f>
        <v/>
      </c>
      <c r="Z686" s="33">
        <f>IF(F686="","Blank",F686)</f>
        <v/>
      </c>
    </row>
    <row r="687" ht="15" customHeight="1" s="34">
      <c r="A687" s="33" t="inlineStr">
        <is>
          <t>M 6.6 - 32 km W of San Juan del Sur, Nicaragua</t>
        </is>
      </c>
      <c r="B687" s="33" t="n">
        <v>6.6</v>
      </c>
      <c r="C687" s="33" t="inlineStr">
        <is>
          <t>02/07/2005 02:16</t>
        </is>
      </c>
      <c r="D687" s="33" t="n">
        <v>6</v>
      </c>
      <c r="E687" s="33" t="n">
        <v>5</v>
      </c>
      <c r="G687" s="33" t="n">
        <v>0</v>
      </c>
      <c r="H687" s="33" t="n">
        <v>719</v>
      </c>
      <c r="I687" s="33" t="inlineStr">
        <is>
          <t>us</t>
        </is>
      </c>
      <c r="J687" s="33" t="n">
        <v>446</v>
      </c>
      <c r="K687" s="33" t="n">
        <v>0</v>
      </c>
      <c r="L687" s="33" t="n">
        <v>21.1</v>
      </c>
      <c r="M687" s="33" t="inlineStr">
        <is>
          <t>mwc</t>
        </is>
      </c>
      <c r="N687" s="33" t="n">
        <v>27</v>
      </c>
      <c r="O687" s="33" t="n">
        <v>11.245</v>
      </c>
      <c r="P687" s="33" t="n">
        <v>-86.172</v>
      </c>
      <c r="Q687" s="33" t="inlineStr">
        <is>
          <t>San Juan del Sur, Nicaragua</t>
        </is>
      </c>
      <c r="T687" s="36">
        <f>DATE(MID(C687,7,4),MID(C687,4,2),MID(C687,1,2))+TIME(MID(C687,12,2),MID(C687,15,2),0)</f>
        <v/>
      </c>
      <c r="U687" s="33">
        <f>IF(ISNUMBER(VALUE(MID(A687,7,1))),"Distance-prefix pattern","Named-region pattern")</f>
        <v/>
      </c>
      <c r="V687" s="33">
        <f>LOWER(M687)</f>
        <v/>
      </c>
      <c r="W687" s="33">
        <f>IF(COUNTIFS($A$2:$A$1001,A687,$C$2:$C$1001,C687)&gt;1,"Duplicate","Unique")</f>
        <v/>
      </c>
      <c r="X687" s="33">
        <f>YEAR(T687)</f>
        <v/>
      </c>
      <c r="Y687" s="33">
        <f>IF(B687&lt;6.5,"&lt;6.5",IF(B687&lt;7,"6.5–6.9",IF(B687&lt;7.5,"7.0–7.4",IF(B687&lt;8,"7.5–7.9","8.0+"))))</f>
        <v/>
      </c>
      <c r="Z687" s="33">
        <f>IF(F687="","Blank",F687)</f>
        <v/>
      </c>
    </row>
    <row r="688" ht="15" customHeight="1" s="34">
      <c r="A688" s="33" t="inlineStr">
        <is>
          <t>M 7.2 - 153 km W of Big Lagoon, California</t>
        </is>
      </c>
      <c r="B688" s="33" t="n">
        <v>7.2</v>
      </c>
      <c r="C688" s="33" t="inlineStr">
        <is>
          <t>15/06/2005 02:50</t>
        </is>
      </c>
      <c r="D688" s="33" t="n">
        <v>5</v>
      </c>
      <c r="E688" s="33" t="n">
        <v>4</v>
      </c>
      <c r="G688" s="33" t="n">
        <v>0</v>
      </c>
      <c r="H688" s="33" t="n">
        <v>1318</v>
      </c>
      <c r="I688" s="33" t="inlineStr">
        <is>
          <t>us</t>
        </is>
      </c>
      <c r="J688" s="33" t="n">
        <v>420</v>
      </c>
      <c r="K688" s="33" t="n">
        <v>0</v>
      </c>
      <c r="L688" s="33" t="n">
        <v>31.4</v>
      </c>
      <c r="M688" s="33" t="inlineStr">
        <is>
          <t>mwc</t>
        </is>
      </c>
      <c r="N688" s="33" t="n">
        <v>16</v>
      </c>
      <c r="O688" s="33" t="n">
        <v>41.292</v>
      </c>
      <c r="P688" s="33" t="n">
        <v>-125.953</v>
      </c>
      <c r="Q688" s="33" t="inlineStr">
        <is>
          <t>Big Lagoon, California</t>
        </is>
      </c>
      <c r="T688" s="36">
        <f>DATE(MID(C688,7,4),MID(C688,4,2),MID(C688,1,2))+TIME(MID(C688,12,2),MID(C688,15,2),0)</f>
        <v/>
      </c>
      <c r="U688" s="33">
        <f>IF(ISNUMBER(VALUE(MID(A688,7,1))),"Distance-prefix pattern","Named-region pattern")</f>
        <v/>
      </c>
      <c r="V688" s="33">
        <f>LOWER(M688)</f>
        <v/>
      </c>
      <c r="W688" s="33">
        <f>IF(COUNTIFS($A$2:$A$1001,A688,$C$2:$C$1001,C688)&gt;1,"Duplicate","Unique")</f>
        <v/>
      </c>
      <c r="X688" s="33">
        <f>YEAR(T688)</f>
        <v/>
      </c>
      <c r="Y688" s="33">
        <f>IF(B688&lt;6.5,"&lt;6.5",IF(B688&lt;7,"6.5–6.9",IF(B688&lt;7.5,"7.0–7.4",IF(B688&lt;8,"7.5–7.9","8.0+"))))</f>
        <v/>
      </c>
      <c r="Z688" s="33">
        <f>IF(F688="","Blank",F688)</f>
        <v/>
      </c>
    </row>
    <row r="689" ht="15" customHeight="1" s="34">
      <c r="A689" s="33" t="inlineStr">
        <is>
          <t>M 7.8 - 102 km ENE of Iquique, Chile</t>
        </is>
      </c>
      <c r="B689" s="33" t="n">
        <v>7.8</v>
      </c>
      <c r="C689" s="33" t="inlineStr">
        <is>
          <t>13/06/2005 22:44</t>
        </is>
      </c>
      <c r="D689" s="33" t="n">
        <v>8</v>
      </c>
      <c r="E689" s="33" t="n">
        <v>7</v>
      </c>
      <c r="G689" s="33" t="n">
        <v>0</v>
      </c>
      <c r="H689" s="33" t="n">
        <v>1020</v>
      </c>
      <c r="I689" s="33" t="inlineStr">
        <is>
          <t>us</t>
        </is>
      </c>
      <c r="J689" s="33" t="n">
        <v>714</v>
      </c>
      <c r="K689" s="33" t="n">
        <v>0</v>
      </c>
      <c r="L689" s="33" t="n">
        <v>16.1</v>
      </c>
      <c r="M689" s="33" t="inlineStr">
        <is>
          <t>mwb</t>
        </is>
      </c>
      <c r="N689" s="33" t="n">
        <v>115.6</v>
      </c>
      <c r="O689" s="33" t="n">
        <v>-19.987</v>
      </c>
      <c r="P689" s="33" t="n">
        <v>-69.197</v>
      </c>
      <c r="Q689" s="33" t="inlineStr">
        <is>
          <t>Iquique, Chile</t>
        </is>
      </c>
      <c r="R689" s="33" t="inlineStr">
        <is>
          <t>South America</t>
        </is>
      </c>
      <c r="S689" s="33" t="inlineStr">
        <is>
          <t>Chile</t>
        </is>
      </c>
      <c r="T689" s="36">
        <f>DATE(MID(C689,7,4),MID(C689,4,2),MID(C689,1,2))+TIME(MID(C689,12,2),MID(C689,15,2),0)</f>
        <v/>
      </c>
      <c r="U689" s="33">
        <f>IF(ISNUMBER(VALUE(MID(A689,7,1))),"Distance-prefix pattern","Named-region pattern")</f>
        <v/>
      </c>
      <c r="V689" s="33">
        <f>LOWER(M689)</f>
        <v/>
      </c>
      <c r="W689" s="33">
        <f>IF(COUNTIFS($A$2:$A$1001,A689,$C$2:$C$1001,C689)&gt;1,"Duplicate","Unique")</f>
        <v/>
      </c>
      <c r="X689" s="33">
        <f>YEAR(T689)</f>
        <v/>
      </c>
      <c r="Y689" s="33">
        <f>IF(B689&lt;6.5,"&lt;6.5",IF(B689&lt;7,"6.5–6.9",IF(B689&lt;7.5,"7.0–7.4",IF(B689&lt;8,"7.5–7.9","8.0+"))))</f>
        <v/>
      </c>
      <c r="Z689" s="33">
        <f>IF(F689="","Blank",F689)</f>
        <v/>
      </c>
    </row>
    <row r="690" ht="15" customHeight="1" s="34">
      <c r="A690" s="33" t="inlineStr">
        <is>
          <t>M 6.9 - 89 km WSW of Singkil, Indonesia</t>
        </is>
      </c>
      <c r="B690" s="33" t="n">
        <v>6.9</v>
      </c>
      <c r="C690" s="33" t="inlineStr">
        <is>
          <t>19/05/2005 01:54</t>
        </is>
      </c>
      <c r="D690" s="33" t="n">
        <v>5</v>
      </c>
      <c r="E690" s="33" t="n">
        <v>7</v>
      </c>
      <c r="G690" s="33" t="n">
        <v>0</v>
      </c>
      <c r="H690" s="33" t="n">
        <v>740</v>
      </c>
      <c r="I690" s="33" t="inlineStr">
        <is>
          <t>us</t>
        </is>
      </c>
      <c r="J690" s="33" t="n">
        <v>635</v>
      </c>
      <c r="K690" s="33" t="n">
        <v>0</v>
      </c>
      <c r="L690" s="33" t="n">
        <v>26</v>
      </c>
      <c r="M690" s="33" t="inlineStr">
        <is>
          <t>mwc</t>
        </is>
      </c>
      <c r="N690" s="33" t="n">
        <v>30</v>
      </c>
      <c r="O690" s="33" t="n">
        <v>1.989</v>
      </c>
      <c r="P690" s="33" t="n">
        <v>97.041</v>
      </c>
      <c r="Q690" s="33" t="inlineStr">
        <is>
          <t>Singkil, Indonesia</t>
        </is>
      </c>
      <c r="S690" s="33" t="inlineStr">
        <is>
          <t>Indonesia</t>
        </is>
      </c>
      <c r="T690" s="36">
        <f>DATE(MID(C690,7,4),MID(C690,4,2),MID(C690,1,2))+TIME(MID(C690,12,2),MID(C690,15,2),0)</f>
        <v/>
      </c>
      <c r="U690" s="33">
        <f>IF(ISNUMBER(VALUE(MID(A690,7,1))),"Distance-prefix pattern","Named-region pattern")</f>
        <v/>
      </c>
      <c r="V690" s="33">
        <f>LOWER(M690)</f>
        <v/>
      </c>
      <c r="W690" s="33">
        <f>IF(COUNTIFS($A$2:$A$1001,A690,$C$2:$C$1001,C690)&gt;1,"Duplicate","Unique")</f>
        <v/>
      </c>
      <c r="X690" s="33">
        <f>YEAR(T690)</f>
        <v/>
      </c>
      <c r="Y690" s="33">
        <f>IF(B690&lt;6.5,"&lt;6.5",IF(B690&lt;7,"6.5–6.9",IF(B690&lt;7.5,"7.0–7.4",IF(B690&lt;8,"7.5–7.9","8.0+"))))</f>
        <v/>
      </c>
      <c r="Z690" s="33">
        <f>IF(F690="","Blank",F690)</f>
        <v/>
      </c>
    </row>
    <row r="691" ht="15" customHeight="1" s="34">
      <c r="A691" s="33" t="inlineStr">
        <is>
          <t>M 6.7 - 125 km SW of Padangsidempuan, Indonesia</t>
        </is>
      </c>
      <c r="B691" s="33" t="n">
        <v>6.7</v>
      </c>
      <c r="C691" s="33" t="inlineStr">
        <is>
          <t>14/05/2005 05:05</t>
        </is>
      </c>
      <c r="D691" s="33" t="n">
        <v>6</v>
      </c>
      <c r="E691" s="33" t="n">
        <v>5</v>
      </c>
      <c r="G691" s="33" t="n">
        <v>0</v>
      </c>
      <c r="H691" s="33" t="n">
        <v>731</v>
      </c>
      <c r="I691" s="33" t="inlineStr">
        <is>
          <t>us</t>
        </is>
      </c>
      <c r="J691" s="33" t="n">
        <v>695</v>
      </c>
      <c r="K691" s="33" t="n">
        <v>0</v>
      </c>
      <c r="L691" s="33" t="n">
        <v>20.9</v>
      </c>
      <c r="M691" s="33" t="inlineStr">
        <is>
          <t>mwb</t>
        </is>
      </c>
      <c r="N691" s="33" t="n">
        <v>34</v>
      </c>
      <c r="O691" s="33" t="n">
        <v>0.587</v>
      </c>
      <c r="P691" s="33" t="n">
        <v>98.459</v>
      </c>
      <c r="Q691" s="33" t="inlineStr">
        <is>
          <t>Padangsidempuan, Indonesia</t>
        </is>
      </c>
      <c r="S691" s="33" t="inlineStr">
        <is>
          <t>Indonesia</t>
        </is>
      </c>
      <c r="T691" s="36">
        <f>DATE(MID(C691,7,4),MID(C691,4,2),MID(C691,1,2))+TIME(MID(C691,12,2),MID(C691,15,2),0)</f>
        <v/>
      </c>
      <c r="U691" s="33">
        <f>IF(ISNUMBER(VALUE(MID(A691,7,1))),"Distance-prefix pattern","Named-region pattern")</f>
        <v/>
      </c>
      <c r="V691" s="33">
        <f>LOWER(M691)</f>
        <v/>
      </c>
      <c r="W691" s="33">
        <f>IF(COUNTIFS($A$2:$A$1001,A691,$C$2:$C$1001,C691)&gt;1,"Duplicate","Unique")</f>
        <v/>
      </c>
      <c r="X691" s="33">
        <f>YEAR(T691)</f>
        <v/>
      </c>
      <c r="Y691" s="33">
        <f>IF(B691&lt;6.5,"&lt;6.5",IF(B691&lt;7,"6.5–6.9",IF(B691&lt;7.5,"7.0–7.4",IF(B691&lt;8,"7.5–7.9","8.0+"))))</f>
        <v/>
      </c>
      <c r="Z691" s="33">
        <f>IF(F691="","Blank",F691)</f>
        <v/>
      </c>
    </row>
    <row r="692" ht="15" customHeight="1" s="34">
      <c r="A692" s="33" t="inlineStr">
        <is>
          <t>M 6.5 - 106 km SW of Padang, Indonesia</t>
        </is>
      </c>
      <c r="B692" s="33" t="n">
        <v>6.5</v>
      </c>
      <c r="C692" s="33" t="inlineStr">
        <is>
          <t>10/04/2005 11:14</t>
        </is>
      </c>
      <c r="D692" s="33" t="n">
        <v>3</v>
      </c>
      <c r="E692" s="33" t="n">
        <v>6</v>
      </c>
      <c r="G692" s="33" t="n">
        <v>0</v>
      </c>
      <c r="H692" s="33" t="n">
        <v>657</v>
      </c>
      <c r="I692" s="33" t="inlineStr">
        <is>
          <t>us</t>
        </is>
      </c>
      <c r="J692" s="33" t="n">
        <v>478</v>
      </c>
      <c r="K692" s="33" t="n">
        <v>0</v>
      </c>
      <c r="L692" s="33" t="n">
        <v>21.2</v>
      </c>
      <c r="M692" s="33" t="inlineStr">
        <is>
          <t>mwc</t>
        </is>
      </c>
      <c r="N692" s="33" t="n">
        <v>30</v>
      </c>
      <c r="O692" s="33" t="n">
        <v>-1.714</v>
      </c>
      <c r="P692" s="33" t="n">
        <v>99.779</v>
      </c>
      <c r="Q692" s="33" t="inlineStr">
        <is>
          <t>Padang, Indonesia</t>
        </is>
      </c>
      <c r="S692" s="33" t="inlineStr">
        <is>
          <t>Indonesia</t>
        </is>
      </c>
      <c r="T692" s="36">
        <f>DATE(MID(C692,7,4),MID(C692,4,2),MID(C692,1,2))+TIME(MID(C692,12,2),MID(C692,15,2),0)</f>
        <v/>
      </c>
      <c r="U692" s="33">
        <f>IF(ISNUMBER(VALUE(MID(A692,7,1))),"Distance-prefix pattern","Named-region pattern")</f>
        <v/>
      </c>
      <c r="V692" s="33">
        <f>LOWER(M692)</f>
        <v/>
      </c>
      <c r="W692" s="33">
        <f>IF(COUNTIFS($A$2:$A$1001,A692,$C$2:$C$1001,C692)&gt;1,"Duplicate","Unique")</f>
        <v/>
      </c>
      <c r="X692" s="33">
        <f>YEAR(T692)</f>
        <v/>
      </c>
      <c r="Y692" s="33">
        <f>IF(B692&lt;6.5,"&lt;6.5",IF(B692&lt;7,"6.5–6.9",IF(B692&lt;7.5,"7.0–7.4",IF(B692&lt;8,"7.5–7.9","8.0+"))))</f>
        <v/>
      </c>
      <c r="Z692" s="33">
        <f>IF(F692="","Blank",F692)</f>
        <v/>
      </c>
    </row>
    <row r="693" ht="15" customHeight="1" s="34">
      <c r="A693" s="33" t="inlineStr">
        <is>
          <t>M 6.7 - 113 km SW of Padang, Indonesia</t>
        </is>
      </c>
      <c r="B693" s="33" t="n">
        <v>6.7</v>
      </c>
      <c r="C693" s="33" t="inlineStr">
        <is>
          <t>10/04/2005 10:29</t>
        </is>
      </c>
      <c r="D693" s="33" t="n">
        <v>5</v>
      </c>
      <c r="E693" s="33" t="n">
        <v>6</v>
      </c>
      <c r="G693" s="33" t="n">
        <v>0</v>
      </c>
      <c r="H693" s="33" t="n">
        <v>717</v>
      </c>
      <c r="I693" s="33" t="inlineStr">
        <is>
          <t>us</t>
        </is>
      </c>
      <c r="J693" s="33" t="n">
        <v>656</v>
      </c>
      <c r="K693" s="33" t="n">
        <v>0</v>
      </c>
      <c r="L693" s="33" t="n">
        <v>21.2</v>
      </c>
      <c r="M693" s="33" t="inlineStr">
        <is>
          <t>mwc</t>
        </is>
      </c>
      <c r="N693" s="33" t="n">
        <v>19</v>
      </c>
      <c r="O693" s="33" t="n">
        <v>-1.644</v>
      </c>
      <c r="P693" s="33" t="n">
        <v>99.607</v>
      </c>
      <c r="Q693" s="33" t="inlineStr">
        <is>
          <t>Padang, Indonesia</t>
        </is>
      </c>
      <c r="S693" s="33" t="inlineStr">
        <is>
          <t>Indonesia</t>
        </is>
      </c>
      <c r="T693" s="36">
        <f>DATE(MID(C693,7,4),MID(C693,4,2),MID(C693,1,2))+TIME(MID(C693,12,2),MID(C693,15,2),0)</f>
        <v/>
      </c>
      <c r="U693" s="33">
        <f>IF(ISNUMBER(VALUE(MID(A693,7,1))),"Distance-prefix pattern","Named-region pattern")</f>
        <v/>
      </c>
      <c r="V693" s="33">
        <f>LOWER(M693)</f>
        <v/>
      </c>
      <c r="W693" s="33">
        <f>IF(COUNTIFS($A$2:$A$1001,A693,$C$2:$C$1001,C693)&gt;1,"Duplicate","Unique")</f>
        <v/>
      </c>
      <c r="X693" s="33">
        <f>YEAR(T693)</f>
        <v/>
      </c>
      <c r="Y693" s="33">
        <f>IF(B693&lt;6.5,"&lt;6.5",IF(B693&lt;7,"6.5–6.9",IF(B693&lt;7.5,"7.0–7.4",IF(B693&lt;8,"7.5–7.9","8.0+"))))</f>
        <v/>
      </c>
      <c r="Z693" s="33">
        <f>IF(F693="","Blank",F693)</f>
        <v/>
      </c>
    </row>
    <row r="694" ht="15" customHeight="1" s="34">
      <c r="A694" s="33" t="inlineStr">
        <is>
          <t>M 8.6 - 78 km WSW of Singkil, Indonesia</t>
        </is>
      </c>
      <c r="B694" s="33" t="n">
        <v>8.6</v>
      </c>
      <c r="C694" s="33" t="inlineStr">
        <is>
          <t>28/03/2005 16:09</t>
        </is>
      </c>
      <c r="D694" s="33" t="n">
        <v>0</v>
      </c>
      <c r="E694" s="33" t="n">
        <v>8</v>
      </c>
      <c r="G694" s="33" t="n">
        <v>0</v>
      </c>
      <c r="H694" s="33" t="n">
        <v>1138</v>
      </c>
      <c r="I694" s="33" t="inlineStr">
        <is>
          <t>official</t>
        </is>
      </c>
      <c r="J694" s="33" t="n">
        <v>510</v>
      </c>
      <c r="K694" s="33" t="n">
        <v>0</v>
      </c>
      <c r="L694" s="33" t="n">
        <v>22.1</v>
      </c>
      <c r="M694" s="33" t="inlineStr">
        <is>
          <t>mww</t>
        </is>
      </c>
      <c r="N694" s="33" t="n">
        <v>30</v>
      </c>
      <c r="O694" s="33" t="n">
        <v>2.085</v>
      </c>
      <c r="P694" s="33" t="n">
        <v>97.108</v>
      </c>
      <c r="Q694" s="33" t="inlineStr">
        <is>
          <t>Singkil, Indonesia</t>
        </is>
      </c>
      <c r="S694" s="33" t="inlineStr">
        <is>
          <t>Indonesia</t>
        </is>
      </c>
      <c r="T694" s="36">
        <f>DATE(MID(C694,7,4),MID(C694,4,2),MID(C694,1,2))+TIME(MID(C694,12,2),MID(C694,15,2),0)</f>
        <v/>
      </c>
      <c r="U694" s="33">
        <f>IF(ISNUMBER(VALUE(MID(A694,7,1))),"Distance-prefix pattern","Named-region pattern")</f>
        <v/>
      </c>
      <c r="V694" s="33">
        <f>LOWER(M694)</f>
        <v/>
      </c>
      <c r="W694" s="33">
        <f>IF(COUNTIFS($A$2:$A$1001,A694,$C$2:$C$1001,C694)&gt;1,"Duplicate","Unique")</f>
        <v/>
      </c>
      <c r="X694" s="33">
        <f>YEAR(T694)</f>
        <v/>
      </c>
      <c r="Y694" s="33">
        <f>IF(B694&lt;6.5,"&lt;6.5",IF(B694&lt;7,"6.5–6.9",IF(B694&lt;7.5,"7.0–7.4",IF(B694&lt;8,"7.5–7.9","8.0+"))))</f>
        <v/>
      </c>
      <c r="Z694" s="33">
        <f>IF(F694="","Blank",F694)</f>
        <v/>
      </c>
    </row>
    <row r="695" ht="15" customHeight="1" s="34">
      <c r="A695" s="33" t="inlineStr">
        <is>
          <t>M 6.6 - 28 km NNW of Maebaru-ch??, Japan</t>
        </is>
      </c>
      <c r="B695" s="33" t="n">
        <v>6.6</v>
      </c>
      <c r="C695" s="33" t="inlineStr">
        <is>
          <t>20/03/2005 01:53</t>
        </is>
      </c>
      <c r="D695" s="33" t="n">
        <v>8</v>
      </c>
      <c r="E695" s="33" t="n">
        <v>7</v>
      </c>
      <c r="G695" s="33" t="n">
        <v>0</v>
      </c>
      <c r="H695" s="33" t="n">
        <v>805</v>
      </c>
      <c r="I695" s="33" t="inlineStr">
        <is>
          <t>us</t>
        </is>
      </c>
      <c r="J695" s="33" t="n">
        <v>401</v>
      </c>
      <c r="K695" s="33" t="n">
        <v>0</v>
      </c>
      <c r="L695" s="33" t="n">
        <v>22.9</v>
      </c>
      <c r="M695" s="33" t="inlineStr">
        <is>
          <t>mwc</t>
        </is>
      </c>
      <c r="N695" s="33" t="n">
        <v>10</v>
      </c>
      <c r="O695" s="33" t="n">
        <v>33.807</v>
      </c>
      <c r="P695" s="33" t="n">
        <v>130.131</v>
      </c>
      <c r="Q695" s="33" t="inlineStr">
        <is>
          <t>Maebaru-ch??, Japan</t>
        </is>
      </c>
      <c r="R695" s="33" t="inlineStr">
        <is>
          <t>Asia</t>
        </is>
      </c>
      <c r="S695" s="33" t="inlineStr">
        <is>
          <t>Japan</t>
        </is>
      </c>
      <c r="T695" s="36">
        <f>DATE(MID(C695,7,4),MID(C695,4,2),MID(C695,1,2))+TIME(MID(C695,12,2),MID(C695,15,2),0)</f>
        <v/>
      </c>
      <c r="U695" s="33">
        <f>IF(ISNUMBER(VALUE(MID(A695,7,1))),"Distance-prefix pattern","Named-region pattern")</f>
        <v/>
      </c>
      <c r="V695" s="33">
        <f>LOWER(M695)</f>
        <v/>
      </c>
      <c r="W695" s="33">
        <f>IF(COUNTIFS($A$2:$A$1001,A695,$C$2:$C$1001,C695)&gt;1,"Duplicate","Unique")</f>
        <v/>
      </c>
      <c r="X695" s="33">
        <f>YEAR(T695)</f>
        <v/>
      </c>
      <c r="Y695" s="33">
        <f>IF(B695&lt;6.5,"&lt;6.5",IF(B695&lt;7,"6.5–6.9",IF(B695&lt;7.5,"7.0–7.4",IF(B695&lt;8,"7.5–7.9","8.0+"))))</f>
        <v/>
      </c>
      <c r="Z695" s="33">
        <f>IF(F695="","Blank",F695)</f>
        <v/>
      </c>
    </row>
    <row r="696" ht="15" customHeight="1" s="34">
      <c r="A696" s="33" t="inlineStr">
        <is>
          <t>M 7.1 - Banda Sea</t>
        </is>
      </c>
      <c r="B696" s="33" t="n">
        <v>7.1</v>
      </c>
      <c r="C696" s="33" t="inlineStr">
        <is>
          <t>02/03/2005 10:42</t>
        </is>
      </c>
      <c r="D696" s="33" t="n">
        <v>0</v>
      </c>
      <c r="E696" s="33" t="n">
        <v>5</v>
      </c>
      <c r="G696" s="33" t="n">
        <v>0</v>
      </c>
      <c r="H696" s="33" t="n">
        <v>776</v>
      </c>
      <c r="I696" s="33" t="inlineStr">
        <is>
          <t>us</t>
        </is>
      </c>
      <c r="J696" s="33" t="n">
        <v>569</v>
      </c>
      <c r="K696" s="33" t="n">
        <v>0</v>
      </c>
      <c r="L696" s="33" t="n">
        <v>18.1</v>
      </c>
      <c r="M696" s="33" t="inlineStr">
        <is>
          <t>mwb</t>
        </is>
      </c>
      <c r="N696" s="33" t="n">
        <v>201.7</v>
      </c>
      <c r="O696" s="33" t="n">
        <v>-6.527</v>
      </c>
      <c r="P696" s="33" t="n">
        <v>129.933</v>
      </c>
      <c r="Q696" s="33" t="inlineStr">
        <is>
          <t>Banda Sea</t>
        </is>
      </c>
      <c r="S696" s="33" t="inlineStr">
        <is>
          <t>Indonesia</t>
        </is>
      </c>
      <c r="T696" s="36">
        <f>DATE(MID(C696,7,4),MID(C696,4,2),MID(C696,1,2))+TIME(MID(C696,12,2),MID(C696,15,2),0)</f>
        <v/>
      </c>
      <c r="U696" s="33">
        <f>IF(ISNUMBER(VALUE(MID(A696,7,1))),"Distance-prefix pattern","Named-region pattern")</f>
        <v/>
      </c>
      <c r="V696" s="33">
        <f>LOWER(M696)</f>
        <v/>
      </c>
      <c r="W696" s="33">
        <f>IF(COUNTIFS($A$2:$A$1001,A696,$C$2:$C$1001,C696)&gt;1,"Duplicate","Unique")</f>
        <v/>
      </c>
      <c r="X696" s="33">
        <f>YEAR(T696)</f>
        <v/>
      </c>
      <c r="Y696" s="33">
        <f>IF(B696&lt;6.5,"&lt;6.5",IF(B696&lt;7,"6.5–6.9",IF(B696&lt;7.5,"7.0–7.4",IF(B696&lt;8,"7.5–7.9","8.0+"))))</f>
        <v/>
      </c>
      <c r="Z696" s="33">
        <f>IF(F696="","Blank",F696)</f>
        <v/>
      </c>
    </row>
    <row r="697" ht="15" customHeight="1" s="34">
      <c r="A697" s="33" t="inlineStr">
        <is>
          <t>M 6.8 - 99 km WNW of Sinabang, Indonesia</t>
        </is>
      </c>
      <c r="B697" s="33" t="n">
        <v>6.8</v>
      </c>
      <c r="C697" s="33" t="inlineStr">
        <is>
          <t>26/02/2005 12:56</t>
        </is>
      </c>
      <c r="D697" s="33" t="n">
        <v>0</v>
      </c>
      <c r="E697" s="33" t="n">
        <v>6</v>
      </c>
      <c r="G697" s="33" t="n">
        <v>0</v>
      </c>
      <c r="H697" s="33" t="n">
        <v>711</v>
      </c>
      <c r="I697" s="33" t="inlineStr">
        <is>
          <t>us</t>
        </is>
      </c>
      <c r="J697" s="33" t="n">
        <v>444</v>
      </c>
      <c r="K697" s="33" t="n">
        <v>0</v>
      </c>
      <c r="L697" s="33" t="n">
        <v>33.8</v>
      </c>
      <c r="M697" s="33" t="inlineStr">
        <is>
          <t>mwb</t>
        </is>
      </c>
      <c r="N697" s="33" t="n">
        <v>36</v>
      </c>
      <c r="O697" s="33" t="n">
        <v>2.908</v>
      </c>
      <c r="P697" s="33" t="n">
        <v>95.592</v>
      </c>
      <c r="Q697" s="33" t="inlineStr">
        <is>
          <t>Sinabang, Indonesia</t>
        </is>
      </c>
      <c r="S697" s="33" t="inlineStr">
        <is>
          <t>Indonesia</t>
        </is>
      </c>
      <c r="T697" s="36">
        <f>DATE(MID(C697,7,4),MID(C697,4,2),MID(C697,1,2))+TIME(MID(C697,12,2),MID(C697,15,2),0)</f>
        <v/>
      </c>
      <c r="U697" s="33">
        <f>IF(ISNUMBER(VALUE(MID(A697,7,1))),"Distance-prefix pattern","Named-region pattern")</f>
        <v/>
      </c>
      <c r="V697" s="33">
        <f>LOWER(M697)</f>
        <v/>
      </c>
      <c r="W697" s="33">
        <f>IF(COUNTIFS($A$2:$A$1001,A697,$C$2:$C$1001,C697)&gt;1,"Duplicate","Unique")</f>
        <v/>
      </c>
      <c r="X697" s="33">
        <f>YEAR(T697)</f>
        <v/>
      </c>
      <c r="Y697" s="33">
        <f>IF(B697&lt;6.5,"&lt;6.5",IF(B697&lt;7,"6.5–6.9",IF(B697&lt;7.5,"7.0–7.4",IF(B697&lt;8,"7.5–7.9","8.0+"))))</f>
        <v/>
      </c>
      <c r="Z697" s="33">
        <f>IF(F697="","Blank",F697)</f>
        <v/>
      </c>
    </row>
    <row r="698" ht="15" customHeight="1" s="34">
      <c r="A698" s="33" t="inlineStr">
        <is>
          <t>M 6.5 - 81 km SSW of Katabu, Indonesia</t>
        </is>
      </c>
      <c r="B698" s="33" t="n">
        <v>6.5</v>
      </c>
      <c r="C698" s="33" t="inlineStr">
        <is>
          <t>19/02/2005 00:04</t>
        </is>
      </c>
      <c r="D698" s="33" t="n">
        <v>0</v>
      </c>
      <c r="E698" s="33" t="n">
        <v>7</v>
      </c>
      <c r="G698" s="33" t="n">
        <v>0</v>
      </c>
      <c r="H698" s="33" t="n">
        <v>650</v>
      </c>
      <c r="I698" s="33" t="inlineStr">
        <is>
          <t>us</t>
        </is>
      </c>
      <c r="J698" s="33" t="n">
        <v>371</v>
      </c>
      <c r="K698" s="33" t="n">
        <v>0</v>
      </c>
      <c r="L698" s="33" t="n">
        <v>31.8</v>
      </c>
      <c r="M698" s="33" t="inlineStr">
        <is>
          <t>mwb</t>
        </is>
      </c>
      <c r="N698" s="33" t="n">
        <v>10</v>
      </c>
      <c r="O698" s="33" t="n">
        <v>-5.562</v>
      </c>
      <c r="P698" s="33" t="n">
        <v>122.129</v>
      </c>
      <c r="Q698" s="33" t="inlineStr">
        <is>
          <t>Katabu, Indonesia</t>
        </is>
      </c>
      <c r="S698" s="33" t="inlineStr">
        <is>
          <t>Indonesia</t>
        </is>
      </c>
      <c r="T698" s="36">
        <f>DATE(MID(C698,7,4),MID(C698,4,2),MID(C698,1,2))+TIME(MID(C698,12,2),MID(C698,15,2),0)</f>
        <v/>
      </c>
      <c r="U698" s="33">
        <f>IF(ISNUMBER(VALUE(MID(A698,7,1))),"Distance-prefix pattern","Named-region pattern")</f>
        <v/>
      </c>
      <c r="V698" s="33">
        <f>LOWER(M698)</f>
        <v/>
      </c>
      <c r="W698" s="33">
        <f>IF(COUNTIFS($A$2:$A$1001,A698,$C$2:$C$1001,C698)&gt;1,"Duplicate","Unique")</f>
        <v/>
      </c>
      <c r="X698" s="33">
        <f>YEAR(T698)</f>
        <v/>
      </c>
      <c r="Y698" s="33">
        <f>IF(B698&lt;6.5,"&lt;6.5",IF(B698&lt;7,"6.5–6.9",IF(B698&lt;7.5,"7.0–7.4",IF(B698&lt;8,"7.5–7.9","8.0+"))))</f>
        <v/>
      </c>
      <c r="Z698" s="33">
        <f>IF(F698="","Blank",F698)</f>
        <v/>
      </c>
    </row>
    <row r="699" ht="15" customHeight="1" s="34">
      <c r="A699" s="33" t="inlineStr">
        <is>
          <t>M 6.5 - Pulau-Pulau Talaud, Indonesia</t>
        </is>
      </c>
      <c r="B699" s="33" t="n">
        <v>6.5</v>
      </c>
      <c r="C699" s="33" t="inlineStr">
        <is>
          <t>15/02/2005 14:42</t>
        </is>
      </c>
      <c r="D699" s="33" t="n">
        <v>3</v>
      </c>
      <c r="E699" s="33" t="n">
        <v>5</v>
      </c>
      <c r="G699" s="33" t="n">
        <v>0</v>
      </c>
      <c r="H699" s="33" t="n">
        <v>652</v>
      </c>
      <c r="I699" s="33" t="inlineStr">
        <is>
          <t>us</t>
        </is>
      </c>
      <c r="J699" s="33" t="n">
        <v>286</v>
      </c>
      <c r="K699" s="33" t="n">
        <v>0</v>
      </c>
      <c r="L699" s="33" t="n">
        <v>47.3</v>
      </c>
      <c r="M699" s="33" t="inlineStr">
        <is>
          <t>mwc</t>
        </is>
      </c>
      <c r="N699" s="33" t="n">
        <v>39.7</v>
      </c>
      <c r="O699" s="33" t="n">
        <v>4.756</v>
      </c>
      <c r="P699" s="33" t="n">
        <v>126.421</v>
      </c>
      <c r="Q699" s="33" t="inlineStr">
        <is>
          <t>Pulau-Pulau Talaud, Indonesia</t>
        </is>
      </c>
      <c r="S699" s="33" t="inlineStr">
        <is>
          <t>Indonesia</t>
        </is>
      </c>
      <c r="T699" s="36">
        <f>DATE(MID(C699,7,4),MID(C699,4,2),MID(C699,1,2))+TIME(MID(C699,12,2),MID(C699,15,2),0)</f>
        <v/>
      </c>
      <c r="U699" s="33">
        <f>IF(ISNUMBER(VALUE(MID(A699,7,1))),"Distance-prefix pattern","Named-region pattern")</f>
        <v/>
      </c>
      <c r="V699" s="33">
        <f>LOWER(M699)</f>
        <v/>
      </c>
      <c r="W699" s="33">
        <f>IF(COUNTIFS($A$2:$A$1001,A699,$C$2:$C$1001,C699)&gt;1,"Duplicate","Unique")</f>
        <v/>
      </c>
      <c r="X699" s="33">
        <f>YEAR(T699)</f>
        <v/>
      </c>
      <c r="Y699" s="33">
        <f>IF(B699&lt;6.5,"&lt;6.5",IF(B699&lt;7,"6.5–6.9",IF(B699&lt;7.5,"7.0–7.4",IF(B699&lt;8,"7.5–7.9","8.0+"))))</f>
        <v/>
      </c>
      <c r="Z699" s="33">
        <f>IF(F699="","Blank",F699)</f>
        <v/>
      </c>
    </row>
    <row r="700" ht="15" customHeight="1" s="34">
      <c r="A700" s="33" t="inlineStr">
        <is>
          <t>M 6.7 - 52 km SW of Sola, Vanuatu</t>
        </is>
      </c>
      <c r="B700" s="33" t="n">
        <v>6.7</v>
      </c>
      <c r="C700" s="33" t="inlineStr">
        <is>
          <t>08/02/2005 14:48</t>
        </is>
      </c>
      <c r="D700" s="33" t="n">
        <v>0</v>
      </c>
      <c r="E700" s="33" t="n">
        <v>4</v>
      </c>
      <c r="G700" s="33" t="n">
        <v>0</v>
      </c>
      <c r="H700" s="33" t="n">
        <v>691</v>
      </c>
      <c r="I700" s="33" t="inlineStr">
        <is>
          <t>us</t>
        </is>
      </c>
      <c r="J700" s="33" t="n">
        <v>457</v>
      </c>
      <c r="K700" s="33" t="n">
        <v>0</v>
      </c>
      <c r="L700" s="33" t="n">
        <v>30.2</v>
      </c>
      <c r="M700" s="33" t="inlineStr">
        <is>
          <t>mwb</t>
        </is>
      </c>
      <c r="N700" s="33" t="n">
        <v>206.3</v>
      </c>
      <c r="O700" s="33" t="n">
        <v>-14.252</v>
      </c>
      <c r="P700" s="33" t="n">
        <v>167.259</v>
      </c>
      <c r="Q700" s="33" t="inlineStr">
        <is>
          <t>Sola, Vanuatu</t>
        </is>
      </c>
      <c r="S700" s="33" t="inlineStr">
        <is>
          <t>Vanuatu</t>
        </is>
      </c>
      <c r="T700" s="36">
        <f>DATE(MID(C700,7,4),MID(C700,4,2),MID(C700,1,2))+TIME(MID(C700,12,2),MID(C700,15,2),0)</f>
        <v/>
      </c>
      <c r="U700" s="33">
        <f>IF(ISNUMBER(VALUE(MID(A700,7,1))),"Distance-prefix pattern","Named-region pattern")</f>
        <v/>
      </c>
      <c r="V700" s="33">
        <f>LOWER(M700)</f>
        <v/>
      </c>
      <c r="W700" s="33">
        <f>IF(COUNTIFS($A$2:$A$1001,A700,$C$2:$C$1001,C700)&gt;1,"Duplicate","Unique")</f>
        <v/>
      </c>
      <c r="X700" s="33">
        <f>YEAR(T700)</f>
        <v/>
      </c>
      <c r="Y700" s="33">
        <f>IF(B700&lt;6.5,"&lt;6.5",IF(B700&lt;7,"6.5–6.9",IF(B700&lt;7.5,"7.0–7.4",IF(B700&lt;8,"7.5–7.9","8.0+"))))</f>
        <v/>
      </c>
      <c r="Z700" s="33">
        <f>IF(F700="","Blank",F700)</f>
        <v/>
      </c>
    </row>
    <row r="701" ht="15" customHeight="1" s="34">
      <c r="A701" s="33" t="inlineStr">
        <is>
          <t>M 7.1 - 138 km SW of Palimbang, Philippines</t>
        </is>
      </c>
      <c r="B701" s="33" t="n">
        <v>7.1</v>
      </c>
      <c r="C701" s="33" t="inlineStr">
        <is>
          <t>05/02/2005 12:23</t>
        </is>
      </c>
      <c r="D701" s="33" t="n">
        <v>7</v>
      </c>
      <c r="E701" s="33" t="n">
        <v>3</v>
      </c>
      <c r="G701" s="33" t="n">
        <v>0</v>
      </c>
      <c r="H701" s="33" t="n">
        <v>782</v>
      </c>
      <c r="I701" s="33" t="inlineStr">
        <is>
          <t>us</t>
        </is>
      </c>
      <c r="J701" s="33" t="n">
        <v>640</v>
      </c>
      <c r="K701" s="33" t="n">
        <v>0</v>
      </c>
      <c r="L701" s="33" t="n">
        <v>26.4</v>
      </c>
      <c r="M701" s="33" t="inlineStr">
        <is>
          <t>mwc</t>
        </is>
      </c>
      <c r="N701" s="33" t="n">
        <v>525</v>
      </c>
      <c r="O701" s="33" t="n">
        <v>5.293</v>
      </c>
      <c r="P701" s="33" t="n">
        <v>123.337</v>
      </c>
      <c r="Q701" s="33" t="inlineStr">
        <is>
          <t>Palimbang, Philippines</t>
        </is>
      </c>
      <c r="T701" s="36">
        <f>DATE(MID(C701,7,4),MID(C701,4,2),MID(C701,1,2))+TIME(MID(C701,12,2),MID(C701,15,2),0)</f>
        <v/>
      </c>
      <c r="U701" s="33">
        <f>IF(ISNUMBER(VALUE(MID(A701,7,1))),"Distance-prefix pattern","Named-region pattern")</f>
        <v/>
      </c>
      <c r="V701" s="33">
        <f>LOWER(M701)</f>
        <v/>
      </c>
      <c r="W701" s="33">
        <f>IF(COUNTIFS($A$2:$A$1001,A701,$C$2:$C$1001,C701)&gt;1,"Duplicate","Unique")</f>
        <v/>
      </c>
      <c r="X701" s="33">
        <f>YEAR(T701)</f>
        <v/>
      </c>
      <c r="Y701" s="33">
        <f>IF(B701&lt;6.5,"&lt;6.5",IF(B701&lt;7,"6.5–6.9",IF(B701&lt;7.5,"7.0–7.4",IF(B701&lt;8,"7.5–7.9","8.0+"))))</f>
        <v/>
      </c>
      <c r="Z701" s="33">
        <f>IF(F701="","Blank",F701)</f>
        <v/>
      </c>
    </row>
    <row r="702" ht="15" customHeight="1" s="34">
      <c r="A702" s="33" t="inlineStr">
        <is>
          <t>M 6.6 - 161 km SE of Katsuura, Japan</t>
        </is>
      </c>
      <c r="B702" s="33" t="n">
        <v>6.6</v>
      </c>
      <c r="C702" s="33" t="inlineStr">
        <is>
          <t>19/01/2005 06:11</t>
        </is>
      </c>
      <c r="D702" s="33" t="n">
        <v>6</v>
      </c>
      <c r="E702" s="33" t="n">
        <v>4</v>
      </c>
      <c r="G702" s="33" t="n">
        <v>0</v>
      </c>
      <c r="H702" s="33" t="n">
        <v>676</v>
      </c>
      <c r="I702" s="33" t="inlineStr">
        <is>
          <t>us</t>
        </is>
      </c>
      <c r="J702" s="33" t="n">
        <v>225</v>
      </c>
      <c r="K702" s="33" t="n">
        <v>0</v>
      </c>
      <c r="L702" s="33" t="n">
        <v>78.5</v>
      </c>
      <c r="M702" s="33" t="inlineStr">
        <is>
          <t>mwc</t>
        </is>
      </c>
      <c r="N702" s="33" t="n">
        <v>27.8</v>
      </c>
      <c r="O702" s="33" t="n">
        <v>34.064</v>
      </c>
      <c r="P702" s="33" t="n">
        <v>141.491</v>
      </c>
      <c r="Q702" s="33" t="inlineStr">
        <is>
          <t>Katsuura, Japan</t>
        </is>
      </c>
      <c r="T702" s="36">
        <f>DATE(MID(C702,7,4),MID(C702,4,2),MID(C702,1,2))+TIME(MID(C702,12,2),MID(C702,15,2),0)</f>
        <v/>
      </c>
      <c r="U702" s="33">
        <f>IF(ISNUMBER(VALUE(MID(A702,7,1))),"Distance-prefix pattern","Named-region pattern")</f>
        <v/>
      </c>
      <c r="V702" s="33">
        <f>LOWER(M702)</f>
        <v/>
      </c>
      <c r="W702" s="33">
        <f>IF(COUNTIFS($A$2:$A$1001,A702,$C$2:$C$1001,C702)&gt;1,"Duplicate","Unique")</f>
        <v/>
      </c>
      <c r="X702" s="33">
        <f>YEAR(T702)</f>
        <v/>
      </c>
      <c r="Y702" s="33">
        <f>IF(B702&lt;6.5,"&lt;6.5",IF(B702&lt;7,"6.5–6.9",IF(B702&lt;7.5,"7.0–7.4",IF(B702&lt;8,"7.5–7.9","8.0+"))))</f>
        <v/>
      </c>
      <c r="Z702" s="33">
        <f>IF(F702="","Blank",F702)</f>
        <v/>
      </c>
    </row>
    <row r="703" ht="15" customHeight="1" s="34">
      <c r="A703" s="33" t="inlineStr">
        <is>
          <t>M 6.6 - Nicobar Islands, India region</t>
        </is>
      </c>
      <c r="B703" s="33" t="n">
        <v>6.6</v>
      </c>
      <c r="C703" s="33" t="inlineStr">
        <is>
          <t>26/12/2004 09:20</t>
        </is>
      </c>
      <c r="D703" s="33" t="n">
        <v>0</v>
      </c>
      <c r="E703" s="33" t="n">
        <v>5</v>
      </c>
      <c r="G703" s="33" t="n">
        <v>0</v>
      </c>
      <c r="H703" s="33" t="n">
        <v>670</v>
      </c>
      <c r="I703" s="33" t="inlineStr">
        <is>
          <t>us</t>
        </is>
      </c>
      <c r="J703" s="33" t="n">
        <v>353</v>
      </c>
      <c r="K703" s="33" t="n">
        <v>0</v>
      </c>
      <c r="L703" s="33" t="n">
        <v>31.9</v>
      </c>
      <c r="M703" s="33" t="inlineStr">
        <is>
          <t>mwc</t>
        </is>
      </c>
      <c r="N703" s="33" t="n">
        <v>16.1</v>
      </c>
      <c r="O703" s="33" t="n">
        <v>8.879</v>
      </c>
      <c r="P703" s="33" t="n">
        <v>92.375</v>
      </c>
      <c r="Q703" s="33" t="inlineStr">
        <is>
          <t>Nicobar Islands, India region</t>
        </is>
      </c>
      <c r="T703" s="36">
        <f>DATE(MID(C703,7,4),MID(C703,4,2),MID(C703,1,2))+TIME(MID(C703,12,2),MID(C703,15,2),0)</f>
        <v/>
      </c>
      <c r="U703" s="33">
        <f>IF(ISNUMBER(VALUE(MID(A703,7,1))),"Distance-prefix pattern","Named-region pattern")</f>
        <v/>
      </c>
      <c r="V703" s="33">
        <f>LOWER(M703)</f>
        <v/>
      </c>
      <c r="W703" s="33">
        <f>IF(COUNTIFS($A$2:$A$1001,A703,$C$2:$C$1001,C703)&gt;1,"Duplicate","Unique")</f>
        <v/>
      </c>
      <c r="X703" s="33">
        <f>YEAR(T703)</f>
        <v/>
      </c>
      <c r="Y703" s="33">
        <f>IF(B703&lt;6.5,"&lt;6.5",IF(B703&lt;7,"6.5–6.9",IF(B703&lt;7.5,"7.0–7.4",IF(B703&lt;8,"7.5–7.9","8.0+"))))</f>
        <v/>
      </c>
      <c r="Z703" s="33">
        <f>IF(F703="","Blank",F703)</f>
        <v/>
      </c>
    </row>
    <row r="704" ht="15" customHeight="1" s="34">
      <c r="A704" s="33" t="inlineStr">
        <is>
          <t>M 7.2 - 284 km WNW of Sabang, Indonesia</t>
        </is>
      </c>
      <c r="B704" s="33" t="n">
        <v>7.2</v>
      </c>
      <c r="C704" s="33" t="inlineStr">
        <is>
          <t>26/12/2004 04:21</t>
        </is>
      </c>
      <c r="D704" s="33" t="n">
        <v>5</v>
      </c>
      <c r="E704" s="33" t="n">
        <v>6</v>
      </c>
      <c r="G704" s="33" t="n">
        <v>0</v>
      </c>
      <c r="H704" s="33" t="n">
        <v>802</v>
      </c>
      <c r="I704" s="33" t="inlineStr">
        <is>
          <t>us</t>
        </is>
      </c>
      <c r="J704" s="33" t="n">
        <v>385</v>
      </c>
      <c r="K704" s="33" t="n">
        <v>0</v>
      </c>
      <c r="L704" s="33" t="n">
        <v>27.9</v>
      </c>
      <c r="M704" s="33" t="inlineStr">
        <is>
          <t>mwc</t>
        </is>
      </c>
      <c r="N704" s="33" t="n">
        <v>39.2</v>
      </c>
      <c r="O704" s="33" t="n">
        <v>6.91</v>
      </c>
      <c r="P704" s="33" t="n">
        <v>92.958</v>
      </c>
      <c r="Q704" s="33" t="inlineStr">
        <is>
          <t>Sabang, Indonesia</t>
        </is>
      </c>
      <c r="T704" s="36">
        <f>DATE(MID(C704,7,4),MID(C704,4,2),MID(C704,1,2))+TIME(MID(C704,12,2),MID(C704,15,2),0)</f>
        <v/>
      </c>
      <c r="U704" s="33">
        <f>IF(ISNUMBER(VALUE(MID(A704,7,1))),"Distance-prefix pattern","Named-region pattern")</f>
        <v/>
      </c>
      <c r="V704" s="33">
        <f>LOWER(M704)</f>
        <v/>
      </c>
      <c r="W704" s="33">
        <f>IF(COUNTIFS($A$2:$A$1001,A704,$C$2:$C$1001,C704)&gt;1,"Duplicate","Unique")</f>
        <v/>
      </c>
      <c r="X704" s="33">
        <f>YEAR(T704)</f>
        <v/>
      </c>
      <c r="Y704" s="33">
        <f>IF(B704&lt;6.5,"&lt;6.5",IF(B704&lt;7,"6.5–6.9",IF(B704&lt;7.5,"7.0–7.4",IF(B704&lt;8,"7.5–7.9","8.0+"))))</f>
        <v/>
      </c>
      <c r="Z704" s="33">
        <f>IF(F704="","Blank",F704)</f>
        <v/>
      </c>
    </row>
    <row r="705" ht="15" customHeight="1" s="34">
      <c r="A705" s="33" t="inlineStr">
        <is>
          <t>M 9.1 - 2004 Sumatra - Andaman Islands Earthquake</t>
        </is>
      </c>
      <c r="B705" s="33" t="n">
        <v>9.1</v>
      </c>
      <c r="C705" s="33" t="inlineStr">
        <is>
          <t>26/12/2004 00:58</t>
        </is>
      </c>
      <c r="D705" s="33" t="n">
        <v>0</v>
      </c>
      <c r="E705" s="33" t="n">
        <v>8</v>
      </c>
      <c r="G705" s="33" t="n">
        <v>0</v>
      </c>
      <c r="H705" s="33" t="n">
        <v>1274</v>
      </c>
      <c r="I705" s="33" t="inlineStr">
        <is>
          <t>official</t>
        </is>
      </c>
      <c r="J705" s="33" t="n">
        <v>601</v>
      </c>
      <c r="K705" s="33" t="n">
        <v>0</v>
      </c>
      <c r="L705" s="33" t="n">
        <v>22</v>
      </c>
      <c r="M705" s="33" t="inlineStr">
        <is>
          <t>mw</t>
        </is>
      </c>
      <c r="N705" s="33" t="n">
        <v>30</v>
      </c>
      <c r="O705" s="33" t="n">
        <v>3.295</v>
      </c>
      <c r="P705" s="33" t="n">
        <v>95.982</v>
      </c>
      <c r="Q705" s="33" t="inlineStr">
        <is>
          <t>2004 Sumatra - Andaman Islands Earthquake</t>
        </is>
      </c>
      <c r="S705" s="33" t="inlineStr">
        <is>
          <t>Indonesia</t>
        </is>
      </c>
      <c r="T705" s="36">
        <f>DATE(MID(C705,7,4),MID(C705,4,2),MID(C705,1,2))+TIME(MID(C705,12,2),MID(C705,15,2),0)</f>
        <v/>
      </c>
      <c r="U705" s="33">
        <f>IF(ISNUMBER(VALUE(MID(A705,7,1))),"Distance-prefix pattern","Named-region pattern")</f>
        <v/>
      </c>
      <c r="V705" s="33">
        <f>LOWER(M705)</f>
        <v/>
      </c>
      <c r="W705" s="33">
        <f>IF(COUNTIFS($A$2:$A$1001,A705,$C$2:$C$1001,C705)&gt;1,"Duplicate","Unique")</f>
        <v/>
      </c>
      <c r="X705" s="33">
        <f>YEAR(T705)</f>
        <v/>
      </c>
      <c r="Y705" s="33">
        <f>IF(B705&lt;6.5,"&lt;6.5",IF(B705&lt;7,"6.5–6.9",IF(B705&lt;7.5,"7.0–7.4",IF(B705&lt;8,"7.5–7.9","8.0+"))))</f>
        <v/>
      </c>
      <c r="Z705" s="33">
        <f>IF(F705="","Blank",F705)</f>
        <v/>
      </c>
    </row>
    <row r="706" ht="15" customHeight="1" s="34">
      <c r="A706" s="33" t="inlineStr">
        <is>
          <t>M 8.1 - north of Macquarie Island</t>
        </is>
      </c>
      <c r="B706" s="33" t="n">
        <v>8.1</v>
      </c>
      <c r="C706" s="33" t="inlineStr">
        <is>
          <t>23/12/2004 14:59</t>
        </is>
      </c>
      <c r="D706" s="33" t="n">
        <v>0</v>
      </c>
      <c r="E706" s="33" t="n">
        <v>5</v>
      </c>
      <c r="G706" s="33" t="n">
        <v>0</v>
      </c>
      <c r="H706" s="33" t="n">
        <v>1009</v>
      </c>
      <c r="I706" s="33" t="inlineStr">
        <is>
          <t>us</t>
        </is>
      </c>
      <c r="J706" s="33" t="n">
        <v>331</v>
      </c>
      <c r="K706" s="33" t="n">
        <v>0</v>
      </c>
      <c r="L706" s="33" t="n">
        <v>59.3</v>
      </c>
      <c r="M706" s="33" t="inlineStr">
        <is>
          <t>mwc</t>
        </is>
      </c>
      <c r="N706" s="33" t="n">
        <v>10</v>
      </c>
      <c r="O706" s="33" t="n">
        <v>-49.312</v>
      </c>
      <c r="P706" s="33" t="n">
        <v>161.345</v>
      </c>
      <c r="Q706" s="33" t="inlineStr">
        <is>
          <t>Macquarie Island</t>
        </is>
      </c>
      <c r="T706" s="36">
        <f>DATE(MID(C706,7,4),MID(C706,4,2),MID(C706,1,2))+TIME(MID(C706,12,2),MID(C706,15,2),0)</f>
        <v/>
      </c>
      <c r="U706" s="33">
        <f>IF(ISNUMBER(VALUE(MID(A706,7,1))),"Distance-prefix pattern","Named-region pattern")</f>
        <v/>
      </c>
      <c r="V706" s="33">
        <f>LOWER(M706)</f>
        <v/>
      </c>
      <c r="W706" s="33">
        <f>IF(COUNTIFS($A$2:$A$1001,A706,$C$2:$C$1001,C706)&gt;1,"Duplicate","Unique")</f>
        <v/>
      </c>
      <c r="X706" s="33">
        <f>YEAR(T706)</f>
        <v/>
      </c>
      <c r="Y706" s="33">
        <f>IF(B706&lt;6.5,"&lt;6.5",IF(B706&lt;7,"6.5–6.9",IF(B706&lt;7.5,"7.0–7.4",IF(B706&lt;8,"7.5–7.9","8.0+"))))</f>
        <v/>
      </c>
      <c r="Z706" s="33">
        <f>IF(F706="","Blank",F706)</f>
        <v/>
      </c>
    </row>
    <row r="707" ht="15" customHeight="1" s="34">
      <c r="A707" s="33" t="inlineStr">
        <is>
          <t>M 6.8 - 36 km S of George Town, Cayman Islands</t>
        </is>
      </c>
      <c r="B707" s="33" t="n">
        <v>6.8</v>
      </c>
      <c r="C707" s="33" t="inlineStr">
        <is>
          <t>14/12/2004 23:20</t>
        </is>
      </c>
      <c r="D707" s="33" t="n">
        <v>5</v>
      </c>
      <c r="E707" s="33" t="n">
        <v>6</v>
      </c>
      <c r="G707" s="33" t="n">
        <v>0</v>
      </c>
      <c r="H707" s="33" t="n">
        <v>858</v>
      </c>
      <c r="I707" s="33" t="inlineStr">
        <is>
          <t>us</t>
        </is>
      </c>
      <c r="J707" s="33" t="n">
        <v>639</v>
      </c>
      <c r="K707" s="33" t="n">
        <v>0</v>
      </c>
      <c r="L707" s="33" t="n">
        <v>21.8</v>
      </c>
      <c r="M707" s="33" t="inlineStr">
        <is>
          <t>mwb</t>
        </is>
      </c>
      <c r="N707" s="33" t="n">
        <v>10</v>
      </c>
      <c r="O707" s="33" t="n">
        <v>18.958</v>
      </c>
      <c r="P707" s="33" t="n">
        <v>-81.40900000000001</v>
      </c>
      <c r="Q707" s="33" t="inlineStr">
        <is>
          <t>George Town, Cayman Islands</t>
        </is>
      </c>
      <c r="T707" s="36">
        <f>DATE(MID(C707,7,4),MID(C707,4,2),MID(C707,1,2))+TIME(MID(C707,12,2),MID(C707,15,2),0)</f>
        <v/>
      </c>
      <c r="U707" s="33">
        <f>IF(ISNUMBER(VALUE(MID(A707,7,1))),"Distance-prefix pattern","Named-region pattern")</f>
        <v/>
      </c>
      <c r="V707" s="33">
        <f>LOWER(M707)</f>
        <v/>
      </c>
      <c r="W707" s="33">
        <f>IF(COUNTIFS($A$2:$A$1001,A707,$C$2:$C$1001,C707)&gt;1,"Duplicate","Unique")</f>
        <v/>
      </c>
      <c r="X707" s="33">
        <f>YEAR(T707)</f>
        <v/>
      </c>
      <c r="Y707" s="33">
        <f>IF(B707&lt;6.5,"&lt;6.5",IF(B707&lt;7,"6.5–6.9",IF(B707&lt;7.5,"7.0–7.4",IF(B707&lt;8,"7.5–7.9","8.0+"))))</f>
        <v/>
      </c>
      <c r="Z707" s="33">
        <f>IF(F707="","Blank",F707)</f>
        <v/>
      </c>
    </row>
    <row r="708" ht="15" customHeight="1" s="34">
      <c r="A708" s="33" t="inlineStr">
        <is>
          <t>M 6.8 - 54 km SSW of Nemuro, Japan</t>
        </is>
      </c>
      <c r="B708" s="33" t="n">
        <v>6.8</v>
      </c>
      <c r="C708" s="33" t="inlineStr">
        <is>
          <t>06/12/2004 14:15</t>
        </is>
      </c>
      <c r="D708" s="33" t="n">
        <v>4</v>
      </c>
      <c r="E708" s="33" t="n">
        <v>7</v>
      </c>
      <c r="G708" s="33" t="n">
        <v>0</v>
      </c>
      <c r="H708" s="33" t="n">
        <v>724</v>
      </c>
      <c r="I708" s="33" t="inlineStr">
        <is>
          <t>us</t>
        </is>
      </c>
      <c r="J708" s="33" t="n">
        <v>759</v>
      </c>
      <c r="K708" s="33" t="n">
        <v>0</v>
      </c>
      <c r="L708" s="33" t="n">
        <v>23.6</v>
      </c>
      <c r="M708" s="33" t="inlineStr">
        <is>
          <t>mwb</t>
        </is>
      </c>
      <c r="N708" s="33" t="n">
        <v>35</v>
      </c>
      <c r="O708" s="33" t="n">
        <v>42.9</v>
      </c>
      <c r="P708" s="33" t="n">
        <v>145.228</v>
      </c>
      <c r="Q708" s="33" t="inlineStr">
        <is>
          <t>Nemuro, Japan</t>
        </is>
      </c>
      <c r="R708" s="33" t="inlineStr">
        <is>
          <t>Asia</t>
        </is>
      </c>
      <c r="S708" s="33" t="inlineStr">
        <is>
          <t>Japan</t>
        </is>
      </c>
      <c r="T708" s="36">
        <f>DATE(MID(C708,7,4),MID(C708,4,2),MID(C708,1,2))+TIME(MID(C708,12,2),MID(C708,15,2),0)</f>
        <v/>
      </c>
      <c r="U708" s="33">
        <f>IF(ISNUMBER(VALUE(MID(A708,7,1))),"Distance-prefix pattern","Named-region pattern")</f>
        <v/>
      </c>
      <c r="V708" s="33">
        <f>LOWER(M708)</f>
        <v/>
      </c>
      <c r="W708" s="33">
        <f>IF(COUNTIFS($A$2:$A$1001,A708,$C$2:$C$1001,C708)&gt;1,"Duplicate","Unique")</f>
        <v/>
      </c>
      <c r="X708" s="33">
        <f>YEAR(T708)</f>
        <v/>
      </c>
      <c r="Y708" s="33">
        <f>IF(B708&lt;6.5,"&lt;6.5",IF(B708&lt;7,"6.5–6.9",IF(B708&lt;7.5,"7.0–7.4",IF(B708&lt;8,"7.5–7.9","8.0+"))))</f>
        <v/>
      </c>
      <c r="Z708" s="33">
        <f>IF(F708="","Blank",F708)</f>
        <v/>
      </c>
    </row>
    <row r="709" ht="15" customHeight="1" s="34">
      <c r="A709" s="33" t="inlineStr">
        <is>
          <t>M 7.0 - 51 km SW of Nemuro, Japan</t>
        </is>
      </c>
      <c r="B709" s="33" t="n">
        <v>7</v>
      </c>
      <c r="C709" s="33" t="inlineStr">
        <is>
          <t>28/11/2004 18:32</t>
        </is>
      </c>
      <c r="D709" s="33" t="n">
        <v>4</v>
      </c>
      <c r="E709" s="33" t="n">
        <v>7</v>
      </c>
      <c r="G709" s="33" t="n">
        <v>0</v>
      </c>
      <c r="H709" s="33" t="n">
        <v>771</v>
      </c>
      <c r="I709" s="33" t="inlineStr">
        <is>
          <t>us</t>
        </is>
      </c>
      <c r="J709" s="33" t="n">
        <v>929</v>
      </c>
      <c r="K709" s="33" t="n">
        <v>0</v>
      </c>
      <c r="L709" s="33" t="n">
        <v>23.9</v>
      </c>
      <c r="M709" s="33" t="inlineStr">
        <is>
          <t>mwb</t>
        </is>
      </c>
      <c r="N709" s="33" t="n">
        <v>39</v>
      </c>
      <c r="O709" s="33" t="n">
        <v>43.006</v>
      </c>
      <c r="P709" s="33" t="n">
        <v>145.119</v>
      </c>
      <c r="Q709" s="33" t="inlineStr">
        <is>
          <t>Nemuro, Japan</t>
        </is>
      </c>
      <c r="R709" s="33" t="inlineStr">
        <is>
          <t>Asia</t>
        </is>
      </c>
      <c r="S709" s="33" t="inlineStr">
        <is>
          <t>Japan</t>
        </is>
      </c>
      <c r="T709" s="36">
        <f>DATE(MID(C709,7,4),MID(C709,4,2),MID(C709,1,2))+TIME(MID(C709,12,2),MID(C709,15,2),0)</f>
        <v/>
      </c>
      <c r="U709" s="33">
        <f>IF(ISNUMBER(VALUE(MID(A709,7,1))),"Distance-prefix pattern","Named-region pattern")</f>
        <v/>
      </c>
      <c r="V709" s="33">
        <f>LOWER(M709)</f>
        <v/>
      </c>
      <c r="W709" s="33">
        <f>IF(COUNTIFS($A$2:$A$1001,A709,$C$2:$C$1001,C709)&gt;1,"Duplicate","Unique")</f>
        <v/>
      </c>
      <c r="X709" s="33">
        <f>YEAR(T709)</f>
        <v/>
      </c>
      <c r="Y709" s="33">
        <f>IF(B709&lt;6.5,"&lt;6.5",IF(B709&lt;7,"6.5–6.9",IF(B709&lt;7.5,"7.0–7.4",IF(B709&lt;8,"7.5–7.9","8.0+"))))</f>
        <v/>
      </c>
      <c r="Z709" s="33">
        <f>IF(F709="","Blank",F709)</f>
        <v/>
      </c>
    </row>
    <row r="710" ht="15" customHeight="1" s="34">
      <c r="A710" s="33" t="inlineStr">
        <is>
          <t>M 7.1 - 29 km SSW of Nabire, Indonesia</t>
        </is>
      </c>
      <c r="B710" s="33" t="n">
        <v>7.1</v>
      </c>
      <c r="C710" s="33" t="inlineStr">
        <is>
          <t>26/11/2004 02:25</t>
        </is>
      </c>
      <c r="D710" s="33" t="n">
        <v>0</v>
      </c>
      <c r="E710" s="33" t="n">
        <v>7</v>
      </c>
      <c r="G710" s="33" t="n">
        <v>0</v>
      </c>
      <c r="H710" s="33" t="n">
        <v>776</v>
      </c>
      <c r="I710" s="33" t="inlineStr">
        <is>
          <t>us</t>
        </is>
      </c>
      <c r="J710" s="33" t="n">
        <v>439</v>
      </c>
      <c r="K710" s="33" t="n">
        <v>0</v>
      </c>
      <c r="L710" s="33" t="n">
        <v>28.8</v>
      </c>
      <c r="M710" s="33" t="inlineStr">
        <is>
          <t>mwc</t>
        </is>
      </c>
      <c r="N710" s="33" t="n">
        <v>10</v>
      </c>
      <c r="O710" s="33" t="n">
        <v>-3.609</v>
      </c>
      <c r="P710" s="33" t="n">
        <v>135.404</v>
      </c>
      <c r="Q710" s="33" t="inlineStr">
        <is>
          <t>Nabire, Indonesia</t>
        </is>
      </c>
      <c r="S710" s="33" t="inlineStr">
        <is>
          <t>Indonesia</t>
        </is>
      </c>
      <c r="T710" s="36">
        <f>DATE(MID(C710,7,4),MID(C710,4,2),MID(C710,1,2))+TIME(MID(C710,12,2),MID(C710,15,2),0)</f>
        <v/>
      </c>
      <c r="U710" s="33">
        <f>IF(ISNUMBER(VALUE(MID(A710,7,1))),"Distance-prefix pattern","Named-region pattern")</f>
        <v/>
      </c>
      <c r="V710" s="33">
        <f>LOWER(M710)</f>
        <v/>
      </c>
      <c r="W710" s="33">
        <f>IF(COUNTIFS($A$2:$A$1001,A710,$C$2:$C$1001,C710)&gt;1,"Duplicate","Unique")</f>
        <v/>
      </c>
      <c r="X710" s="33">
        <f>YEAR(T710)</f>
        <v/>
      </c>
      <c r="Y710" s="33">
        <f>IF(B710&lt;6.5,"&lt;6.5",IF(B710&lt;7,"6.5–6.9",IF(B710&lt;7.5,"7.0–7.4",IF(B710&lt;8,"7.5–7.9","8.0+"))))</f>
        <v/>
      </c>
      <c r="Z710" s="33">
        <f>IF(F710="","Blank",F710)</f>
        <v/>
      </c>
    </row>
    <row r="711" ht="15" customHeight="1" s="34">
      <c r="A711" s="33" t="inlineStr">
        <is>
          <t>M 7.1 - 255 km W of Riverton, New Zealand</t>
        </is>
      </c>
      <c r="B711" s="33" t="n">
        <v>7.1</v>
      </c>
      <c r="C711" s="33" t="inlineStr">
        <is>
          <t>22/11/2004 20:26</t>
        </is>
      </c>
      <c r="D711" s="33" t="n">
        <v>5</v>
      </c>
      <c r="E711" s="33" t="n">
        <v>5</v>
      </c>
      <c r="G711" s="33" t="n">
        <v>0</v>
      </c>
      <c r="H711" s="33" t="n">
        <v>782</v>
      </c>
      <c r="I711" s="33" t="inlineStr">
        <is>
          <t>us</t>
        </is>
      </c>
      <c r="J711" s="33" t="n">
        <v>585</v>
      </c>
      <c r="K711" s="33" t="n">
        <v>0</v>
      </c>
      <c r="L711" s="33" t="n">
        <v>14.7</v>
      </c>
      <c r="M711" s="33" t="inlineStr">
        <is>
          <t>mwc</t>
        </is>
      </c>
      <c r="N711" s="33" t="n">
        <v>10</v>
      </c>
      <c r="O711" s="33" t="n">
        <v>-46.676</v>
      </c>
      <c r="P711" s="33" t="n">
        <v>164.721</v>
      </c>
      <c r="Q711" s="33" t="inlineStr">
        <is>
          <t>Riverton, New Zealand</t>
        </is>
      </c>
      <c r="T711" s="36">
        <f>DATE(MID(C711,7,4),MID(C711,4,2),MID(C711,1,2))+TIME(MID(C711,12,2),MID(C711,15,2),0)</f>
        <v/>
      </c>
      <c r="U711" s="33">
        <f>IF(ISNUMBER(VALUE(MID(A711,7,1))),"Distance-prefix pattern","Named-region pattern")</f>
        <v/>
      </c>
      <c r="V711" s="33">
        <f>LOWER(M711)</f>
        <v/>
      </c>
      <c r="W711" s="33">
        <f>IF(COUNTIFS($A$2:$A$1001,A711,$C$2:$C$1001,C711)&gt;1,"Duplicate","Unique")</f>
        <v/>
      </c>
      <c r="X711" s="33">
        <f>YEAR(T711)</f>
        <v/>
      </c>
      <c r="Y711" s="33">
        <f>IF(B711&lt;6.5,"&lt;6.5",IF(B711&lt;7,"6.5–6.9",IF(B711&lt;7.5,"7.0–7.4",IF(B711&lt;8,"7.5–7.9","8.0+"))))</f>
        <v/>
      </c>
      <c r="Z711" s="33">
        <f>IF(F711="","Blank",F711)</f>
        <v/>
      </c>
    </row>
    <row r="712" ht="15" customHeight="1" s="34">
      <c r="A712" s="33" t="inlineStr">
        <is>
          <t>M 7.2 - 32 km SSW of Pizarro, Colombia</t>
        </is>
      </c>
      <c r="B712" s="33" t="n">
        <v>7.2</v>
      </c>
      <c r="C712" s="33" t="inlineStr">
        <is>
          <t>15/11/2004 09:06</t>
        </is>
      </c>
      <c r="D712" s="33" t="n">
        <v>8</v>
      </c>
      <c r="E712" s="33" t="n">
        <v>8</v>
      </c>
      <c r="G712" s="33" t="n">
        <v>0</v>
      </c>
      <c r="H712" s="33" t="n">
        <v>820</v>
      </c>
      <c r="I712" s="33" t="inlineStr">
        <is>
          <t>us</t>
        </is>
      </c>
      <c r="J712" s="33" t="n">
        <v>708</v>
      </c>
      <c r="K712" s="33" t="n">
        <v>0</v>
      </c>
      <c r="L712" s="33" t="n">
        <v>50.2</v>
      </c>
      <c r="M712" s="33" t="inlineStr">
        <is>
          <t>mwb</t>
        </is>
      </c>
      <c r="N712" s="33" t="n">
        <v>15</v>
      </c>
      <c r="O712" s="33" t="n">
        <v>4.695</v>
      </c>
      <c r="P712" s="33" t="n">
        <v>-77.508</v>
      </c>
      <c r="Q712" s="33" t="inlineStr">
        <is>
          <t>Pizarro, Colombia</t>
        </is>
      </c>
      <c r="S712" s="33" t="inlineStr">
        <is>
          <t>Colombia</t>
        </is>
      </c>
      <c r="T712" s="36">
        <f>DATE(MID(C712,7,4),MID(C712,4,2),MID(C712,1,2))+TIME(MID(C712,12,2),MID(C712,15,2),0)</f>
        <v/>
      </c>
      <c r="U712" s="33">
        <f>IF(ISNUMBER(VALUE(MID(A712,7,1))),"Distance-prefix pattern","Named-region pattern")</f>
        <v/>
      </c>
      <c r="V712" s="33">
        <f>LOWER(M712)</f>
        <v/>
      </c>
      <c r="W712" s="33">
        <f>IF(COUNTIFS($A$2:$A$1001,A712,$C$2:$C$1001,C712)&gt;1,"Duplicate","Unique")</f>
        <v/>
      </c>
      <c r="X712" s="33">
        <f>YEAR(T712)</f>
        <v/>
      </c>
      <c r="Y712" s="33">
        <f>IF(B712&lt;6.5,"&lt;6.5",IF(B712&lt;7,"6.5–6.9",IF(B712&lt;7.5,"7.0–7.4",IF(B712&lt;8,"7.5–7.9","8.0+"))))</f>
        <v/>
      </c>
      <c r="Z712" s="33">
        <f>IF(F712="","Blank",F712)</f>
        <v/>
      </c>
    </row>
    <row r="713" ht="15" customHeight="1" s="34">
      <c r="A713" s="33" t="inlineStr">
        <is>
          <t>M 7.5 - 63 km NW of Maubara, Timor Leste</t>
        </is>
      </c>
      <c r="B713" s="33" t="n">
        <v>7.5</v>
      </c>
      <c r="C713" s="33" t="inlineStr">
        <is>
          <t>11/11/2004 21:26</t>
        </is>
      </c>
      <c r="D713" s="33" t="n">
        <v>5</v>
      </c>
      <c r="E713" s="33" t="n">
        <v>7</v>
      </c>
      <c r="G713" s="33" t="n">
        <v>0</v>
      </c>
      <c r="H713" s="33" t="n">
        <v>870</v>
      </c>
      <c r="I713" s="33" t="inlineStr">
        <is>
          <t>us</t>
        </is>
      </c>
      <c r="J713" s="33" t="n">
        <v>301</v>
      </c>
      <c r="K713" s="33" t="n">
        <v>0</v>
      </c>
      <c r="L713" s="33" t="n">
        <v>33.8</v>
      </c>
      <c r="M713" s="33" t="inlineStr">
        <is>
          <t>mwc</t>
        </is>
      </c>
      <c r="N713" s="33" t="n">
        <v>10</v>
      </c>
      <c r="O713" s="33" t="n">
        <v>-8.151999999999999</v>
      </c>
      <c r="P713" s="33" t="n">
        <v>124.868</v>
      </c>
      <c r="Q713" s="33" t="inlineStr">
        <is>
          <t>Maubara, Timor Leste</t>
        </is>
      </c>
      <c r="S713" s="33" t="inlineStr">
        <is>
          <t>Indonesia</t>
        </is>
      </c>
      <c r="T713" s="36">
        <f>DATE(MID(C713,7,4),MID(C713,4,2),MID(C713,1,2))+TIME(MID(C713,12,2),MID(C713,15,2),0)</f>
        <v/>
      </c>
      <c r="U713" s="33">
        <f>IF(ISNUMBER(VALUE(MID(A713,7,1))),"Distance-prefix pattern","Named-region pattern")</f>
        <v/>
      </c>
      <c r="V713" s="33">
        <f>LOWER(M713)</f>
        <v/>
      </c>
      <c r="W713" s="33">
        <f>IF(COUNTIFS($A$2:$A$1001,A713,$C$2:$C$1001,C713)&gt;1,"Duplicate","Unique")</f>
        <v/>
      </c>
      <c r="X713" s="33">
        <f>YEAR(T713)</f>
        <v/>
      </c>
      <c r="Y713" s="33">
        <f>IF(B713&lt;6.5,"&lt;6.5",IF(B713&lt;7,"6.5–6.9",IF(B713&lt;7.5,"7.0–7.4",IF(B713&lt;8,"7.5–7.9","8.0+"))))</f>
        <v/>
      </c>
      <c r="Z713" s="33">
        <f>IF(F713="","Blank",F713)</f>
        <v/>
      </c>
    </row>
    <row r="714" ht="15" customHeight="1" s="34">
      <c r="A714" s="33" t="inlineStr">
        <is>
          <t>M 6.7 - 80 km SSE of Kirakira, Solomon Islands</t>
        </is>
      </c>
      <c r="B714" s="33" t="n">
        <v>6.7</v>
      </c>
      <c r="C714" s="33" t="inlineStr">
        <is>
          <t>11/11/2004 17:34</t>
        </is>
      </c>
      <c r="D714" s="33" t="n">
        <v>0</v>
      </c>
      <c r="E714" s="33" t="n">
        <v>6</v>
      </c>
      <c r="G714" s="33" t="n">
        <v>0</v>
      </c>
      <c r="H714" s="33" t="n">
        <v>691</v>
      </c>
      <c r="I714" s="33" t="inlineStr">
        <is>
          <t>us</t>
        </is>
      </c>
      <c r="J714" s="33" t="n">
        <v>233</v>
      </c>
      <c r="K714" s="33" t="n">
        <v>0</v>
      </c>
      <c r="L714" s="33" t="n">
        <v>21.5</v>
      </c>
      <c r="M714" s="33" t="inlineStr">
        <is>
          <t>mwb</t>
        </is>
      </c>
      <c r="N714" s="33" t="n">
        <v>10</v>
      </c>
      <c r="O714" s="33" t="n">
        <v>-11.128</v>
      </c>
      <c r="P714" s="33" t="n">
        <v>162.208</v>
      </c>
      <c r="Q714" s="33" t="inlineStr">
        <is>
          <t>Kirakira, Solomon Islands</t>
        </is>
      </c>
      <c r="T714" s="36">
        <f>DATE(MID(C714,7,4),MID(C714,4,2),MID(C714,1,2))+TIME(MID(C714,12,2),MID(C714,15,2),0)</f>
        <v/>
      </c>
      <c r="U714" s="33">
        <f>IF(ISNUMBER(VALUE(MID(A714,7,1))),"Distance-prefix pattern","Named-region pattern")</f>
        <v/>
      </c>
      <c r="V714" s="33">
        <f>LOWER(M714)</f>
        <v/>
      </c>
      <c r="W714" s="33">
        <f>IF(COUNTIFS($A$2:$A$1001,A714,$C$2:$C$1001,C714)&gt;1,"Duplicate","Unique")</f>
        <v/>
      </c>
      <c r="X714" s="33">
        <f>YEAR(T714)</f>
        <v/>
      </c>
      <c r="Y714" s="33">
        <f>IF(B714&lt;6.5,"&lt;6.5",IF(B714&lt;7,"6.5–6.9",IF(B714&lt;7.5,"7.0–7.4",IF(B714&lt;8,"7.5–7.9","8.0+"))))</f>
        <v/>
      </c>
      <c r="Z714" s="33">
        <f>IF(F714="","Blank",F714)</f>
        <v/>
      </c>
    </row>
    <row r="715" ht="15" customHeight="1" s="34">
      <c r="A715" s="33" t="inlineStr">
        <is>
          <t>M 6.7 - 189 km SW of Port McNeill, Canada</t>
        </is>
      </c>
      <c r="B715" s="33" t="n">
        <v>6.7</v>
      </c>
      <c r="C715" s="33" t="inlineStr">
        <is>
          <t>02/11/2004 10:02</t>
        </is>
      </c>
      <c r="D715" s="33" t="n">
        <v>7</v>
      </c>
      <c r="E715" s="33" t="n">
        <v>4</v>
      </c>
      <c r="G715" s="33" t="n">
        <v>0</v>
      </c>
      <c r="H715" s="33" t="n">
        <v>703</v>
      </c>
      <c r="I715" s="33" t="inlineStr">
        <is>
          <t>us</t>
        </is>
      </c>
      <c r="J715" s="33" t="n">
        <v>459</v>
      </c>
      <c r="K715" s="33" t="n">
        <v>0</v>
      </c>
      <c r="L715" s="33" t="n">
        <v>37.3</v>
      </c>
      <c r="M715" s="33" t="inlineStr">
        <is>
          <t>mwb</t>
        </is>
      </c>
      <c r="N715" s="33" t="n">
        <v>10</v>
      </c>
      <c r="O715" s="33" t="n">
        <v>49.277</v>
      </c>
      <c r="P715" s="33" t="n">
        <v>-128.772</v>
      </c>
      <c r="Q715" s="33" t="inlineStr">
        <is>
          <t>Port McNeill, Canada</t>
        </is>
      </c>
      <c r="T715" s="36">
        <f>DATE(MID(C715,7,4),MID(C715,4,2),MID(C715,1,2))+TIME(MID(C715,12,2),MID(C715,15,2),0)</f>
        <v/>
      </c>
      <c r="U715" s="33">
        <f>IF(ISNUMBER(VALUE(MID(A715,7,1))),"Distance-prefix pattern","Named-region pattern")</f>
        <v/>
      </c>
      <c r="V715" s="33">
        <f>LOWER(M715)</f>
        <v/>
      </c>
      <c r="W715" s="33">
        <f>IF(COUNTIFS($A$2:$A$1001,A715,$C$2:$C$1001,C715)&gt;1,"Duplicate","Unique")</f>
        <v/>
      </c>
      <c r="X715" s="33">
        <f>YEAR(T715)</f>
        <v/>
      </c>
      <c r="Y715" s="33">
        <f>IF(B715&lt;6.5,"&lt;6.5",IF(B715&lt;7,"6.5–6.9",IF(B715&lt;7.5,"7.0–7.4",IF(B715&lt;8,"7.5–7.9","8.0+"))))</f>
        <v/>
      </c>
      <c r="Z715" s="33">
        <f>IF(F715="","Blank",F715)</f>
        <v/>
      </c>
    </row>
    <row r="716" ht="15" customHeight="1" s="34">
      <c r="A716" s="33" t="inlineStr">
        <is>
          <t>M 6.6 - 8 km SSW of Ojiya, Japan</t>
        </is>
      </c>
      <c r="B716" s="33" t="n">
        <v>6.6</v>
      </c>
      <c r="C716" s="33" t="inlineStr">
        <is>
          <t>23/10/2004 08:56</t>
        </is>
      </c>
      <c r="D716" s="33" t="n">
        <v>0</v>
      </c>
      <c r="E716" s="33" t="n">
        <v>8</v>
      </c>
      <c r="G716" s="33" t="n">
        <v>0</v>
      </c>
      <c r="H716" s="33" t="n">
        <v>670</v>
      </c>
      <c r="I716" s="33" t="inlineStr">
        <is>
          <t>us</t>
        </is>
      </c>
      <c r="J716" s="33" t="n">
        <v>782</v>
      </c>
      <c r="K716" s="33" t="n">
        <v>0</v>
      </c>
      <c r="L716" s="33" t="n">
        <v>37</v>
      </c>
      <c r="M716" s="33" t="inlineStr">
        <is>
          <t>mwc</t>
        </is>
      </c>
      <c r="N716" s="33" t="n">
        <v>16</v>
      </c>
      <c r="O716" s="33" t="n">
        <v>37.226</v>
      </c>
      <c r="P716" s="33" t="n">
        <v>138.779</v>
      </c>
      <c r="Q716" s="33" t="inlineStr">
        <is>
          <t>Ojiya, Japan</t>
        </is>
      </c>
      <c r="R716" s="33" t="inlineStr">
        <is>
          <t>Asia</t>
        </is>
      </c>
      <c r="S716" s="33" t="inlineStr">
        <is>
          <t>Japan</t>
        </is>
      </c>
      <c r="T716" s="36">
        <f>DATE(MID(C716,7,4),MID(C716,4,2),MID(C716,1,2))+TIME(MID(C716,12,2),MID(C716,15,2),0)</f>
        <v/>
      </c>
      <c r="U716" s="33">
        <f>IF(ISNUMBER(VALUE(MID(A716,7,1))),"Distance-prefix pattern","Named-region pattern")</f>
        <v/>
      </c>
      <c r="V716" s="33">
        <f>LOWER(M716)</f>
        <v/>
      </c>
      <c r="W716" s="33">
        <f>IF(COUNTIFS($A$2:$A$1001,A716,$C$2:$C$1001,C716)&gt;1,"Duplicate","Unique")</f>
        <v/>
      </c>
      <c r="X716" s="33">
        <f>YEAR(T716)</f>
        <v/>
      </c>
      <c r="Y716" s="33">
        <f>IF(B716&lt;6.5,"&lt;6.5",IF(B716&lt;7,"6.5–6.9",IF(B716&lt;7.5,"7.0–7.4",IF(B716&lt;8,"7.5–7.9","8.0+"))))</f>
        <v/>
      </c>
      <c r="Z716" s="33">
        <f>IF(F716="","Blank",F716)</f>
        <v/>
      </c>
    </row>
    <row r="717" ht="15" customHeight="1" s="34">
      <c r="A717" s="33" t="inlineStr">
        <is>
          <t>M 6.7 - 31 km WNW of Yonakuni, Japan</t>
        </is>
      </c>
      <c r="B717" s="33" t="n">
        <v>6.7</v>
      </c>
      <c r="C717" s="33" t="inlineStr">
        <is>
          <t>15/10/2004 04:08</t>
        </is>
      </c>
      <c r="D717" s="33" t="n">
        <v>5</v>
      </c>
      <c r="E717" s="33" t="n">
        <v>6</v>
      </c>
      <c r="G717" s="33" t="n">
        <v>0</v>
      </c>
      <c r="H717" s="33" t="n">
        <v>705</v>
      </c>
      <c r="I717" s="33" t="inlineStr">
        <is>
          <t>us</t>
        </is>
      </c>
      <c r="J717" s="33" t="n">
        <v>698</v>
      </c>
      <c r="K717" s="33" t="n">
        <v>0</v>
      </c>
      <c r="L717" s="33" t="n">
        <v>24.7</v>
      </c>
      <c r="M717" s="33" t="inlineStr">
        <is>
          <t>mwb</t>
        </is>
      </c>
      <c r="N717" s="33" t="n">
        <v>94</v>
      </c>
      <c r="O717" s="33" t="n">
        <v>24.53</v>
      </c>
      <c r="P717" s="33" t="n">
        <v>122.694</v>
      </c>
      <c r="Q717" s="33" t="inlineStr">
        <is>
          <t>Yonakuni, Japan</t>
        </is>
      </c>
      <c r="T717" s="36">
        <f>DATE(MID(C717,7,4),MID(C717,4,2),MID(C717,1,2))+TIME(MID(C717,12,2),MID(C717,15,2),0)</f>
        <v/>
      </c>
      <c r="U717" s="33">
        <f>IF(ISNUMBER(VALUE(MID(A717,7,1))),"Distance-prefix pattern","Named-region pattern")</f>
        <v/>
      </c>
      <c r="V717" s="33">
        <f>LOWER(M717)</f>
        <v/>
      </c>
      <c r="W717" s="33">
        <f>IF(COUNTIFS($A$2:$A$1001,A717,$C$2:$C$1001,C717)&gt;1,"Duplicate","Unique")</f>
        <v/>
      </c>
      <c r="X717" s="33">
        <f>YEAR(T717)</f>
        <v/>
      </c>
      <c r="Y717" s="33">
        <f>IF(B717&lt;6.5,"&lt;6.5",IF(B717&lt;7,"6.5–6.9",IF(B717&lt;7.5,"7.0–7.4",IF(B717&lt;8,"7.5–7.9","8.0+"))))</f>
        <v/>
      </c>
      <c r="Z717" s="33">
        <f>IF(F717="","Blank",F717)</f>
        <v/>
      </c>
    </row>
    <row r="718" ht="15" customHeight="1" s="34">
      <c r="A718" s="33" t="inlineStr">
        <is>
          <t>M 7.0 - 43 km SSW of Masachapa, Nicaragua</t>
        </is>
      </c>
      <c r="B718" s="33" t="n">
        <v>7</v>
      </c>
      <c r="C718" s="33" t="inlineStr">
        <is>
          <t>09/10/2004 21:26</t>
        </is>
      </c>
      <c r="D718" s="33" t="n">
        <v>0</v>
      </c>
      <c r="E718" s="33" t="n">
        <v>6</v>
      </c>
      <c r="G718" s="33" t="n">
        <v>0</v>
      </c>
      <c r="H718" s="33" t="n">
        <v>754</v>
      </c>
      <c r="I718" s="33" t="inlineStr">
        <is>
          <t>us</t>
        </is>
      </c>
      <c r="J718" s="33" t="n">
        <v>441</v>
      </c>
      <c r="K718" s="33" t="n">
        <v>0</v>
      </c>
      <c r="L718" s="33" t="n">
        <v>32.2</v>
      </c>
      <c r="M718" s="33" t="inlineStr">
        <is>
          <t>mwc</t>
        </is>
      </c>
      <c r="N718" s="33" t="n">
        <v>35</v>
      </c>
      <c r="O718" s="33" t="n">
        <v>11.422</v>
      </c>
      <c r="P718" s="33" t="n">
        <v>-86.66500000000001</v>
      </c>
      <c r="Q718" s="33" t="inlineStr">
        <is>
          <t>Masachapa, Nicaragua</t>
        </is>
      </c>
      <c r="T718" s="36">
        <f>DATE(MID(C718,7,4),MID(C718,4,2),MID(C718,1,2))+TIME(MID(C718,12,2),MID(C718,15,2),0)</f>
        <v/>
      </c>
      <c r="U718" s="33">
        <f>IF(ISNUMBER(VALUE(MID(A718,7,1))),"Distance-prefix pattern","Named-region pattern")</f>
        <v/>
      </c>
      <c r="V718" s="33">
        <f>LOWER(M718)</f>
        <v/>
      </c>
      <c r="W718" s="33">
        <f>IF(COUNTIFS($A$2:$A$1001,A718,$C$2:$C$1001,C718)&gt;1,"Duplicate","Unique")</f>
        <v/>
      </c>
      <c r="X718" s="33">
        <f>YEAR(T718)</f>
        <v/>
      </c>
      <c r="Y718" s="33">
        <f>IF(B718&lt;6.5,"&lt;6.5",IF(B718&lt;7,"6.5–6.9",IF(B718&lt;7.5,"7.0–7.4",IF(B718&lt;8,"7.5–7.9","8.0+"))))</f>
        <v/>
      </c>
      <c r="Z718" s="33">
        <f>IF(F718="","Blank",F718)</f>
        <v/>
      </c>
    </row>
    <row r="719" ht="15" customHeight="1" s="34">
      <c r="A719" s="33" t="inlineStr">
        <is>
          <t>M 6.5 - 9 km W of Talisay, Philippines</t>
        </is>
      </c>
      <c r="B719" s="33" t="n">
        <v>6.5</v>
      </c>
      <c r="C719" s="33" t="inlineStr">
        <is>
          <t>08/10/2004 14:36</t>
        </is>
      </c>
      <c r="D719" s="33" t="n">
        <v>5</v>
      </c>
      <c r="E719" s="33" t="n">
        <v>5</v>
      </c>
      <c r="G719" s="33" t="n">
        <v>0</v>
      </c>
      <c r="H719" s="33" t="n">
        <v>665</v>
      </c>
      <c r="I719" s="33" t="inlineStr">
        <is>
          <t>us</t>
        </is>
      </c>
      <c r="J719" s="33" t="n">
        <v>526</v>
      </c>
      <c r="K719" s="33" t="n">
        <v>0</v>
      </c>
      <c r="L719" s="33" t="n">
        <v>18.3</v>
      </c>
      <c r="M719" s="33" t="inlineStr">
        <is>
          <t>mwb</t>
        </is>
      </c>
      <c r="N719" s="33" t="n">
        <v>105</v>
      </c>
      <c r="O719" s="33" t="n">
        <v>13.925</v>
      </c>
      <c r="P719" s="33" t="n">
        <v>120.534</v>
      </c>
      <c r="Q719" s="33" t="inlineStr">
        <is>
          <t>Talisay, Philippines</t>
        </is>
      </c>
      <c r="S719" s="33" t="inlineStr">
        <is>
          <t>Philippines</t>
        </is>
      </c>
      <c r="T719" s="36">
        <f>DATE(MID(C719,7,4),MID(C719,4,2),MID(C719,1,2))+TIME(MID(C719,12,2),MID(C719,15,2),0)</f>
        <v/>
      </c>
      <c r="U719" s="33">
        <f>IF(ISNUMBER(VALUE(MID(A719,7,1))),"Distance-prefix pattern","Named-region pattern")</f>
        <v/>
      </c>
      <c r="V719" s="33">
        <f>LOWER(M719)</f>
        <v/>
      </c>
      <c r="W719" s="33">
        <f>IF(COUNTIFS($A$2:$A$1001,A719,$C$2:$C$1001,C719)&gt;1,"Duplicate","Unique")</f>
        <v/>
      </c>
      <c r="X719" s="33">
        <f>YEAR(T719)</f>
        <v/>
      </c>
      <c r="Y719" s="33">
        <f>IF(B719&lt;6.5,"&lt;6.5",IF(B719&lt;7,"6.5–6.9",IF(B719&lt;7.5,"7.0–7.4",IF(B719&lt;8,"7.5–7.9","8.0+"))))</f>
        <v/>
      </c>
      <c r="Z719" s="33">
        <f>IF(F719="","Blank",F719)</f>
        <v/>
      </c>
    </row>
    <row r="720" ht="15" customHeight="1" s="34">
      <c r="A720" s="33" t="inlineStr">
        <is>
          <t>M 6.8 - 60 km SSE of Kirakira, Solomon Islands</t>
        </is>
      </c>
      <c r="B720" s="33" t="n">
        <v>6.8</v>
      </c>
      <c r="C720" s="33" t="inlineStr">
        <is>
          <t>08/10/2004 08:27</t>
        </is>
      </c>
      <c r="D720" s="33" t="n">
        <v>0</v>
      </c>
      <c r="E720" s="33" t="n">
        <v>6</v>
      </c>
      <c r="G720" s="33" t="n">
        <v>0</v>
      </c>
      <c r="H720" s="33" t="n">
        <v>711</v>
      </c>
      <c r="I720" s="33" t="inlineStr">
        <is>
          <t>us</t>
        </is>
      </c>
      <c r="J720" s="33" t="n">
        <v>545</v>
      </c>
      <c r="K720" s="33" t="n">
        <v>0</v>
      </c>
      <c r="L720" s="33" t="n">
        <v>15.7</v>
      </c>
      <c r="M720" s="33" t="inlineStr">
        <is>
          <t>mwb</t>
        </is>
      </c>
      <c r="N720" s="33" t="n">
        <v>36</v>
      </c>
      <c r="O720" s="33" t="n">
        <v>-10.951</v>
      </c>
      <c r="P720" s="33" t="n">
        <v>162.161</v>
      </c>
      <c r="Q720" s="33" t="inlineStr">
        <is>
          <t>Kirakira, Solomon Islands</t>
        </is>
      </c>
      <c r="S720" s="33" t="inlineStr">
        <is>
          <t>Solomon Islands</t>
        </is>
      </c>
      <c r="T720" s="36">
        <f>DATE(MID(C720,7,4),MID(C720,4,2),MID(C720,1,2))+TIME(MID(C720,12,2),MID(C720,15,2),0)</f>
        <v/>
      </c>
      <c r="U720" s="33">
        <f>IF(ISNUMBER(VALUE(MID(A720,7,1))),"Distance-prefix pattern","Named-region pattern")</f>
        <v/>
      </c>
      <c r="V720" s="33">
        <f>LOWER(M720)</f>
        <v/>
      </c>
      <c r="W720" s="33">
        <f>IF(COUNTIFS($A$2:$A$1001,A720,$C$2:$C$1001,C720)&gt;1,"Duplicate","Unique")</f>
        <v/>
      </c>
      <c r="X720" s="33">
        <f>YEAR(T720)</f>
        <v/>
      </c>
      <c r="Y720" s="33">
        <f>IF(B720&lt;6.5,"&lt;6.5",IF(B720&lt;7,"6.5–6.9",IF(B720&lt;7.5,"7.0–7.4",IF(B720&lt;8,"7.5–7.9","8.0+"))))</f>
        <v/>
      </c>
      <c r="Z720" s="33">
        <f>IF(F720="","Blank",F720)</f>
        <v/>
      </c>
    </row>
    <row r="721" ht="15" customHeight="1" s="34">
      <c r="A721" s="33" t="inlineStr">
        <is>
          <t>M 6.6 - 129 km ESE of Shing?, Japan</t>
        </is>
      </c>
      <c r="B721" s="33" t="n">
        <v>6.6</v>
      </c>
      <c r="C721" s="33" t="inlineStr">
        <is>
          <t>06/09/2004 23:29</t>
        </is>
      </c>
      <c r="D721" s="33" t="n">
        <v>0</v>
      </c>
      <c r="E721" s="33" t="n">
        <v>4</v>
      </c>
      <c r="G721" s="33" t="n">
        <v>0</v>
      </c>
      <c r="H721" s="33" t="n">
        <v>670</v>
      </c>
      <c r="I721" s="33" t="inlineStr">
        <is>
          <t>us</t>
        </is>
      </c>
      <c r="J721" s="33" t="n">
        <v>478</v>
      </c>
      <c r="K721" s="33" t="n">
        <v>0</v>
      </c>
      <c r="L721" s="33" t="n">
        <v>29.8</v>
      </c>
      <c r="M721" s="33" t="inlineStr">
        <is>
          <t>mwc</t>
        </is>
      </c>
      <c r="N721" s="33" t="n">
        <v>10</v>
      </c>
      <c r="O721" s="33" t="n">
        <v>33.205</v>
      </c>
      <c r="P721" s="33" t="n">
        <v>137.227</v>
      </c>
      <c r="Q721" s="33" t="inlineStr">
        <is>
          <t>Shing?, Japan</t>
        </is>
      </c>
      <c r="T721" s="36">
        <f>DATE(MID(C721,7,4),MID(C721,4,2),MID(C721,1,2))+TIME(MID(C721,12,2),MID(C721,15,2),0)</f>
        <v/>
      </c>
      <c r="U721" s="33">
        <f>IF(ISNUMBER(VALUE(MID(A721,7,1))),"Distance-prefix pattern","Named-region pattern")</f>
        <v/>
      </c>
      <c r="V721" s="33">
        <f>LOWER(M721)</f>
        <v/>
      </c>
      <c r="W721" s="33">
        <f>IF(COUNTIFS($A$2:$A$1001,A721,$C$2:$C$1001,C721)&gt;1,"Duplicate","Unique")</f>
        <v/>
      </c>
      <c r="X721" s="33">
        <f>YEAR(T721)</f>
        <v/>
      </c>
      <c r="Y721" s="33">
        <f>IF(B721&lt;6.5,"&lt;6.5",IF(B721&lt;7,"6.5–6.9",IF(B721&lt;7.5,"7.0–7.4",IF(B721&lt;8,"7.5–7.9","8.0+"))))</f>
        <v/>
      </c>
      <c r="Z721" s="33">
        <f>IF(F721="","Blank",F721)</f>
        <v/>
      </c>
    </row>
    <row r="722" ht="15" customHeight="1" s="34">
      <c r="A722" s="33" t="inlineStr">
        <is>
          <t>M 7.4 - 118 km ESE of Shing?, Japan</t>
        </is>
      </c>
      <c r="B722" s="33" t="n">
        <v>7.4</v>
      </c>
      <c r="C722" s="33" t="inlineStr">
        <is>
          <t>05/09/2004 14:57</t>
        </is>
      </c>
      <c r="D722" s="33" t="n">
        <v>0</v>
      </c>
      <c r="E722" s="33" t="n">
        <v>5</v>
      </c>
      <c r="G722" s="33" t="n">
        <v>0</v>
      </c>
      <c r="H722" s="33" t="n">
        <v>842</v>
      </c>
      <c r="I722" s="33" t="inlineStr">
        <is>
          <t>us</t>
        </is>
      </c>
      <c r="J722" s="33" t="n">
        <v>594</v>
      </c>
      <c r="K722" s="33" t="n">
        <v>0</v>
      </c>
      <c r="L722" s="33" t="n">
        <v>27.5</v>
      </c>
      <c r="M722" s="33" t="inlineStr">
        <is>
          <t>mwb</t>
        </is>
      </c>
      <c r="N722" s="33" t="n">
        <v>10</v>
      </c>
      <c r="O722" s="33" t="n">
        <v>33.184</v>
      </c>
      <c r="P722" s="33" t="n">
        <v>137.071</v>
      </c>
      <c r="Q722" s="33" t="inlineStr">
        <is>
          <t>Shing?, Japan</t>
        </is>
      </c>
      <c r="T722" s="36">
        <f>DATE(MID(C722,7,4),MID(C722,4,2),MID(C722,1,2))+TIME(MID(C722,12,2),MID(C722,15,2),0)</f>
        <v/>
      </c>
      <c r="U722" s="33">
        <f>IF(ISNUMBER(VALUE(MID(A722,7,1))),"Distance-prefix pattern","Named-region pattern")</f>
        <v/>
      </c>
      <c r="V722" s="33">
        <f>LOWER(M722)</f>
        <v/>
      </c>
      <c r="W722" s="33">
        <f>IF(COUNTIFS($A$2:$A$1001,A722,$C$2:$C$1001,C722)&gt;1,"Duplicate","Unique")</f>
        <v/>
      </c>
      <c r="X722" s="33">
        <f>YEAR(T722)</f>
        <v/>
      </c>
      <c r="Y722" s="33">
        <f>IF(B722&lt;6.5,"&lt;6.5",IF(B722&lt;7,"6.5–6.9",IF(B722&lt;7.5,"7.0–7.4",IF(B722&lt;8,"7.5–7.9","8.0+"))))</f>
        <v/>
      </c>
      <c r="Z722" s="33">
        <f>IF(F722="","Blank",F722)</f>
        <v/>
      </c>
    </row>
    <row r="723" ht="15" customHeight="1" s="34">
      <c r="A723" s="33" t="inlineStr">
        <is>
          <t>M 7.2 - 94 km SE of Shing?, Japan</t>
        </is>
      </c>
      <c r="B723" s="33" t="n">
        <v>7.2</v>
      </c>
      <c r="C723" s="33" t="inlineStr">
        <is>
          <t>05/09/2004 10:07</t>
        </is>
      </c>
      <c r="D723" s="33" t="n">
        <v>0</v>
      </c>
      <c r="E723" s="33" t="n">
        <v>5</v>
      </c>
      <c r="G723" s="33" t="n">
        <v>0</v>
      </c>
      <c r="H723" s="33" t="n">
        <v>798</v>
      </c>
      <c r="I723" s="33" t="inlineStr">
        <is>
          <t>us</t>
        </is>
      </c>
      <c r="J723" s="33" t="n">
        <v>643</v>
      </c>
      <c r="K723" s="33" t="n">
        <v>0</v>
      </c>
      <c r="L723" s="33" t="n">
        <v>28.4</v>
      </c>
      <c r="M723" s="33" t="inlineStr">
        <is>
          <t>mwc</t>
        </is>
      </c>
      <c r="N723" s="33" t="n">
        <v>14</v>
      </c>
      <c r="O723" s="33" t="n">
        <v>33.07</v>
      </c>
      <c r="P723" s="33" t="n">
        <v>136.618</v>
      </c>
      <c r="Q723" s="33" t="inlineStr">
        <is>
          <t>Shing?, Japan</t>
        </is>
      </c>
      <c r="T723" s="36">
        <f>DATE(MID(C723,7,4),MID(C723,4,2),MID(C723,1,2))+TIME(MID(C723,12,2),MID(C723,15,2),0)</f>
        <v/>
      </c>
      <c r="U723" s="33">
        <f>IF(ISNUMBER(VALUE(MID(A723,7,1))),"Distance-prefix pattern","Named-region pattern")</f>
        <v/>
      </c>
      <c r="V723" s="33">
        <f>LOWER(M723)</f>
        <v/>
      </c>
      <c r="W723" s="33">
        <f>IF(COUNTIFS($A$2:$A$1001,A723,$C$2:$C$1001,C723)&gt;1,"Duplicate","Unique")</f>
        <v/>
      </c>
      <c r="X723" s="33">
        <f>YEAR(T723)</f>
        <v/>
      </c>
      <c r="Y723" s="33">
        <f>IF(B723&lt;6.5,"&lt;6.5",IF(B723&lt;7,"6.5–6.9",IF(B723&lt;7.5,"7.0–7.4",IF(B723&lt;8,"7.5–7.9","8.0+"))))</f>
        <v/>
      </c>
      <c r="Z723" s="33">
        <f>IF(F723="","Blank",F723)</f>
        <v/>
      </c>
    </row>
    <row r="724" ht="15" customHeight="1" s="34">
      <c r="A724" s="33" t="inlineStr">
        <is>
          <t>M 6.5 - 67 km ESE of Teno, Chile</t>
        </is>
      </c>
      <c r="B724" s="33" t="n">
        <v>6.5</v>
      </c>
      <c r="C724" s="33" t="inlineStr">
        <is>
          <t>28/08/2004 13:41</t>
        </is>
      </c>
      <c r="D724" s="33" t="n">
        <v>0</v>
      </c>
      <c r="E724" s="33" t="n">
        <v>7</v>
      </c>
      <c r="G724" s="33" t="n">
        <v>0</v>
      </c>
      <c r="H724" s="33" t="n">
        <v>650</v>
      </c>
      <c r="I724" s="33" t="inlineStr">
        <is>
          <t>us</t>
        </is>
      </c>
      <c r="J724" s="33" t="n">
        <v>349</v>
      </c>
      <c r="K724" s="33" t="n">
        <v>0</v>
      </c>
      <c r="L724" s="33" t="n">
        <v>30.1</v>
      </c>
      <c r="M724" s="33" t="inlineStr">
        <is>
          <t>mwb</t>
        </is>
      </c>
      <c r="N724" s="33" t="n">
        <v>5</v>
      </c>
      <c r="O724" s="33" t="n">
        <v>-35.173</v>
      </c>
      <c r="P724" s="33" t="n">
        <v>-70.52500000000001</v>
      </c>
      <c r="Q724" s="33" t="inlineStr">
        <is>
          <t>Teno, Chile</t>
        </is>
      </c>
      <c r="R724" s="33" t="inlineStr">
        <is>
          <t>South America</t>
        </is>
      </c>
      <c r="S724" s="33" t="inlineStr">
        <is>
          <t>Chile</t>
        </is>
      </c>
      <c r="T724" s="36">
        <f>DATE(MID(C724,7,4),MID(C724,4,2),MID(C724,1,2))+TIME(MID(C724,12,2),MID(C724,15,2),0)</f>
        <v/>
      </c>
      <c r="U724" s="33">
        <f>IF(ISNUMBER(VALUE(MID(A724,7,1))),"Distance-prefix pattern","Named-region pattern")</f>
        <v/>
      </c>
      <c r="V724" s="33">
        <f>LOWER(M724)</f>
        <v/>
      </c>
      <c r="W724" s="33">
        <f>IF(COUNTIFS($A$2:$A$1001,A724,$C$2:$C$1001,C724)&gt;1,"Duplicate","Unique")</f>
        <v/>
      </c>
      <c r="X724" s="33">
        <f>YEAR(T724)</f>
        <v/>
      </c>
      <c r="Y724" s="33">
        <f>IF(B724&lt;6.5,"&lt;6.5",IF(B724&lt;7,"6.5–6.9",IF(B724&lt;7.5,"7.0–7.4",IF(B724&lt;8,"7.5–7.9","8.0+"))))</f>
        <v/>
      </c>
      <c r="Z724" s="33">
        <f>IF(F724="","Blank",F724)</f>
        <v/>
      </c>
    </row>
    <row r="725" ht="15" customHeight="1" s="34">
      <c r="A725" s="33" t="inlineStr">
        <is>
          <t>M 6.5 - 117 km WNW of Manokwari, Indonesia</t>
        </is>
      </c>
      <c r="B725" s="33" t="n">
        <v>6.5</v>
      </c>
      <c r="C725" s="33" t="inlineStr">
        <is>
          <t>28/07/2004 03:56</t>
        </is>
      </c>
      <c r="D725" s="33" t="n">
        <v>0</v>
      </c>
      <c r="E725" s="33" t="n">
        <v>7</v>
      </c>
      <c r="G725" s="33" t="n">
        <v>0</v>
      </c>
      <c r="H725" s="33" t="n">
        <v>650</v>
      </c>
      <c r="I725" s="33" t="inlineStr">
        <is>
          <t>us</t>
        </is>
      </c>
      <c r="J725" s="33" t="n">
        <v>305</v>
      </c>
      <c r="K725" s="33" t="n">
        <v>0</v>
      </c>
      <c r="L725" s="33" t="n">
        <v>39</v>
      </c>
      <c r="M725" s="33" t="inlineStr">
        <is>
          <t>mwc</t>
        </is>
      </c>
      <c r="N725" s="33" t="n">
        <v>13.4</v>
      </c>
      <c r="O725" s="33" t="n">
        <v>-0.443</v>
      </c>
      <c r="P725" s="33" t="n">
        <v>133.091</v>
      </c>
      <c r="Q725" s="33" t="inlineStr">
        <is>
          <t>Manokwari, Indonesia</t>
        </is>
      </c>
      <c r="S725" s="33" t="inlineStr">
        <is>
          <t>Indonesia</t>
        </is>
      </c>
      <c r="T725" s="36">
        <f>DATE(MID(C725,7,4),MID(C725,4,2),MID(C725,1,2))+TIME(MID(C725,12,2),MID(C725,15,2),0)</f>
        <v/>
      </c>
      <c r="U725" s="33">
        <f>IF(ISNUMBER(VALUE(MID(A725,7,1))),"Distance-prefix pattern","Named-region pattern")</f>
        <v/>
      </c>
      <c r="V725" s="33">
        <f>LOWER(M725)</f>
        <v/>
      </c>
      <c r="W725" s="33">
        <f>IF(COUNTIFS($A$2:$A$1001,A725,$C$2:$C$1001,C725)&gt;1,"Duplicate","Unique")</f>
        <v/>
      </c>
      <c r="X725" s="33">
        <f>YEAR(T725)</f>
        <v/>
      </c>
      <c r="Y725" s="33">
        <f>IF(B725&lt;6.5,"&lt;6.5",IF(B725&lt;7,"6.5–6.9",IF(B725&lt;7.5,"7.0–7.4",IF(B725&lt;8,"7.5–7.9","8.0+"))))</f>
        <v/>
      </c>
      <c r="Z725" s="33">
        <f>IF(F725="","Blank",F725)</f>
        <v/>
      </c>
    </row>
    <row r="726" ht="15" customHeight="1" s="34">
      <c r="A726" s="33" t="inlineStr">
        <is>
          <t>M 6.9 - 24 km ENE of Atlasovo, Russia</t>
        </is>
      </c>
      <c r="B726" s="33" t="n">
        <v>6.9</v>
      </c>
      <c r="C726" s="33" t="inlineStr">
        <is>
          <t>10/06/2004 15:19</t>
        </is>
      </c>
      <c r="D726" s="33" t="n">
        <v>0</v>
      </c>
      <c r="E726" s="33" t="n">
        <v>5</v>
      </c>
      <c r="G726" s="33" t="n">
        <v>0</v>
      </c>
      <c r="H726" s="33" t="n">
        <v>732</v>
      </c>
      <c r="I726" s="33" t="inlineStr">
        <is>
          <t>us</t>
        </is>
      </c>
      <c r="J726" s="33" t="n">
        <v>798</v>
      </c>
      <c r="K726" s="33" t="n">
        <v>0</v>
      </c>
      <c r="L726" s="33" t="n">
        <v>31.2</v>
      </c>
      <c r="M726" s="33" t="inlineStr">
        <is>
          <t>mwb</t>
        </is>
      </c>
      <c r="N726" s="33" t="n">
        <v>188.6</v>
      </c>
      <c r="O726" s="33" t="n">
        <v>55.682</v>
      </c>
      <c r="P726" s="33" t="n">
        <v>160.003</v>
      </c>
      <c r="Q726" s="33" t="inlineStr">
        <is>
          <t>Atlasovo, Russia</t>
        </is>
      </c>
      <c r="R726" s="33" t="inlineStr">
        <is>
          <t>Asia</t>
        </is>
      </c>
      <c r="S726" s="33" t="inlineStr">
        <is>
          <t>Russia</t>
        </is>
      </c>
      <c r="T726" s="36">
        <f>DATE(MID(C726,7,4),MID(C726,4,2),MID(C726,1,2))+TIME(MID(C726,12,2),MID(C726,15,2),0)</f>
        <v/>
      </c>
      <c r="U726" s="33">
        <f>IF(ISNUMBER(VALUE(MID(A726,7,1))),"Distance-prefix pattern","Named-region pattern")</f>
        <v/>
      </c>
      <c r="V726" s="33">
        <f>LOWER(M726)</f>
        <v/>
      </c>
      <c r="W726" s="33">
        <f>IF(COUNTIFS($A$2:$A$1001,A726,$C$2:$C$1001,C726)&gt;1,"Duplicate","Unique")</f>
        <v/>
      </c>
      <c r="X726" s="33">
        <f>YEAR(T726)</f>
        <v/>
      </c>
      <c r="Y726" s="33">
        <f>IF(B726&lt;6.5,"&lt;6.5",IF(B726&lt;7,"6.5–6.9",IF(B726&lt;7.5,"7.0–7.4",IF(B726&lt;8,"7.5–7.9","8.0+"))))</f>
        <v/>
      </c>
      <c r="Z726" s="33">
        <f>IF(F726="","Blank",F726)</f>
        <v/>
      </c>
    </row>
    <row r="727" ht="15" customHeight="1" s="34">
      <c r="A727" s="33" t="inlineStr">
        <is>
          <t>M 6.6 - 11 km N of Cañete, Chile</t>
        </is>
      </c>
      <c r="B727" s="33" t="n">
        <v>6.6</v>
      </c>
      <c r="C727" s="33" t="inlineStr">
        <is>
          <t>03/05/2004 04:36</t>
        </is>
      </c>
      <c r="D727" s="33" t="n">
        <v>0</v>
      </c>
      <c r="E727" s="33" t="n">
        <v>7</v>
      </c>
      <c r="G727" s="33" t="n">
        <v>0</v>
      </c>
      <c r="H727" s="33" t="n">
        <v>670</v>
      </c>
      <c r="I727" s="33" t="inlineStr">
        <is>
          <t>us</t>
        </is>
      </c>
      <c r="J727" s="33" t="n">
        <v>282</v>
      </c>
      <c r="K727" s="33" t="n">
        <v>0</v>
      </c>
      <c r="L727" s="33" t="n">
        <v>46.9</v>
      </c>
      <c r="M727" s="33" t="inlineStr">
        <is>
          <t>mwb</t>
        </is>
      </c>
      <c r="N727" s="33" t="n">
        <v>21</v>
      </c>
      <c r="O727" s="33" t="n">
        <v>-37.695</v>
      </c>
      <c r="P727" s="33" t="n">
        <v>-73.40600000000001</v>
      </c>
      <c r="Q727" s="33" t="inlineStr">
        <is>
          <t>Cañete, Chile</t>
        </is>
      </c>
      <c r="R727" s="33" t="inlineStr">
        <is>
          <t>South America</t>
        </is>
      </c>
      <c r="S727" s="33" t="inlineStr">
        <is>
          <t>Chile</t>
        </is>
      </c>
      <c r="T727" s="36">
        <f>DATE(MID(C727,7,4),MID(C727,4,2),MID(C727,1,2))+TIME(MID(C727,12,2),MID(C727,15,2),0)</f>
        <v/>
      </c>
      <c r="U727" s="33">
        <f>IF(ISNUMBER(VALUE(MID(A727,7,1))),"Distance-prefix pattern","Named-region pattern")</f>
        <v/>
      </c>
      <c r="V727" s="33">
        <f>LOWER(M727)</f>
        <v/>
      </c>
      <c r="W727" s="33">
        <f>IF(COUNTIFS($A$2:$A$1001,A727,$C$2:$C$1001,C727)&gt;1,"Duplicate","Unique")</f>
        <v/>
      </c>
      <c r="X727" s="33">
        <f>YEAR(T727)</f>
        <v/>
      </c>
      <c r="Y727" s="33">
        <f>IF(B727&lt;6.5,"&lt;6.5",IF(B727&lt;7,"6.5–6.9",IF(B727&lt;7.5,"7.0–7.4",IF(B727&lt;8,"7.5–7.9","8.0+"))))</f>
        <v/>
      </c>
      <c r="Z727" s="33">
        <f>IF(F727="","Blank",F727)</f>
        <v/>
      </c>
    </row>
    <row r="728" ht="15" customHeight="1" s="34">
      <c r="A728" s="33" t="inlineStr">
        <is>
          <t>M 6.7 - 105 km WNW of Naisano Dua, Indonesia</t>
        </is>
      </c>
      <c r="B728" s="33" t="n">
        <v>6.7</v>
      </c>
      <c r="C728" s="33" t="inlineStr">
        <is>
          <t>23/04/2004 01:50</t>
        </is>
      </c>
      <c r="D728" s="33" t="n">
        <v>0</v>
      </c>
      <c r="E728" s="33" t="n">
        <v>5</v>
      </c>
      <c r="G728" s="33" t="n">
        <v>0</v>
      </c>
      <c r="H728" s="33" t="n">
        <v>691</v>
      </c>
      <c r="I728" s="33" t="inlineStr">
        <is>
          <t>us</t>
        </is>
      </c>
      <c r="J728" s="33" t="n">
        <v>386</v>
      </c>
      <c r="K728" s="33" t="n">
        <v>0</v>
      </c>
      <c r="L728" s="33" t="n">
        <v>27.6</v>
      </c>
      <c r="M728" s="33" t="inlineStr">
        <is>
          <t>mwb</t>
        </is>
      </c>
      <c r="N728" s="33" t="n">
        <v>65.8</v>
      </c>
      <c r="O728" s="33" t="n">
        <v>-9.362</v>
      </c>
      <c r="P728" s="33" t="n">
        <v>122.839</v>
      </c>
      <c r="Q728" s="33" t="inlineStr">
        <is>
          <t>Naisano Dua, Indonesia</t>
        </is>
      </c>
      <c r="S728" s="33" t="inlineStr">
        <is>
          <t>Indonesia</t>
        </is>
      </c>
      <c r="T728" s="36">
        <f>DATE(MID(C728,7,4),MID(C728,4,2),MID(C728,1,2))+TIME(MID(C728,12,2),MID(C728,15,2),0)</f>
        <v/>
      </c>
      <c r="U728" s="33">
        <f>IF(ISNUMBER(VALUE(MID(A728,7,1))),"Distance-prefix pattern","Named-region pattern")</f>
        <v/>
      </c>
      <c r="V728" s="33">
        <f>LOWER(M728)</f>
        <v/>
      </c>
      <c r="W728" s="33">
        <f>IF(COUNTIFS($A$2:$A$1001,A728,$C$2:$C$1001,C728)&gt;1,"Duplicate","Unique")</f>
        <v/>
      </c>
      <c r="X728" s="33">
        <f>YEAR(T728)</f>
        <v/>
      </c>
      <c r="Y728" s="33">
        <f>IF(B728&lt;6.5,"&lt;6.5",IF(B728&lt;7,"6.5–6.9",IF(B728&lt;7.5,"7.0–7.4",IF(B728&lt;8,"7.5–7.9","8.0+"))))</f>
        <v/>
      </c>
      <c r="Z728" s="33">
        <f>IF(F728="","Blank",F728)</f>
        <v/>
      </c>
    </row>
    <row r="729" ht="15" customHeight="1" s="34">
      <c r="A729" s="33" t="inlineStr">
        <is>
          <t>M 6.5 - 86 km NNW of Sola, Vanuatu</t>
        </is>
      </c>
      <c r="B729" s="33" t="n">
        <v>6.5</v>
      </c>
      <c r="C729" s="33" t="inlineStr">
        <is>
          <t>09/04/2004 15:23</t>
        </is>
      </c>
      <c r="D729" s="33" t="n">
        <v>0</v>
      </c>
      <c r="E729" s="33" t="n">
        <v>4</v>
      </c>
      <c r="G729" s="33" t="n">
        <v>0</v>
      </c>
      <c r="H729" s="33" t="n">
        <v>650</v>
      </c>
      <c r="I729" s="33" t="inlineStr">
        <is>
          <t>us</t>
        </is>
      </c>
      <c r="J729" s="33" t="n">
        <v>424</v>
      </c>
      <c r="K729" s="33" t="n">
        <v>0</v>
      </c>
      <c r="L729" s="33" t="n">
        <v>29.9</v>
      </c>
      <c r="M729" s="33" t="inlineStr">
        <is>
          <t>mwb</t>
        </is>
      </c>
      <c r="N729" s="33" t="n">
        <v>228.4</v>
      </c>
      <c r="O729" s="33" t="n">
        <v>-13.174</v>
      </c>
      <c r="P729" s="33" t="n">
        <v>167.198</v>
      </c>
      <c r="Q729" s="33" t="inlineStr">
        <is>
          <t>Sola, Vanuatu</t>
        </is>
      </c>
      <c r="S729" s="33" t="inlineStr">
        <is>
          <t>Vanuatu</t>
        </is>
      </c>
      <c r="T729" s="36">
        <f>DATE(MID(C729,7,4),MID(C729,4,2),MID(C729,1,2))+TIME(MID(C729,12,2),MID(C729,15,2),0)</f>
        <v/>
      </c>
      <c r="U729" s="33">
        <f>IF(ISNUMBER(VALUE(MID(A729,7,1))),"Distance-prefix pattern","Named-region pattern")</f>
        <v/>
      </c>
      <c r="V729" s="33">
        <f>LOWER(M729)</f>
        <v/>
      </c>
      <c r="W729" s="33">
        <f>IF(COUNTIFS($A$2:$A$1001,A729,$C$2:$C$1001,C729)&gt;1,"Duplicate","Unique")</f>
        <v/>
      </c>
      <c r="X729" s="33">
        <f>YEAR(T729)</f>
        <v/>
      </c>
      <c r="Y729" s="33">
        <f>IF(B729&lt;6.5,"&lt;6.5",IF(B729&lt;7,"6.5–6.9",IF(B729&lt;7.5,"7.0–7.4",IF(B729&lt;8,"7.5–7.9","8.0+"))))</f>
        <v/>
      </c>
      <c r="Z729" s="33">
        <f>IF(F729="","Blank",F729)</f>
        <v/>
      </c>
    </row>
    <row r="730" ht="15" customHeight="1" s="34">
      <c r="A730" s="33" t="inlineStr">
        <is>
          <t>M 6.6 - Afghanistan-Tajikistan-Pakistan region</t>
        </is>
      </c>
      <c r="B730" s="33" t="n">
        <v>6.6</v>
      </c>
      <c r="C730" s="33" t="inlineStr">
        <is>
          <t>05/04/2004 21:24</t>
        </is>
      </c>
      <c r="D730" s="33" t="n">
        <v>0</v>
      </c>
      <c r="E730" s="33" t="n">
        <v>4</v>
      </c>
      <c r="G730" s="33" t="n">
        <v>0</v>
      </c>
      <c r="H730" s="33" t="n">
        <v>670</v>
      </c>
      <c r="I730" s="33" t="inlineStr">
        <is>
          <t>us</t>
        </is>
      </c>
      <c r="J730" s="33" t="n">
        <v>728</v>
      </c>
      <c r="K730" s="33" t="n">
        <v>0</v>
      </c>
      <c r="L730" s="33" t="n">
        <v>18.3</v>
      </c>
      <c r="M730" s="33" t="inlineStr">
        <is>
          <t>mwb</t>
        </is>
      </c>
      <c r="N730" s="33" t="n">
        <v>187.1</v>
      </c>
      <c r="O730" s="33" t="n">
        <v>36.512</v>
      </c>
      <c r="P730" s="33" t="n">
        <v>71.029</v>
      </c>
      <c r="Q730" s="33" t="inlineStr">
        <is>
          <t>Afghanistan-Tajikistan-Pakistan region</t>
        </is>
      </c>
      <c r="R730" s="33" t="inlineStr">
        <is>
          <t>Asia</t>
        </is>
      </c>
      <c r="S730" s="33" t="inlineStr">
        <is>
          <t>Afghanistan</t>
        </is>
      </c>
      <c r="T730" s="36">
        <f>DATE(MID(C730,7,4),MID(C730,4,2),MID(C730,1,2))+TIME(MID(C730,12,2),MID(C730,15,2),0)</f>
        <v/>
      </c>
      <c r="U730" s="33">
        <f>IF(ISNUMBER(VALUE(MID(A730,7,1))),"Distance-prefix pattern","Named-region pattern")</f>
        <v/>
      </c>
      <c r="V730" s="33">
        <f>LOWER(M730)</f>
        <v/>
      </c>
      <c r="W730" s="33">
        <f>IF(COUNTIFS($A$2:$A$1001,A730,$C$2:$C$1001,C730)&gt;1,"Duplicate","Unique")</f>
        <v/>
      </c>
      <c r="X730" s="33">
        <f>YEAR(T730)</f>
        <v/>
      </c>
      <c r="Y730" s="33">
        <f>IF(B730&lt;6.5,"&lt;6.5",IF(B730&lt;7,"6.5–6.9",IF(B730&lt;7.5,"7.0–7.4",IF(B730&lt;8,"7.5–7.9","8.0+"))))</f>
        <v/>
      </c>
      <c r="Z730" s="33">
        <f>IF(F730="","Blank",F730)</f>
        <v/>
      </c>
    </row>
    <row r="731" ht="15" customHeight="1" s="34">
      <c r="A731" s="33" t="inlineStr">
        <is>
          <t>M 6.7 - 38 km SSW of Nabire, Indonesia</t>
        </is>
      </c>
      <c r="B731" s="33" t="n">
        <v>6.7</v>
      </c>
      <c r="C731" s="33" t="inlineStr">
        <is>
          <t>08/02/2004 08:58</t>
        </is>
      </c>
      <c r="D731" s="33" t="n">
        <v>0</v>
      </c>
      <c r="E731" s="33" t="n">
        <v>7</v>
      </c>
      <c r="G731" s="33" t="n">
        <v>0</v>
      </c>
      <c r="H731" s="33" t="n">
        <v>691</v>
      </c>
      <c r="I731" s="33" t="inlineStr">
        <is>
          <t>us</t>
        </is>
      </c>
      <c r="J731" s="33" t="n">
        <v>256</v>
      </c>
      <c r="K731" s="33" t="n">
        <v>0</v>
      </c>
      <c r="L731" s="33" t="n">
        <v>33.3</v>
      </c>
      <c r="M731" s="33" t="inlineStr">
        <is>
          <t>mwc</t>
        </is>
      </c>
      <c r="N731" s="33" t="n">
        <v>25.7</v>
      </c>
      <c r="O731" s="33" t="n">
        <v>-3.665</v>
      </c>
      <c r="P731" s="33" t="n">
        <v>135.339</v>
      </c>
      <c r="Q731" s="33" t="inlineStr">
        <is>
          <t>Nabire, Indonesia</t>
        </is>
      </c>
      <c r="S731" s="33" t="inlineStr">
        <is>
          <t>Indonesia</t>
        </is>
      </c>
      <c r="T731" s="36">
        <f>DATE(MID(C731,7,4),MID(C731,4,2),MID(C731,1,2))+TIME(MID(C731,12,2),MID(C731,15,2),0)</f>
        <v/>
      </c>
      <c r="U731" s="33">
        <f>IF(ISNUMBER(VALUE(MID(A731,7,1))),"Distance-prefix pattern","Named-region pattern")</f>
        <v/>
      </c>
      <c r="V731" s="33">
        <f>LOWER(M731)</f>
        <v/>
      </c>
      <c r="W731" s="33">
        <f>IF(COUNTIFS($A$2:$A$1001,A731,$C$2:$C$1001,C731)&gt;1,"Duplicate","Unique")</f>
        <v/>
      </c>
      <c r="X731" s="33">
        <f>YEAR(T731)</f>
        <v/>
      </c>
      <c r="Y731" s="33">
        <f>IF(B731&lt;6.5,"&lt;6.5",IF(B731&lt;7,"6.5–6.9",IF(B731&lt;7.5,"7.0–7.4",IF(B731&lt;8,"7.5–7.9","8.0+"))))</f>
        <v/>
      </c>
      <c r="Z731" s="33">
        <f>IF(F731="","Blank",F731)</f>
        <v/>
      </c>
    </row>
    <row r="732" ht="15" customHeight="1" s="34">
      <c r="A732" s="33" t="inlineStr">
        <is>
          <t>M 7.3 - Near the south coast of Papua, Indonesia</t>
        </is>
      </c>
      <c r="B732" s="33" t="n">
        <v>7.3</v>
      </c>
      <c r="C732" s="33" t="inlineStr">
        <is>
          <t>07/02/2004 02:42</t>
        </is>
      </c>
      <c r="D732" s="33" t="n">
        <v>0</v>
      </c>
      <c r="E732" s="33" t="n">
        <v>7</v>
      </c>
      <c r="G732" s="33" t="n">
        <v>0</v>
      </c>
      <c r="H732" s="33" t="n">
        <v>820</v>
      </c>
      <c r="I732" s="33" t="inlineStr">
        <is>
          <t>us</t>
        </is>
      </c>
      <c r="J732" s="33" t="n">
        <v>390</v>
      </c>
      <c r="K732" s="33" t="n">
        <v>0</v>
      </c>
      <c r="L732" s="33" t="n">
        <v>23</v>
      </c>
      <c r="M732" s="33" t="inlineStr">
        <is>
          <t>mwb</t>
        </is>
      </c>
      <c r="N732" s="33" t="n">
        <v>10</v>
      </c>
      <c r="O732" s="33" t="n">
        <v>-4.003</v>
      </c>
      <c r="P732" s="33" t="n">
        <v>135.023</v>
      </c>
      <c r="Q732" s="33" t="inlineStr">
        <is>
          <t>Papua, Indonesia</t>
        </is>
      </c>
      <c r="S732" s="33" t="inlineStr">
        <is>
          <t>Indonesia</t>
        </is>
      </c>
      <c r="T732" s="36">
        <f>DATE(MID(C732,7,4),MID(C732,4,2),MID(C732,1,2))+TIME(MID(C732,12,2),MID(C732,15,2),0)</f>
        <v/>
      </c>
      <c r="U732" s="33">
        <f>IF(ISNUMBER(VALUE(MID(A732,7,1))),"Distance-prefix pattern","Named-region pattern")</f>
        <v/>
      </c>
      <c r="V732" s="33">
        <f>LOWER(M732)</f>
        <v/>
      </c>
      <c r="W732" s="33">
        <f>IF(COUNTIFS($A$2:$A$1001,A732,$C$2:$C$1001,C732)&gt;1,"Duplicate","Unique")</f>
        <v/>
      </c>
      <c r="X732" s="33">
        <f>YEAR(T732)</f>
        <v/>
      </c>
      <c r="Y732" s="33">
        <f>IF(B732&lt;6.5,"&lt;6.5",IF(B732&lt;7,"6.5–6.9",IF(B732&lt;7.5,"7.0–7.4",IF(B732&lt;8,"7.5–7.9","8.0+"))))</f>
        <v/>
      </c>
      <c r="Z732" s="33">
        <f>IF(F732="","Blank",F732)</f>
        <v/>
      </c>
    </row>
    <row r="733" ht="15" customHeight="1" s="34">
      <c r="A733" s="33" t="inlineStr">
        <is>
          <t>M 7.0 - 28 km S of Nabire, Indonesia</t>
        </is>
      </c>
      <c r="B733" s="33" t="n">
        <v>7</v>
      </c>
      <c r="C733" s="33" t="inlineStr">
        <is>
          <t>05/02/2004 21:05</t>
        </is>
      </c>
      <c r="D733" s="33" t="n">
        <v>0</v>
      </c>
      <c r="E733" s="33" t="n">
        <v>7</v>
      </c>
      <c r="G733" s="33" t="n">
        <v>0</v>
      </c>
      <c r="H733" s="33" t="n">
        <v>754</v>
      </c>
      <c r="I733" s="33" t="inlineStr">
        <is>
          <t>us</t>
        </is>
      </c>
      <c r="J733" s="33" t="n">
        <v>367</v>
      </c>
      <c r="K733" s="33" t="n">
        <v>0</v>
      </c>
      <c r="L733" s="33" t="n">
        <v>33</v>
      </c>
      <c r="M733" s="33" t="inlineStr">
        <is>
          <t>mwc</t>
        </is>
      </c>
      <c r="N733" s="33" t="n">
        <v>16.6</v>
      </c>
      <c r="O733" s="33" t="n">
        <v>-3.615</v>
      </c>
      <c r="P733" s="33" t="n">
        <v>135.538</v>
      </c>
      <c r="Q733" s="33" t="inlineStr">
        <is>
          <t>Nabire, Indonesia</t>
        </is>
      </c>
      <c r="S733" s="33" t="inlineStr">
        <is>
          <t>Indonesia</t>
        </is>
      </c>
      <c r="T733" s="36">
        <f>DATE(MID(C733,7,4),MID(C733,4,2),MID(C733,1,2))+TIME(MID(C733,12,2),MID(C733,15,2),0)</f>
        <v/>
      </c>
      <c r="U733" s="33">
        <f>IF(ISNUMBER(VALUE(MID(A733,7,1))),"Distance-prefix pattern","Named-region pattern")</f>
        <v/>
      </c>
      <c r="V733" s="33">
        <f>LOWER(M733)</f>
        <v/>
      </c>
      <c r="W733" s="33">
        <f>IF(COUNTIFS($A$2:$A$1001,A733,$C$2:$C$1001,C733)&gt;1,"Duplicate","Unique")</f>
        <v/>
      </c>
      <c r="X733" s="33">
        <f>YEAR(T733)</f>
        <v/>
      </c>
      <c r="Y733" s="33">
        <f>IF(B733&lt;6.5,"&lt;6.5",IF(B733&lt;7,"6.5–6.9",IF(B733&lt;7.5,"7.0–7.4",IF(B733&lt;8,"7.5–7.9","8.0+"))))</f>
        <v/>
      </c>
      <c r="Z733" s="33">
        <f>IF(F733="","Blank",F733)</f>
        <v/>
      </c>
    </row>
    <row r="734" ht="15" customHeight="1" s="34">
      <c r="A734" s="33" t="inlineStr">
        <is>
          <t>M 6.7 - 107 km NW of Ambon, Indonesia</t>
        </is>
      </c>
      <c r="B734" s="33" t="n">
        <v>6.7</v>
      </c>
      <c r="C734" s="33" t="inlineStr">
        <is>
          <t>28/01/2004 22:15</t>
        </is>
      </c>
      <c r="D734" s="33" t="n">
        <v>0</v>
      </c>
      <c r="E734" s="33" t="n">
        <v>6</v>
      </c>
      <c r="G734" s="33" t="n">
        <v>0</v>
      </c>
      <c r="H734" s="33" t="n">
        <v>691</v>
      </c>
      <c r="I734" s="33" t="inlineStr">
        <is>
          <t>us</t>
        </is>
      </c>
      <c r="J734" s="33" t="n">
        <v>243</v>
      </c>
      <c r="K734" s="33" t="n">
        <v>0</v>
      </c>
      <c r="L734" s="33" t="n">
        <v>42.5</v>
      </c>
      <c r="M734" s="33" t="inlineStr">
        <is>
          <t>mwb</t>
        </is>
      </c>
      <c r="N734" s="33" t="n">
        <v>17.4</v>
      </c>
      <c r="O734" s="33" t="n">
        <v>-3.12</v>
      </c>
      <c r="P734" s="33" t="n">
        <v>127.4</v>
      </c>
      <c r="Q734" s="33" t="inlineStr">
        <is>
          <t>Ambon, Indonesia</t>
        </is>
      </c>
      <c r="S734" s="33" t="inlineStr">
        <is>
          <t>Indonesia</t>
        </is>
      </c>
      <c r="T734" s="36">
        <f>DATE(MID(C734,7,4),MID(C734,4,2),MID(C734,1,2))+TIME(MID(C734,12,2),MID(C734,15,2),0)</f>
        <v/>
      </c>
      <c r="U734" s="33">
        <f>IF(ISNUMBER(VALUE(MID(A734,7,1))),"Distance-prefix pattern","Named-region pattern")</f>
        <v/>
      </c>
      <c r="V734" s="33">
        <f>LOWER(M734)</f>
        <v/>
      </c>
      <c r="W734" s="33">
        <f>IF(COUNTIFS($A$2:$A$1001,A734,$C$2:$C$1001,C734)&gt;1,"Duplicate","Unique")</f>
        <v/>
      </c>
      <c r="X734" s="33">
        <f>YEAR(T734)</f>
        <v/>
      </c>
      <c r="Y734" s="33">
        <f>IF(B734&lt;6.5,"&lt;6.5",IF(B734&lt;7,"6.5–6.9",IF(B734&lt;7.5,"7.0–7.4",IF(B734&lt;8,"7.5–7.9","8.0+"))))</f>
        <v/>
      </c>
      <c r="Z734" s="33">
        <f>IF(F734="","Blank",F734)</f>
        <v/>
      </c>
    </row>
    <row r="735" ht="15" customHeight="1" s="34">
      <c r="A735" s="33" t="inlineStr">
        <is>
          <t>M 7.3 - 201 km ESE of Tadine, New Caledonia</t>
        </is>
      </c>
      <c r="B735" s="33" t="n">
        <v>7.3</v>
      </c>
      <c r="C735" s="33" t="inlineStr">
        <is>
          <t>27/12/2003 16:00</t>
        </is>
      </c>
      <c r="D735" s="33" t="n">
        <v>0</v>
      </c>
      <c r="E735" s="33" t="n">
        <v>4</v>
      </c>
      <c r="G735" s="33" t="n">
        <v>0</v>
      </c>
      <c r="H735" s="33" t="n">
        <v>820</v>
      </c>
      <c r="I735" s="33" t="inlineStr">
        <is>
          <t>us</t>
        </is>
      </c>
      <c r="J735" s="33" t="n">
        <v>235</v>
      </c>
      <c r="K735" s="33" t="n">
        <v>0</v>
      </c>
      <c r="L735" s="33" t="n">
        <v>46.6</v>
      </c>
      <c r="M735" s="33" t="inlineStr">
        <is>
          <t>mwc</t>
        </is>
      </c>
      <c r="N735" s="33" t="n">
        <v>10</v>
      </c>
      <c r="O735" s="33" t="n">
        <v>-22.015</v>
      </c>
      <c r="P735" s="33" t="n">
        <v>169.766</v>
      </c>
      <c r="Q735" s="33" t="inlineStr">
        <is>
          <t>Tadine, New Caledonia</t>
        </is>
      </c>
      <c r="T735" s="36">
        <f>DATE(MID(C735,7,4),MID(C735,4,2),MID(C735,1,2))+TIME(MID(C735,12,2),MID(C735,15,2),0)</f>
        <v/>
      </c>
      <c r="U735" s="33">
        <f>IF(ISNUMBER(VALUE(MID(A735,7,1))),"Distance-prefix pattern","Named-region pattern")</f>
        <v/>
      </c>
      <c r="V735" s="33">
        <f>LOWER(M735)</f>
        <v/>
      </c>
      <c r="W735" s="33">
        <f>IF(COUNTIFS($A$2:$A$1001,A735,$C$2:$C$1001,C735)&gt;1,"Duplicate","Unique")</f>
        <v/>
      </c>
      <c r="X735" s="33">
        <f>YEAR(T735)</f>
        <v/>
      </c>
      <c r="Y735" s="33">
        <f>IF(B735&lt;6.5,"&lt;6.5",IF(B735&lt;7,"6.5–6.9",IF(B735&lt;7.5,"7.0–7.4",IF(B735&lt;8,"7.5–7.9","8.0+"))))</f>
        <v/>
      </c>
      <c r="Z735" s="33">
        <f>IF(F735="","Blank",F735)</f>
        <v/>
      </c>
    </row>
    <row r="736" ht="15" customHeight="1" s="34">
      <c r="A736" s="33" t="inlineStr">
        <is>
          <t>M 6.6 - 13 km SSW of Bam, Iran</t>
        </is>
      </c>
      <c r="B736" s="33" t="n">
        <v>6.6</v>
      </c>
      <c r="C736" s="33" t="inlineStr">
        <is>
          <t>26/12/2003 01:56</t>
        </is>
      </c>
      <c r="D736" s="33" t="n">
        <v>0</v>
      </c>
      <c r="E736" s="33" t="n">
        <v>9</v>
      </c>
      <c r="G736" s="33" t="n">
        <v>0</v>
      </c>
      <c r="H736" s="33" t="n">
        <v>670</v>
      </c>
      <c r="I736" s="33" t="inlineStr">
        <is>
          <t>us</t>
        </is>
      </c>
      <c r="J736" s="33" t="n">
        <v>552</v>
      </c>
      <c r="K736" s="33" t="n">
        <v>0</v>
      </c>
      <c r="L736" s="33" t="n">
        <v>44.8</v>
      </c>
      <c r="M736" s="33" t="inlineStr">
        <is>
          <t>mwc</t>
        </is>
      </c>
      <c r="N736" s="33" t="n">
        <v>10</v>
      </c>
      <c r="O736" s="33" t="n">
        <v>28.995</v>
      </c>
      <c r="P736" s="33" t="n">
        <v>58.311</v>
      </c>
      <c r="Q736" s="33" t="inlineStr">
        <is>
          <t>Bam, Iran</t>
        </is>
      </c>
      <c r="R736" s="33" t="inlineStr">
        <is>
          <t>Asia</t>
        </is>
      </c>
      <c r="S736" s="33" t="inlineStr">
        <is>
          <t>Iran</t>
        </is>
      </c>
      <c r="T736" s="36">
        <f>DATE(MID(C736,7,4),MID(C736,4,2),MID(C736,1,2))+TIME(MID(C736,12,2),MID(C736,15,2),0)</f>
        <v/>
      </c>
      <c r="U736" s="33">
        <f>IF(ISNUMBER(VALUE(MID(A736,7,1))),"Distance-prefix pattern","Named-region pattern")</f>
        <v/>
      </c>
      <c r="V736" s="33">
        <f>LOWER(M736)</f>
        <v/>
      </c>
      <c r="W736" s="33">
        <f>IF(COUNTIFS($A$2:$A$1001,A736,$C$2:$C$1001,C736)&gt;1,"Duplicate","Unique")</f>
        <v/>
      </c>
      <c r="X736" s="33">
        <f>YEAR(T736)</f>
        <v/>
      </c>
      <c r="Y736" s="33">
        <f>IF(B736&lt;6.5,"&lt;6.5",IF(B736&lt;7,"6.5–6.9",IF(B736&lt;7.5,"7.0–7.4",IF(B736&lt;8,"7.5–7.9","8.0+"))))</f>
        <v/>
      </c>
      <c r="Z736" s="33">
        <f>IF(F736="","Blank",F736)</f>
        <v/>
      </c>
    </row>
    <row r="737" ht="15" customHeight="1" s="34">
      <c r="A737" s="33" t="inlineStr">
        <is>
          <t>M 6.5 - 3 km SSE of Progreso, Panama</t>
        </is>
      </c>
      <c r="B737" s="33" t="n">
        <v>6.5</v>
      </c>
      <c r="C737" s="33" t="inlineStr">
        <is>
          <t>25/12/2003 07:11</t>
        </is>
      </c>
      <c r="D737" s="33" t="n">
        <v>0</v>
      </c>
      <c r="E737" s="33" t="n">
        <v>6</v>
      </c>
      <c r="G737" s="33" t="n">
        <v>0</v>
      </c>
      <c r="H737" s="33" t="n">
        <v>650</v>
      </c>
      <c r="I737" s="33" t="inlineStr">
        <is>
          <t>us</t>
        </is>
      </c>
      <c r="J737" s="33" t="n">
        <v>405</v>
      </c>
      <c r="K737" s="33" t="n">
        <v>0</v>
      </c>
      <c r="L737" s="33" t="n">
        <v>48.4</v>
      </c>
      <c r="M737" s="33" t="inlineStr">
        <is>
          <t>mwb</t>
        </is>
      </c>
      <c r="N737" s="33" t="n">
        <v>33</v>
      </c>
      <c r="O737" s="33" t="n">
        <v>8.416</v>
      </c>
      <c r="P737" s="33" t="n">
        <v>-82.824</v>
      </c>
      <c r="Q737" s="33" t="inlineStr">
        <is>
          <t>Progreso, Panama</t>
        </is>
      </c>
      <c r="S737" s="33" t="inlineStr">
        <is>
          <t>Panama</t>
        </is>
      </c>
      <c r="T737" s="36">
        <f>DATE(MID(C737,7,4),MID(C737,4,2),MID(C737,1,2))+TIME(MID(C737,12,2),MID(C737,15,2),0)</f>
        <v/>
      </c>
      <c r="U737" s="33">
        <f>IF(ISNUMBER(VALUE(MID(A737,7,1))),"Distance-prefix pattern","Named-region pattern")</f>
        <v/>
      </c>
      <c r="V737" s="33">
        <f>LOWER(M737)</f>
        <v/>
      </c>
      <c r="W737" s="33">
        <f>IF(COUNTIFS($A$2:$A$1001,A737,$C$2:$C$1001,C737)&gt;1,"Duplicate","Unique")</f>
        <v/>
      </c>
      <c r="X737" s="33">
        <f>YEAR(T737)</f>
        <v/>
      </c>
      <c r="Y737" s="33">
        <f>IF(B737&lt;6.5,"&lt;6.5",IF(B737&lt;7,"6.5–6.9",IF(B737&lt;7.5,"7.0–7.4",IF(B737&lt;8,"7.5–7.9","8.0+"))))</f>
        <v/>
      </c>
      <c r="Z737" s="33">
        <f>IF(F737="","Blank",F737)</f>
        <v/>
      </c>
    </row>
    <row r="738" ht="15" customHeight="1" s="34">
      <c r="A738" s="33" t="inlineStr">
        <is>
          <t>M 6.5 - 10 km NE of San Simeon, California</t>
        </is>
      </c>
      <c r="B738" s="33" t="n">
        <v>6.5</v>
      </c>
      <c r="C738" s="33" t="inlineStr">
        <is>
          <t>22/12/2003 19:15</t>
        </is>
      </c>
      <c r="D738" s="33" t="n">
        <v>7</v>
      </c>
      <c r="E738" s="33" t="n">
        <v>9</v>
      </c>
      <c r="G738" s="33" t="n">
        <v>0</v>
      </c>
      <c r="H738" s="33" t="n">
        <v>1390</v>
      </c>
      <c r="I738" s="33" t="inlineStr">
        <is>
          <t>nc</t>
        </is>
      </c>
      <c r="J738" s="33" t="n">
        <v>65</v>
      </c>
      <c r="K738" s="33" t="n">
        <v>0.04685</v>
      </c>
      <c r="L738" s="33" t="n">
        <v>71</v>
      </c>
      <c r="M738" s="33" t="inlineStr">
        <is>
          <t>mw</t>
        </is>
      </c>
      <c r="N738" s="33" t="n">
        <v>8.382</v>
      </c>
      <c r="O738" s="33" t="n">
        <v>35.7005</v>
      </c>
      <c r="P738" s="33" t="n">
        <v>-121.101</v>
      </c>
      <c r="Q738" s="33" t="inlineStr">
        <is>
          <t>San Simeon, California</t>
        </is>
      </c>
      <c r="R738" s="33" t="inlineStr">
        <is>
          <t>North America</t>
        </is>
      </c>
      <c r="S738" s="33" t="inlineStr">
        <is>
          <t>United States of America</t>
        </is>
      </c>
      <c r="T738" s="36">
        <f>DATE(MID(C738,7,4),MID(C738,4,2),MID(C738,1,2))+TIME(MID(C738,12,2),MID(C738,15,2),0)</f>
        <v/>
      </c>
      <c r="U738" s="33">
        <f>IF(ISNUMBER(VALUE(MID(A738,7,1))),"Distance-prefix pattern","Named-region pattern")</f>
        <v/>
      </c>
      <c r="V738" s="33">
        <f>LOWER(M738)</f>
        <v/>
      </c>
      <c r="W738" s="33">
        <f>IF(COUNTIFS($A$2:$A$1001,A738,$C$2:$C$1001,C738)&gt;1,"Duplicate","Unique")</f>
        <v/>
      </c>
      <c r="X738" s="33">
        <f>YEAR(T738)</f>
        <v/>
      </c>
      <c r="Y738" s="33">
        <f>IF(B738&lt;6.5,"&lt;6.5",IF(B738&lt;7,"6.5–6.9",IF(B738&lt;7.5,"7.0–7.4",IF(B738&lt;8,"7.5–7.9","8.0+"))))</f>
        <v/>
      </c>
      <c r="Z738" s="33">
        <f>IF(F738="","Blank",F738)</f>
        <v/>
      </c>
    </row>
    <row r="739" ht="15" customHeight="1" s="34">
      <c r="A739" s="33" t="inlineStr">
        <is>
          <t>M 6.8 - 92 km E of Yujing, Taiwan</t>
        </is>
      </c>
      <c r="B739" s="33" t="n">
        <v>6.8</v>
      </c>
      <c r="C739" s="33" t="inlineStr">
        <is>
          <t>10/12/2003 04:38</t>
        </is>
      </c>
      <c r="D739" s="33" t="n">
        <v>0</v>
      </c>
      <c r="E739" s="33" t="n">
        <v>7</v>
      </c>
      <c r="G739" s="33" t="n">
        <v>0</v>
      </c>
      <c r="H739" s="33" t="n">
        <v>711</v>
      </c>
      <c r="I739" s="33" t="inlineStr">
        <is>
          <t>us</t>
        </is>
      </c>
      <c r="J739" s="33" t="n">
        <v>447</v>
      </c>
      <c r="K739" s="33" t="n">
        <v>0</v>
      </c>
      <c r="L739" s="33" t="n">
        <v>27.7</v>
      </c>
      <c r="M739" s="33" t="inlineStr">
        <is>
          <t>mwb</t>
        </is>
      </c>
      <c r="N739" s="33" t="n">
        <v>10</v>
      </c>
      <c r="O739" s="33" t="n">
        <v>23.039</v>
      </c>
      <c r="P739" s="33" t="n">
        <v>121.362</v>
      </c>
      <c r="Q739" s="33" t="inlineStr">
        <is>
          <t>Yujing, Taiwan</t>
        </is>
      </c>
      <c r="R739" s="33" t="inlineStr">
        <is>
          <t>Asia</t>
        </is>
      </c>
      <c r="S739" s="33" t="inlineStr">
        <is>
          <t>Taiwan</t>
        </is>
      </c>
      <c r="T739" s="36">
        <f>DATE(MID(C739,7,4),MID(C739,4,2),MID(C739,1,2))+TIME(MID(C739,12,2),MID(C739,15,2),0)</f>
        <v/>
      </c>
      <c r="U739" s="33">
        <f>IF(ISNUMBER(VALUE(MID(A739,7,1))),"Distance-prefix pattern","Named-region pattern")</f>
        <v/>
      </c>
      <c r="V739" s="33">
        <f>LOWER(M739)</f>
        <v/>
      </c>
      <c r="W739" s="33">
        <f>IF(COUNTIFS($A$2:$A$1001,A739,$C$2:$C$1001,C739)&gt;1,"Duplicate","Unique")</f>
        <v/>
      </c>
      <c r="X739" s="33">
        <f>YEAR(T739)</f>
        <v/>
      </c>
      <c r="Y739" s="33">
        <f>IF(B739&lt;6.5,"&lt;6.5",IF(B739&lt;7,"6.5–6.9",IF(B739&lt;7.5,"7.0–7.4",IF(B739&lt;8,"7.5–7.9","8.0+"))))</f>
        <v/>
      </c>
      <c r="Z739" s="33">
        <f>IF(F739="","Blank",F739)</f>
        <v/>
      </c>
    </row>
    <row r="740" ht="15" customHeight="1" s="34">
      <c r="A740" s="33" t="inlineStr">
        <is>
          <t>M 6.6 - 82 km E of Kimbe, Papua New Guinea</t>
        </is>
      </c>
      <c r="B740" s="33" t="n">
        <v>6.6</v>
      </c>
      <c r="C740" s="33" t="inlineStr">
        <is>
          <t>25/11/2003 20:19</t>
        </is>
      </c>
      <c r="D740" s="33" t="n">
        <v>0</v>
      </c>
      <c r="E740" s="33" t="n">
        <v>6</v>
      </c>
      <c r="G740" s="33" t="n">
        <v>0</v>
      </c>
      <c r="H740" s="33" t="n">
        <v>670</v>
      </c>
      <c r="I740" s="33" t="inlineStr">
        <is>
          <t>us</t>
        </is>
      </c>
      <c r="J740" s="33" t="n">
        <v>384</v>
      </c>
      <c r="K740" s="33" t="n">
        <v>0</v>
      </c>
      <c r="L740" s="33" t="n">
        <v>25.1</v>
      </c>
      <c r="M740" s="33" t="inlineStr">
        <is>
          <t>mwb</t>
        </is>
      </c>
      <c r="N740" s="33" t="n">
        <v>35</v>
      </c>
      <c r="O740" s="33" t="n">
        <v>-5.581</v>
      </c>
      <c r="P740" s="33" t="n">
        <v>150.88</v>
      </c>
      <c r="Q740" s="33" t="inlineStr">
        <is>
          <t>Kimbe, Papua New Guinea</t>
        </is>
      </c>
      <c r="S740" s="33" t="inlineStr">
        <is>
          <t>Papua New Guinea</t>
        </is>
      </c>
      <c r="T740" s="36">
        <f>DATE(MID(C740,7,4),MID(C740,4,2),MID(C740,1,2))+TIME(MID(C740,12,2),MID(C740,15,2),0)</f>
        <v/>
      </c>
      <c r="U740" s="33">
        <f>IF(ISNUMBER(VALUE(MID(A740,7,1))),"Distance-prefix pattern","Named-region pattern")</f>
        <v/>
      </c>
      <c r="V740" s="33">
        <f>LOWER(M740)</f>
        <v/>
      </c>
      <c r="W740" s="33">
        <f>IF(COUNTIFS($A$2:$A$1001,A740,$C$2:$C$1001,C740)&gt;1,"Duplicate","Unique")</f>
        <v/>
      </c>
      <c r="X740" s="33">
        <f>YEAR(T740)</f>
        <v/>
      </c>
      <c r="Y740" s="33">
        <f>IF(B740&lt;6.5,"&lt;6.5",IF(B740&lt;7,"6.5–6.9",IF(B740&lt;7.5,"7.0–7.4",IF(B740&lt;8,"7.5–7.9","8.0+"))))</f>
        <v/>
      </c>
      <c r="Z740" s="33">
        <f>IF(F740="","Blank",F740)</f>
        <v/>
      </c>
    </row>
    <row r="741" ht="15" customHeight="1" s="34">
      <c r="A741" s="33" t="inlineStr">
        <is>
          <t>M 6.5 - 4 km NW of Can-Avid, Philippines</t>
        </is>
      </c>
      <c r="B741" s="33" t="n">
        <v>6.5</v>
      </c>
      <c r="C741" s="33" t="inlineStr">
        <is>
          <t>18/11/2003 17:14</t>
        </is>
      </c>
      <c r="D741" s="33" t="n">
        <v>0</v>
      </c>
      <c r="E741" s="33" t="n">
        <v>6</v>
      </c>
      <c r="G741" s="33" t="n">
        <v>0</v>
      </c>
      <c r="H741" s="33" t="n">
        <v>650</v>
      </c>
      <c r="I741" s="33" t="inlineStr">
        <is>
          <t>us</t>
        </is>
      </c>
      <c r="J741" s="33" t="n">
        <v>487</v>
      </c>
      <c r="K741" s="33" t="n">
        <v>0</v>
      </c>
      <c r="L741" s="33" t="n">
        <v>45.9</v>
      </c>
      <c r="M741" s="33" t="inlineStr">
        <is>
          <t>mwb</t>
        </is>
      </c>
      <c r="N741" s="33" t="n">
        <v>35</v>
      </c>
      <c r="O741" s="33" t="n">
        <v>12.025</v>
      </c>
      <c r="P741" s="33" t="n">
        <v>125.416</v>
      </c>
      <c r="Q741" s="33" t="inlineStr">
        <is>
          <t>Can-Avid, Philippines</t>
        </is>
      </c>
      <c r="S741" s="33" t="inlineStr">
        <is>
          <t>Philippines</t>
        </is>
      </c>
      <c r="T741" s="36">
        <f>DATE(MID(C741,7,4),MID(C741,4,2),MID(C741,1,2))+TIME(MID(C741,12,2),MID(C741,15,2),0)</f>
        <v/>
      </c>
      <c r="U741" s="33">
        <f>IF(ISNUMBER(VALUE(MID(A741,7,1))),"Distance-prefix pattern","Named-region pattern")</f>
        <v/>
      </c>
      <c r="V741" s="33">
        <f>LOWER(M741)</f>
        <v/>
      </c>
      <c r="W741" s="33">
        <f>IF(COUNTIFS($A$2:$A$1001,A741,$C$2:$C$1001,C741)&gt;1,"Duplicate","Unique")</f>
        <v/>
      </c>
      <c r="X741" s="33">
        <f>YEAR(T741)</f>
        <v/>
      </c>
      <c r="Y741" s="33">
        <f>IF(B741&lt;6.5,"&lt;6.5",IF(B741&lt;7,"6.5–6.9",IF(B741&lt;7.5,"7.0–7.4",IF(B741&lt;8,"7.5–7.9","8.0+"))))</f>
        <v/>
      </c>
      <c r="Z741" s="33">
        <f>IF(F741="","Blank",F741)</f>
        <v/>
      </c>
    </row>
    <row r="742" ht="15" customHeight="1" s="34">
      <c r="A742" s="33" t="inlineStr">
        <is>
          <t>M 6.6 - 51 km NW of Isangel, Vanuatu</t>
        </is>
      </c>
      <c r="B742" s="33" t="n">
        <v>6.6</v>
      </c>
      <c r="C742" s="33" t="inlineStr">
        <is>
          <t>06/11/2003 10:38</t>
        </is>
      </c>
      <c r="D742" s="33" t="n">
        <v>0</v>
      </c>
      <c r="E742" s="33" t="n">
        <v>5</v>
      </c>
      <c r="G742" s="33" t="n">
        <v>0</v>
      </c>
      <c r="H742" s="33" t="n">
        <v>670</v>
      </c>
      <c r="I742" s="33" t="inlineStr">
        <is>
          <t>us</t>
        </is>
      </c>
      <c r="J742" s="33" t="n">
        <v>475</v>
      </c>
      <c r="K742" s="33" t="n">
        <v>0</v>
      </c>
      <c r="L742" s="33" t="n">
        <v>26.2</v>
      </c>
      <c r="M742" s="33" t="inlineStr">
        <is>
          <t>mwb</t>
        </is>
      </c>
      <c r="N742" s="33" t="n">
        <v>113.7</v>
      </c>
      <c r="O742" s="33" t="n">
        <v>-19.262</v>
      </c>
      <c r="P742" s="33" t="n">
        <v>168.892</v>
      </c>
      <c r="Q742" s="33" t="inlineStr">
        <is>
          <t>Isangel, Vanuatu</t>
        </is>
      </c>
      <c r="T742" s="36">
        <f>DATE(MID(C742,7,4),MID(C742,4,2),MID(C742,1,2))+TIME(MID(C742,12,2),MID(C742,15,2),0)</f>
        <v/>
      </c>
      <c r="U742" s="33">
        <f>IF(ISNUMBER(VALUE(MID(A742,7,1))),"Distance-prefix pattern","Named-region pattern")</f>
        <v/>
      </c>
      <c r="V742" s="33">
        <f>LOWER(M742)</f>
        <v/>
      </c>
      <c r="W742" s="33">
        <f>IF(COUNTIFS($A$2:$A$1001,A742,$C$2:$C$1001,C742)&gt;1,"Duplicate","Unique")</f>
        <v/>
      </c>
      <c r="X742" s="33">
        <f>YEAR(T742)</f>
        <v/>
      </c>
      <c r="Y742" s="33">
        <f>IF(B742&lt;6.5,"&lt;6.5",IF(B742&lt;7,"6.5–6.9",IF(B742&lt;7.5,"7.0–7.4",IF(B742&lt;8,"7.5–7.9","8.0+"))))</f>
        <v/>
      </c>
      <c r="Z742" s="33">
        <f>IF(F742="","Blank",F742)</f>
        <v/>
      </c>
    </row>
    <row r="743" ht="15" customHeight="1" s="34">
      <c r="A743" s="33" t="inlineStr">
        <is>
          <t>M 7.0 - 133 km ESE of Ishinomaki, Japan</t>
        </is>
      </c>
      <c r="B743" s="33" t="n">
        <v>7</v>
      </c>
      <c r="C743" s="33" t="inlineStr">
        <is>
          <t>31/10/2003 01:06</t>
        </is>
      </c>
      <c r="D743" s="33" t="n">
        <v>0</v>
      </c>
      <c r="E743" s="33" t="n">
        <v>5</v>
      </c>
      <c r="G743" s="33" t="n">
        <v>0</v>
      </c>
      <c r="H743" s="33" t="n">
        <v>754</v>
      </c>
      <c r="I743" s="33" t="inlineStr">
        <is>
          <t>us</t>
        </is>
      </c>
      <c r="J743" s="33" t="n">
        <v>568</v>
      </c>
      <c r="K743" s="33" t="n">
        <v>0</v>
      </c>
      <c r="L743" s="33" t="n">
        <v>61.2</v>
      </c>
      <c r="M743" s="33" t="inlineStr">
        <is>
          <t>mwb</t>
        </is>
      </c>
      <c r="N743" s="33" t="n">
        <v>10</v>
      </c>
      <c r="O743" s="33" t="n">
        <v>37.812</v>
      </c>
      <c r="P743" s="33" t="n">
        <v>142.619</v>
      </c>
      <c r="Q743" s="33" t="inlineStr">
        <is>
          <t>Ishinomaki, Japan</t>
        </is>
      </c>
      <c r="T743" s="36">
        <f>DATE(MID(C743,7,4),MID(C743,4,2),MID(C743,1,2))+TIME(MID(C743,12,2),MID(C743,15,2),0)</f>
        <v/>
      </c>
      <c r="U743" s="33">
        <f>IF(ISNUMBER(VALUE(MID(A743,7,1))),"Distance-prefix pattern","Named-region pattern")</f>
        <v/>
      </c>
      <c r="V743" s="33">
        <f>LOWER(M743)</f>
        <v/>
      </c>
      <c r="W743" s="33">
        <f>IF(COUNTIFS($A$2:$A$1001,A743,$C$2:$C$1001,C743)&gt;1,"Duplicate","Unique")</f>
        <v/>
      </c>
      <c r="X743" s="33">
        <f>YEAR(T743)</f>
        <v/>
      </c>
      <c r="Y743" s="33">
        <f>IF(B743&lt;6.5,"&lt;6.5",IF(B743&lt;7,"6.5–6.9",IF(B743&lt;7.5,"7.0–7.4",IF(B743&lt;8,"7.5–7.9","8.0+"))))</f>
        <v/>
      </c>
      <c r="Z743" s="33">
        <f>IF(F743="","Blank",F743)</f>
        <v/>
      </c>
    </row>
    <row r="744" ht="15" customHeight="1" s="34">
      <c r="A744" s="33" t="inlineStr">
        <is>
          <t>M 6.7 - 39 km SSE of Kushiro, Japan</t>
        </is>
      </c>
      <c r="B744" s="33" t="n">
        <v>6.7</v>
      </c>
      <c r="C744" s="33" t="inlineStr">
        <is>
          <t>08/10/2003 09:06</t>
        </is>
      </c>
      <c r="D744" s="33" t="n">
        <v>0</v>
      </c>
      <c r="E744" s="33" t="n">
        <v>6</v>
      </c>
      <c r="G744" s="33" t="n">
        <v>0</v>
      </c>
      <c r="H744" s="33" t="n">
        <v>691</v>
      </c>
      <c r="I744" s="33" t="inlineStr">
        <is>
          <t>us</t>
        </is>
      </c>
      <c r="J744" s="33" t="n">
        <v>556</v>
      </c>
      <c r="K744" s="33" t="n">
        <v>0</v>
      </c>
      <c r="L744" s="33" t="n">
        <v>55.4</v>
      </c>
      <c r="M744" s="33" t="inlineStr">
        <is>
          <t>mwc</t>
        </is>
      </c>
      <c r="N744" s="33" t="n">
        <v>32</v>
      </c>
      <c r="O744" s="33" t="n">
        <v>42.648</v>
      </c>
      <c r="P744" s="33" t="n">
        <v>144.57</v>
      </c>
      <c r="Q744" s="33" t="inlineStr">
        <is>
          <t>Kushiro, Japan</t>
        </is>
      </c>
      <c r="R744" s="33" t="inlineStr">
        <is>
          <t>Asia</t>
        </is>
      </c>
      <c r="T744" s="36">
        <f>DATE(MID(C744,7,4),MID(C744,4,2),MID(C744,1,2))+TIME(MID(C744,12,2),MID(C744,15,2),0)</f>
        <v/>
      </c>
      <c r="U744" s="33">
        <f>IF(ISNUMBER(VALUE(MID(A744,7,1))),"Distance-prefix pattern","Named-region pattern")</f>
        <v/>
      </c>
      <c r="V744" s="33">
        <f>LOWER(M744)</f>
        <v/>
      </c>
      <c r="W744" s="33">
        <f>IF(COUNTIFS($A$2:$A$1001,A744,$C$2:$C$1001,C744)&gt;1,"Duplicate","Unique")</f>
        <v/>
      </c>
      <c r="X744" s="33">
        <f>YEAR(T744)</f>
        <v/>
      </c>
      <c r="Y744" s="33">
        <f>IF(B744&lt;6.5,"&lt;6.5",IF(B744&lt;7,"6.5–6.9",IF(B744&lt;7.5,"7.0–7.4",IF(B744&lt;8,"7.5–7.9","8.0+"))))</f>
        <v/>
      </c>
      <c r="Z744" s="33">
        <f>IF(F744="","Blank",F744)</f>
        <v/>
      </c>
    </row>
    <row r="745" ht="15" customHeight="1" s="34">
      <c r="A745" s="33" t="inlineStr">
        <is>
          <t>M 6.7 - 9 km S of Aktash, Russia</t>
        </is>
      </c>
      <c r="B745" s="33" t="n">
        <v>6.7</v>
      </c>
      <c r="C745" s="33" t="inlineStr">
        <is>
          <t>01/10/2003 01:03</t>
        </is>
      </c>
      <c r="D745" s="33" t="n">
        <v>0</v>
      </c>
      <c r="E745" s="33" t="n">
        <v>7</v>
      </c>
      <c r="G745" s="33" t="n">
        <v>0</v>
      </c>
      <c r="H745" s="33" t="n">
        <v>691</v>
      </c>
      <c r="I745" s="33" t="inlineStr">
        <is>
          <t>us</t>
        </is>
      </c>
      <c r="J745" s="33" t="n">
        <v>643</v>
      </c>
      <c r="K745" s="33" t="n">
        <v>0</v>
      </c>
      <c r="L745" s="33" t="n">
        <v>24.5</v>
      </c>
      <c r="M745" s="33" t="inlineStr">
        <is>
          <t>mwb</t>
        </is>
      </c>
      <c r="N745" s="33" t="n">
        <v>10</v>
      </c>
      <c r="O745" s="33" t="n">
        <v>50.211</v>
      </c>
      <c r="P745" s="33" t="n">
        <v>87.721</v>
      </c>
      <c r="Q745" s="33" t="inlineStr">
        <is>
          <t>Aktash, Russia</t>
        </is>
      </c>
      <c r="R745" s="33" t="inlineStr">
        <is>
          <t>Asia</t>
        </is>
      </c>
      <c r="S745" s="33" t="inlineStr">
        <is>
          <t>Russia</t>
        </is>
      </c>
      <c r="T745" s="36">
        <f>DATE(MID(C745,7,4),MID(C745,4,2),MID(C745,1,2))+TIME(MID(C745,12,2),MID(C745,15,2),0)</f>
        <v/>
      </c>
      <c r="U745" s="33">
        <f>IF(ISNUMBER(VALUE(MID(A745,7,1))),"Distance-prefix pattern","Named-region pattern")</f>
        <v/>
      </c>
      <c r="V745" s="33">
        <f>LOWER(M745)</f>
        <v/>
      </c>
      <c r="W745" s="33">
        <f>IF(COUNTIFS($A$2:$A$1001,A745,$C$2:$C$1001,C745)&gt;1,"Duplicate","Unique")</f>
        <v/>
      </c>
      <c r="X745" s="33">
        <f>YEAR(T745)</f>
        <v/>
      </c>
      <c r="Y745" s="33">
        <f>IF(B745&lt;6.5,"&lt;6.5",IF(B745&lt;7,"6.5–6.9",IF(B745&lt;7.5,"7.0–7.4",IF(B745&lt;8,"7.5–7.9","8.0+"))))</f>
        <v/>
      </c>
      <c r="Z745" s="33">
        <f>IF(F745="","Blank",F745)</f>
        <v/>
      </c>
    </row>
    <row r="746" ht="15" customHeight="1" s="34">
      <c r="A746" s="33" t="inlineStr">
        <is>
          <t>M 6.5 - 58 km S of Kushiro, Japan</t>
        </is>
      </c>
      <c r="B746" s="33" t="n">
        <v>6.5</v>
      </c>
      <c r="C746" s="33" t="inlineStr">
        <is>
          <t>29/09/2003 02:36</t>
        </is>
      </c>
      <c r="D746" s="33" t="n">
        <v>0</v>
      </c>
      <c r="E746" s="33" t="n">
        <v>5</v>
      </c>
      <c r="G746" s="33" t="n">
        <v>0</v>
      </c>
      <c r="H746" s="33" t="n">
        <v>650</v>
      </c>
      <c r="I746" s="33" t="inlineStr">
        <is>
          <t>us</t>
        </is>
      </c>
      <c r="J746" s="33" t="n">
        <v>586</v>
      </c>
      <c r="K746" s="33" t="n">
        <v>0</v>
      </c>
      <c r="L746" s="33" t="n">
        <v>71.3</v>
      </c>
      <c r="M746" s="33" t="inlineStr">
        <is>
          <t>mwc</t>
        </is>
      </c>
      <c r="N746" s="33" t="n">
        <v>25</v>
      </c>
      <c r="O746" s="33" t="n">
        <v>42.45</v>
      </c>
      <c r="P746" s="33" t="n">
        <v>144.38</v>
      </c>
      <c r="Q746" s="33" t="inlineStr">
        <is>
          <t>Kushiro, Japan</t>
        </is>
      </c>
      <c r="T746" s="36">
        <f>DATE(MID(C746,7,4),MID(C746,4,2),MID(C746,1,2))+TIME(MID(C746,12,2),MID(C746,15,2),0)</f>
        <v/>
      </c>
      <c r="U746" s="33">
        <f>IF(ISNUMBER(VALUE(MID(A746,7,1))),"Distance-prefix pattern","Named-region pattern")</f>
        <v/>
      </c>
      <c r="V746" s="33">
        <f>LOWER(M746)</f>
        <v/>
      </c>
      <c r="W746" s="33">
        <f>IF(COUNTIFS($A$2:$A$1001,A746,$C$2:$C$1001,C746)&gt;1,"Duplicate","Unique")</f>
        <v/>
      </c>
      <c r="X746" s="33">
        <f>YEAR(T746)</f>
        <v/>
      </c>
      <c r="Y746" s="33">
        <f>IF(B746&lt;6.5,"&lt;6.5",IF(B746&lt;7,"6.5–6.9",IF(B746&lt;7.5,"7.0–7.4",IF(B746&lt;8,"7.5–7.9","8.0+"))))</f>
        <v/>
      </c>
      <c r="Z746" s="33">
        <f>IF(F746="","Blank",F746)</f>
        <v/>
      </c>
    </row>
    <row r="747" ht="15" customHeight="1" s="34">
      <c r="A747" s="33" t="inlineStr">
        <is>
          <t>M 7.3 - 29 km S of Aktash, Russia</t>
        </is>
      </c>
      <c r="B747" s="33" t="n">
        <v>7.3</v>
      </c>
      <c r="C747" s="33" t="inlineStr">
        <is>
          <t>27/09/2003 11:33</t>
        </is>
      </c>
      <c r="D747" s="33" t="n">
        <v>0</v>
      </c>
      <c r="E747" s="33" t="n">
        <v>7</v>
      </c>
      <c r="G747" s="33" t="n">
        <v>0</v>
      </c>
      <c r="H747" s="33" t="n">
        <v>820</v>
      </c>
      <c r="I747" s="33" t="inlineStr">
        <is>
          <t>us</t>
        </is>
      </c>
      <c r="J747" s="33" t="n">
        <v>667</v>
      </c>
      <c r="K747" s="33" t="n">
        <v>0</v>
      </c>
      <c r="L747" s="33" t="n">
        <v>24.5</v>
      </c>
      <c r="M747" s="33" t="inlineStr">
        <is>
          <t>mwb</t>
        </is>
      </c>
      <c r="N747" s="33" t="n">
        <v>16</v>
      </c>
      <c r="O747" s="33" t="n">
        <v>50.038</v>
      </c>
      <c r="P747" s="33" t="n">
        <v>87.813</v>
      </c>
      <c r="Q747" s="33" t="inlineStr">
        <is>
          <t>Aktash, Russia</t>
        </is>
      </c>
      <c r="R747" s="33" t="inlineStr">
        <is>
          <t>Asia</t>
        </is>
      </c>
      <c r="S747" s="33" t="inlineStr">
        <is>
          <t>Russia</t>
        </is>
      </c>
      <c r="T747" s="36">
        <f>DATE(MID(C747,7,4),MID(C747,4,2),MID(C747,1,2))+TIME(MID(C747,12,2),MID(C747,15,2),0)</f>
        <v/>
      </c>
      <c r="U747" s="33">
        <f>IF(ISNUMBER(VALUE(MID(A747,7,1))),"Distance-prefix pattern","Named-region pattern")</f>
        <v/>
      </c>
      <c r="V747" s="33">
        <f>LOWER(M747)</f>
        <v/>
      </c>
      <c r="W747" s="33">
        <f>IF(COUNTIFS($A$2:$A$1001,A747,$C$2:$C$1001,C747)&gt;1,"Duplicate","Unique")</f>
        <v/>
      </c>
      <c r="X747" s="33">
        <f>YEAR(T747)</f>
        <v/>
      </c>
      <c r="Y747" s="33">
        <f>IF(B747&lt;6.5,"&lt;6.5",IF(B747&lt;7,"6.5–6.9",IF(B747&lt;7.5,"7.0–7.4",IF(B747&lt;8,"7.5–7.9","8.0+"))))</f>
        <v/>
      </c>
      <c r="Z747" s="33">
        <f>IF(F747="","Blank",F747)</f>
        <v/>
      </c>
    </row>
    <row r="748" ht="15" customHeight="1" s="34">
      <c r="A748" s="33" t="inlineStr">
        <is>
          <t>M 7.4 - 119 km ESE of Shizunai-furukawach?, Japan</t>
        </is>
      </c>
      <c r="B748" s="33" t="n">
        <v>7.4</v>
      </c>
      <c r="C748" s="33" t="inlineStr">
        <is>
          <t>25/09/2003 21:08</t>
        </is>
      </c>
      <c r="D748" s="33" t="n">
        <v>0</v>
      </c>
      <c r="E748" s="33" t="n">
        <v>7</v>
      </c>
      <c r="G748" s="33" t="n">
        <v>0</v>
      </c>
      <c r="H748" s="33" t="n">
        <v>842</v>
      </c>
      <c r="I748" s="33" t="inlineStr">
        <is>
          <t>us</t>
        </is>
      </c>
      <c r="J748" s="33" t="n">
        <v>514</v>
      </c>
      <c r="K748" s="33" t="n">
        <v>0</v>
      </c>
      <c r="L748" s="33" t="n">
        <v>78.8</v>
      </c>
      <c r="M748" s="33" t="inlineStr">
        <is>
          <t>mwc</t>
        </is>
      </c>
      <c r="N748" s="33" t="n">
        <v>33</v>
      </c>
      <c r="O748" s="33" t="n">
        <v>41.774</v>
      </c>
      <c r="P748" s="33" t="n">
        <v>143.593</v>
      </c>
      <c r="Q748" s="33" t="inlineStr">
        <is>
          <t>Shizunai-furukawach?, Japan</t>
        </is>
      </c>
      <c r="R748" s="33" t="inlineStr">
        <is>
          <t>Asia</t>
        </is>
      </c>
      <c r="T748" s="36">
        <f>DATE(MID(C748,7,4),MID(C748,4,2),MID(C748,1,2))+TIME(MID(C748,12,2),MID(C748,15,2),0)</f>
        <v/>
      </c>
      <c r="U748" s="33">
        <f>IF(ISNUMBER(VALUE(MID(A748,7,1))),"Distance-prefix pattern","Named-region pattern")</f>
        <v/>
      </c>
      <c r="V748" s="33">
        <f>LOWER(M748)</f>
        <v/>
      </c>
      <c r="W748" s="33">
        <f>IF(COUNTIFS($A$2:$A$1001,A748,$C$2:$C$1001,C748)&gt;1,"Duplicate","Unique")</f>
        <v/>
      </c>
      <c r="X748" s="33">
        <f>YEAR(T748)</f>
        <v/>
      </c>
      <c r="Y748" s="33">
        <f>IF(B748&lt;6.5,"&lt;6.5",IF(B748&lt;7,"6.5–6.9",IF(B748&lt;7.5,"7.0–7.4",IF(B748&lt;8,"7.5–7.9","8.0+"))))</f>
        <v/>
      </c>
      <c r="Z748" s="33">
        <f>IF(F748="","Blank",F748)</f>
        <v/>
      </c>
    </row>
    <row r="749" ht="15" customHeight="1" s="34">
      <c r="A749" s="33" t="inlineStr">
        <is>
          <t>M 8.2 - 134 km SSW of Kushiro, Japan</t>
        </is>
      </c>
      <c r="B749" s="33" t="n">
        <v>8.16</v>
      </c>
      <c r="C749" s="33" t="inlineStr">
        <is>
          <t>25/09/2003 19:50</t>
        </is>
      </c>
      <c r="D749" s="33" t="n">
        <v>0</v>
      </c>
      <c r="E749" s="33" t="n">
        <v>9</v>
      </c>
      <c r="G749" s="33" t="n">
        <v>0</v>
      </c>
      <c r="H749" s="33" t="n">
        <v>1024</v>
      </c>
      <c r="I749" s="33" t="inlineStr">
        <is>
          <t>official</t>
        </is>
      </c>
      <c r="J749" s="33" t="n">
        <v>0</v>
      </c>
      <c r="K749" s="33" t="n">
        <v>0</v>
      </c>
      <c r="L749" s="33" t="n">
        <v>0</v>
      </c>
      <c r="M749" s="33" t="inlineStr">
        <is>
          <t>mww</t>
        </is>
      </c>
      <c r="N749" s="33" t="n">
        <v>27</v>
      </c>
      <c r="O749" s="33" t="n">
        <v>41.815</v>
      </c>
      <c r="P749" s="33" t="n">
        <v>143.91</v>
      </c>
      <c r="Q749" s="33" t="inlineStr">
        <is>
          <t>Kushiro, Japan</t>
        </is>
      </c>
      <c r="T749" s="36">
        <f>DATE(MID(C749,7,4),MID(C749,4,2),MID(C749,1,2))+TIME(MID(C749,12,2),MID(C749,15,2),0)</f>
        <v/>
      </c>
      <c r="U749" s="33">
        <f>IF(ISNUMBER(VALUE(MID(A749,7,1))),"Distance-prefix pattern","Named-region pattern")</f>
        <v/>
      </c>
      <c r="V749" s="33">
        <f>LOWER(M749)</f>
        <v/>
      </c>
      <c r="W749" s="33">
        <f>IF(COUNTIFS($A$2:$A$1001,A749,$C$2:$C$1001,C749)&gt;1,"Duplicate","Unique")</f>
        <v/>
      </c>
      <c r="X749" s="33">
        <f>YEAR(T749)</f>
        <v/>
      </c>
      <c r="Y749" s="33">
        <f>IF(B749&lt;6.5,"&lt;6.5",IF(B749&lt;7,"6.5–6.9",IF(B749&lt;7.5,"7.0–7.4",IF(B749&lt;8,"7.5–7.9","8.0+"))))</f>
        <v/>
      </c>
      <c r="Z749" s="33">
        <f>IF(F749="","Blank",F749)</f>
        <v/>
      </c>
    </row>
    <row r="750" ht="15" customHeight="1" s="34">
      <c r="A750" s="33" t="inlineStr">
        <is>
          <t>M 6.6 - 16 km SE of Taungdwingyi, Myanmar</t>
        </is>
      </c>
      <c r="B750" s="33" t="n">
        <v>6.6</v>
      </c>
      <c r="C750" s="33" t="inlineStr">
        <is>
          <t>21/09/2003 18:16</t>
        </is>
      </c>
      <c r="D750" s="33" t="n">
        <v>0</v>
      </c>
      <c r="E750" s="33" t="n">
        <v>7</v>
      </c>
      <c r="G750" s="33" t="n">
        <v>0</v>
      </c>
      <c r="H750" s="33" t="n">
        <v>670</v>
      </c>
      <c r="I750" s="33" t="inlineStr">
        <is>
          <t>us</t>
        </is>
      </c>
      <c r="J750" s="33" t="n">
        <v>518</v>
      </c>
      <c r="K750" s="33" t="n">
        <v>0</v>
      </c>
      <c r="L750" s="33" t="n">
        <v>24.7</v>
      </c>
      <c r="M750" s="33" t="inlineStr">
        <is>
          <t>mwb</t>
        </is>
      </c>
      <c r="N750" s="33" t="n">
        <v>10</v>
      </c>
      <c r="O750" s="33" t="n">
        <v>19.917</v>
      </c>
      <c r="P750" s="33" t="n">
        <v>95.672</v>
      </c>
      <c r="Q750" s="33" t="inlineStr">
        <is>
          <t>Taungdwingyi, Myanmar</t>
        </is>
      </c>
      <c r="R750" s="33" t="inlineStr">
        <is>
          <t>Asia</t>
        </is>
      </c>
      <c r="S750" s="33" t="inlineStr">
        <is>
          <t>Myanmar</t>
        </is>
      </c>
      <c r="T750" s="36">
        <f>DATE(MID(C750,7,4),MID(C750,4,2),MID(C750,1,2))+TIME(MID(C750,12,2),MID(C750,15,2),0)</f>
        <v/>
      </c>
      <c r="U750" s="33">
        <f>IF(ISNUMBER(VALUE(MID(A750,7,1))),"Distance-prefix pattern","Named-region pattern")</f>
        <v/>
      </c>
      <c r="V750" s="33">
        <f>LOWER(M750)</f>
        <v/>
      </c>
      <c r="W750" s="33">
        <f>IF(COUNTIFS($A$2:$A$1001,A750,$C$2:$C$1001,C750)&gt;1,"Duplicate","Unique")</f>
        <v/>
      </c>
      <c r="X750" s="33">
        <f>YEAR(T750)</f>
        <v/>
      </c>
      <c r="Y750" s="33">
        <f>IF(B750&lt;6.5,"&lt;6.5",IF(B750&lt;7,"6.5–6.9",IF(B750&lt;7.5,"7.0–7.4",IF(B750&lt;8,"7.5–7.9","8.0+"))))</f>
        <v/>
      </c>
      <c r="Z750" s="33">
        <f>IF(F750="","Blank",F750)</f>
        <v/>
      </c>
    </row>
    <row r="751" ht="15" customHeight="1" s="34">
      <c r="A751" s="33" t="inlineStr">
        <is>
          <t>M 7.2 - 56 km NW of Te Anau, New Zealand</t>
        </is>
      </c>
      <c r="B751" s="33" t="n">
        <v>7.2</v>
      </c>
      <c r="C751" s="33" t="inlineStr">
        <is>
          <t>21/08/2003 12:12</t>
        </is>
      </c>
      <c r="D751" s="33" t="n">
        <v>0</v>
      </c>
      <c r="E751" s="33" t="n">
        <v>7</v>
      </c>
      <c r="G751" s="33" t="n">
        <v>0</v>
      </c>
      <c r="H751" s="33" t="n">
        <v>798</v>
      </c>
      <c r="I751" s="33" t="inlineStr">
        <is>
          <t>us</t>
        </is>
      </c>
      <c r="J751" s="33" t="n">
        <v>428</v>
      </c>
      <c r="K751" s="33" t="n">
        <v>0</v>
      </c>
      <c r="L751" s="33" t="n">
        <v>17.5</v>
      </c>
      <c r="M751" s="33" t="inlineStr">
        <is>
          <t>mwc</t>
        </is>
      </c>
      <c r="N751" s="33" t="n">
        <v>28</v>
      </c>
      <c r="O751" s="33" t="n">
        <v>-45.104</v>
      </c>
      <c r="P751" s="33" t="n">
        <v>167.144</v>
      </c>
      <c r="Q751" s="33" t="inlineStr">
        <is>
          <t>Te Anau, New Zealand</t>
        </is>
      </c>
      <c r="S751" s="33" t="inlineStr">
        <is>
          <t>New Zealand</t>
        </is>
      </c>
      <c r="T751" s="36">
        <f>DATE(MID(C751,7,4),MID(C751,4,2),MID(C751,1,2))+TIME(MID(C751,12,2),MID(C751,15,2),0)</f>
        <v/>
      </c>
      <c r="U751" s="33">
        <f>IF(ISNUMBER(VALUE(MID(A751,7,1))),"Distance-prefix pattern","Named-region pattern")</f>
        <v/>
      </c>
      <c r="V751" s="33">
        <f>LOWER(M751)</f>
        <v/>
      </c>
      <c r="W751" s="33">
        <f>IF(COUNTIFS($A$2:$A$1001,A751,$C$2:$C$1001,C751)&gt;1,"Duplicate","Unique")</f>
        <v/>
      </c>
      <c r="X751" s="33">
        <f>YEAR(T751)</f>
        <v/>
      </c>
      <c r="Y751" s="33">
        <f>IF(B751&lt;6.5,"&lt;6.5",IF(B751&lt;7,"6.5–6.9",IF(B751&lt;7.5,"7.0–7.4",IF(B751&lt;8,"7.5–7.9","8.0+"))))</f>
        <v/>
      </c>
      <c r="Z751" s="33">
        <f>IF(F751="","Blank",F751)</f>
        <v/>
      </c>
    </row>
    <row r="752" ht="15" customHeight="1" s="34">
      <c r="A752" s="33" t="inlineStr">
        <is>
          <t>M 7.6 - Scotia Sea</t>
        </is>
      </c>
      <c r="B752" s="33" t="n">
        <v>7.6</v>
      </c>
      <c r="C752" s="33" t="inlineStr">
        <is>
          <t>04/08/2003 04:37</t>
        </is>
      </c>
      <c r="D752" s="33" t="n">
        <v>0</v>
      </c>
      <c r="E752" s="33" t="n">
        <v>6</v>
      </c>
      <c r="G752" s="33" t="n">
        <v>0</v>
      </c>
      <c r="H752" s="33" t="n">
        <v>889</v>
      </c>
      <c r="I752" s="33" t="inlineStr">
        <is>
          <t>us</t>
        </is>
      </c>
      <c r="J752" s="33" t="n">
        <v>315</v>
      </c>
      <c r="K752" s="33" t="n">
        <v>0</v>
      </c>
      <c r="L752" s="33" t="n">
        <v>25.2</v>
      </c>
      <c r="M752" s="33" t="inlineStr">
        <is>
          <t>mwc</t>
        </is>
      </c>
      <c r="N752" s="33" t="n">
        <v>10</v>
      </c>
      <c r="O752" s="33" t="n">
        <v>-60.532</v>
      </c>
      <c r="P752" s="33" t="n">
        <v>-43.411</v>
      </c>
      <c r="Q752" s="33" t="inlineStr">
        <is>
          <t>Scotia Sea</t>
        </is>
      </c>
      <c r="S752" s="33" t="inlineStr">
        <is>
          <t>United Kingdom of Great Britain and Northern Ireland (the)</t>
        </is>
      </c>
      <c r="T752" s="36">
        <f>DATE(MID(C752,7,4),MID(C752,4,2),MID(C752,1,2))+TIME(MID(C752,12,2),MID(C752,15,2),0)</f>
        <v/>
      </c>
      <c r="U752" s="33">
        <f>IF(ISNUMBER(VALUE(MID(A752,7,1))),"Distance-prefix pattern","Named-region pattern")</f>
        <v/>
      </c>
      <c r="V752" s="33">
        <f>LOWER(M752)</f>
        <v/>
      </c>
      <c r="W752" s="33">
        <f>IF(COUNTIFS($A$2:$A$1001,A752,$C$2:$C$1001,C752)&gt;1,"Duplicate","Unique")</f>
        <v/>
      </c>
      <c r="X752" s="33">
        <f>YEAR(T752)</f>
        <v/>
      </c>
      <c r="Y752" s="33">
        <f>IF(B752&lt;6.5,"&lt;6.5",IF(B752&lt;7,"6.5–6.9",IF(B752&lt;7.5,"7.0–7.4",IF(B752&lt;8,"7.5–7.9","8.0+"))))</f>
        <v/>
      </c>
      <c r="Z752" s="33">
        <f>IF(F752="","Blank",F752)</f>
        <v/>
      </c>
    </row>
    <row r="753" ht="15" customHeight="1" s="34">
      <c r="A753" s="33" t="inlineStr">
        <is>
          <t>M 6.5 - 41 km N of Rabaul, Papua New Guinea</t>
        </is>
      </c>
      <c r="B753" s="33" t="n">
        <v>6.5</v>
      </c>
      <c r="C753" s="33" t="inlineStr">
        <is>
          <t>15/07/2003 18:46</t>
        </is>
      </c>
      <c r="D753" s="33" t="n">
        <v>0</v>
      </c>
      <c r="E753" s="33" t="n">
        <v>6</v>
      </c>
      <c r="G753" s="33" t="n">
        <v>0</v>
      </c>
      <c r="H753" s="33" t="n">
        <v>650</v>
      </c>
      <c r="I753" s="33" t="inlineStr">
        <is>
          <t>us</t>
        </is>
      </c>
      <c r="J753" s="33" t="n">
        <v>156</v>
      </c>
      <c r="K753" s="33" t="n">
        <v>0</v>
      </c>
      <c r="L753" s="33" t="n">
        <v>31.4</v>
      </c>
      <c r="M753" s="33" t="inlineStr">
        <is>
          <t>mwb</t>
        </is>
      </c>
      <c r="N753" s="33" t="n">
        <v>33</v>
      </c>
      <c r="O753" s="33" t="n">
        <v>-3.828</v>
      </c>
      <c r="P753" s="33" t="n">
        <v>152.174</v>
      </c>
      <c r="Q753" s="33" t="inlineStr">
        <is>
          <t>Rabaul, Papua New Guinea</t>
        </is>
      </c>
      <c r="S753" s="33" t="inlineStr">
        <is>
          <t>Papua New Guinea</t>
        </is>
      </c>
      <c r="T753" s="36">
        <f>DATE(MID(C753,7,4),MID(C753,4,2),MID(C753,1,2))+TIME(MID(C753,12,2),MID(C753,15,2),0)</f>
        <v/>
      </c>
      <c r="U753" s="33">
        <f>IF(ISNUMBER(VALUE(MID(A753,7,1))),"Distance-prefix pattern","Named-region pattern")</f>
        <v/>
      </c>
      <c r="V753" s="33">
        <f>LOWER(M753)</f>
        <v/>
      </c>
      <c r="W753" s="33">
        <f>IF(COUNTIFS($A$2:$A$1001,A753,$C$2:$C$1001,C753)&gt;1,"Duplicate","Unique")</f>
        <v/>
      </c>
      <c r="X753" s="33">
        <f>YEAR(T753)</f>
        <v/>
      </c>
      <c r="Y753" s="33">
        <f>IF(B753&lt;6.5,"&lt;6.5",IF(B753&lt;7,"6.5–6.9",IF(B753&lt;7.5,"7.0–7.4",IF(B753&lt;8,"7.5–7.9","8.0+"))))</f>
        <v/>
      </c>
      <c r="Z753" s="33">
        <f>IF(F753="","Blank",F753)</f>
        <v/>
      </c>
    </row>
    <row r="754" ht="15" customHeight="1" s="34">
      <c r="A754" s="33" t="inlineStr">
        <is>
          <t>M 6.8 - 42 km W of Ovalle, Chile</t>
        </is>
      </c>
      <c r="B754" s="33" t="n">
        <v>6.8</v>
      </c>
      <c r="C754" s="33" t="inlineStr">
        <is>
          <t>20/06/2003 13:30</t>
        </is>
      </c>
      <c r="D754" s="33" t="n">
        <v>0</v>
      </c>
      <c r="E754" s="33" t="n">
        <v>7</v>
      </c>
      <c r="G754" s="33" t="n">
        <v>0</v>
      </c>
      <c r="H754" s="33" t="n">
        <v>711</v>
      </c>
      <c r="I754" s="33" t="inlineStr">
        <is>
          <t>us</t>
        </is>
      </c>
      <c r="J754" s="33" t="n">
        <v>398</v>
      </c>
      <c r="K754" s="33" t="n">
        <v>0</v>
      </c>
      <c r="L754" s="33" t="n">
        <v>39.1</v>
      </c>
      <c r="M754" s="33" t="inlineStr">
        <is>
          <t>mwc</t>
        </is>
      </c>
      <c r="N754" s="33" t="n">
        <v>33</v>
      </c>
      <c r="O754" s="33" t="n">
        <v>-30.608</v>
      </c>
      <c r="P754" s="33" t="n">
        <v>-71.637</v>
      </c>
      <c r="Q754" s="33" t="inlineStr">
        <is>
          <t>Ovalle, Chile</t>
        </is>
      </c>
      <c r="R754" s="33" t="inlineStr">
        <is>
          <t>South America</t>
        </is>
      </c>
      <c r="S754" s="33" t="inlineStr">
        <is>
          <t>Chile</t>
        </is>
      </c>
      <c r="T754" s="36">
        <f>DATE(MID(C754,7,4),MID(C754,4,2),MID(C754,1,2))+TIME(MID(C754,12,2),MID(C754,15,2),0)</f>
        <v/>
      </c>
      <c r="U754" s="33">
        <f>IF(ISNUMBER(VALUE(MID(A754,7,1))),"Distance-prefix pattern","Named-region pattern")</f>
        <v/>
      </c>
      <c r="V754" s="33">
        <f>LOWER(M754)</f>
        <v/>
      </c>
      <c r="W754" s="33">
        <f>IF(COUNTIFS($A$2:$A$1001,A754,$C$2:$C$1001,C754)&gt;1,"Duplicate","Unique")</f>
        <v/>
      </c>
      <c r="X754" s="33">
        <f>YEAR(T754)</f>
        <v/>
      </c>
      <c r="Y754" s="33">
        <f>IF(B754&lt;6.5,"&lt;6.5",IF(B754&lt;7,"6.5–6.9",IF(B754&lt;7.5,"7.0–7.4",IF(B754&lt;8,"7.5–7.9","8.0+"))))</f>
        <v/>
      </c>
      <c r="Z754" s="33">
        <f>IF(F754="","Blank",F754)</f>
        <v/>
      </c>
    </row>
    <row r="755" ht="15" customHeight="1" s="34">
      <c r="A755" s="33" t="inlineStr">
        <is>
          <t>M 6.9 - 25 km ESE of Atlasovo, Russia</t>
        </is>
      </c>
      <c r="B755" s="33" t="n">
        <v>6.9</v>
      </c>
      <c r="C755" s="33" t="inlineStr">
        <is>
          <t>16/06/2003 22:08</t>
        </is>
      </c>
      <c r="D755" s="33" t="n">
        <v>0</v>
      </c>
      <c r="E755" s="33" t="n">
        <v>5</v>
      </c>
      <c r="G755" s="33" t="n">
        <v>0</v>
      </c>
      <c r="H755" s="33" t="n">
        <v>732</v>
      </c>
      <c r="I755" s="33" t="inlineStr">
        <is>
          <t>us</t>
        </is>
      </c>
      <c r="J755" s="33" t="n">
        <v>733</v>
      </c>
      <c r="K755" s="33" t="n">
        <v>0</v>
      </c>
      <c r="L755" s="33" t="n">
        <v>26.7</v>
      </c>
      <c r="M755" s="33" t="inlineStr">
        <is>
          <t>mwb</t>
        </is>
      </c>
      <c r="N755" s="33" t="n">
        <v>174.8</v>
      </c>
      <c r="O755" s="33" t="n">
        <v>55.492</v>
      </c>
      <c r="P755" s="33" t="n">
        <v>159.999</v>
      </c>
      <c r="Q755" s="33" t="inlineStr">
        <is>
          <t>Atlasovo, Russia</t>
        </is>
      </c>
      <c r="R755" s="33" t="inlineStr">
        <is>
          <t>Asia</t>
        </is>
      </c>
      <c r="S755" s="33" t="inlineStr">
        <is>
          <t>Russia</t>
        </is>
      </c>
      <c r="T755" s="36">
        <f>DATE(MID(C755,7,4),MID(C755,4,2),MID(C755,1,2))+TIME(MID(C755,12,2),MID(C755,15,2),0)</f>
        <v/>
      </c>
      <c r="U755" s="33">
        <f>IF(ISNUMBER(VALUE(MID(A755,7,1))),"Distance-prefix pattern","Named-region pattern")</f>
        <v/>
      </c>
      <c r="V755" s="33">
        <f>LOWER(M755)</f>
        <v/>
      </c>
      <c r="W755" s="33">
        <f>IF(COUNTIFS($A$2:$A$1001,A755,$C$2:$C$1001,C755)&gt;1,"Duplicate","Unique")</f>
        <v/>
      </c>
      <c r="X755" s="33">
        <f>YEAR(T755)</f>
        <v/>
      </c>
      <c r="Y755" s="33">
        <f>IF(B755&lt;6.5,"&lt;6.5",IF(B755&lt;7,"6.5–6.9",IF(B755&lt;7.5,"7.0–7.4",IF(B755&lt;8,"7.5–7.9","8.0+"))))</f>
        <v/>
      </c>
      <c r="Z755" s="33">
        <f>IF(F755="","Blank",F755)</f>
        <v/>
      </c>
    </row>
    <row r="756" ht="15" customHeight="1" s="34">
      <c r="A756" s="33" t="inlineStr">
        <is>
          <t>M 6.6 - 87 km SSE of Kokopo, Papua New Guinea</t>
        </is>
      </c>
      <c r="B756" s="33" t="n">
        <v>6.6</v>
      </c>
      <c r="C756" s="33" t="inlineStr">
        <is>
          <t>07/06/2003 00:32</t>
        </is>
      </c>
      <c r="D756" s="33" t="n">
        <v>0</v>
      </c>
      <c r="E756" s="33" t="n">
        <v>6</v>
      </c>
      <c r="G756" s="33" t="n">
        <v>0</v>
      </c>
      <c r="H756" s="33" t="n">
        <v>670</v>
      </c>
      <c r="I756" s="33" t="inlineStr">
        <is>
          <t>us</t>
        </is>
      </c>
      <c r="J756" s="33" t="n">
        <v>419</v>
      </c>
      <c r="K756" s="33" t="n">
        <v>0</v>
      </c>
      <c r="L756" s="33" t="n">
        <v>27.8</v>
      </c>
      <c r="M756" s="33" t="inlineStr">
        <is>
          <t>mwc</t>
        </is>
      </c>
      <c r="N756" s="33" t="n">
        <v>33</v>
      </c>
      <c r="O756" s="33" t="n">
        <v>-5.095</v>
      </c>
      <c r="P756" s="33" t="n">
        <v>152.502</v>
      </c>
      <c r="Q756" s="33" t="inlineStr">
        <is>
          <t>Kokopo, Papua New Guinea</t>
        </is>
      </c>
      <c r="S756" s="33" t="inlineStr">
        <is>
          <t>Papua New Guinea</t>
        </is>
      </c>
      <c r="T756" s="36">
        <f>DATE(MID(C756,7,4),MID(C756,4,2),MID(C756,1,2))+TIME(MID(C756,12,2),MID(C756,15,2),0)</f>
        <v/>
      </c>
      <c r="U756" s="33">
        <f>IF(ISNUMBER(VALUE(MID(A756,7,1))),"Distance-prefix pattern","Named-region pattern")</f>
        <v/>
      </c>
      <c r="V756" s="33">
        <f>LOWER(M756)</f>
        <v/>
      </c>
      <c r="W756" s="33">
        <f>IF(COUNTIFS($A$2:$A$1001,A756,$C$2:$C$1001,C756)&gt;1,"Duplicate","Unique")</f>
        <v/>
      </c>
      <c r="X756" s="33">
        <f>YEAR(T756)</f>
        <v/>
      </c>
      <c r="Y756" s="33">
        <f>IF(B756&lt;6.5,"&lt;6.5",IF(B756&lt;7,"6.5–6.9",IF(B756&lt;7.5,"7.0–7.4",IF(B756&lt;8,"7.5–7.9","8.0+"))))</f>
        <v/>
      </c>
      <c r="Z756" s="33">
        <f>IF(F756="","Blank",F756)</f>
        <v/>
      </c>
    </row>
    <row r="757" ht="15" customHeight="1" s="34">
      <c r="A757" s="33" t="inlineStr">
        <is>
          <t>M 7.0 - 116 km NE of Tobelo, Indonesia</t>
        </is>
      </c>
      <c r="B757" s="33" t="n">
        <v>7</v>
      </c>
      <c r="C757" s="33" t="inlineStr">
        <is>
          <t>26/05/2003 19:23</t>
        </is>
      </c>
      <c r="D757" s="33" t="n">
        <v>0</v>
      </c>
      <c r="E757" s="33" t="n">
        <v>6</v>
      </c>
      <c r="G757" s="33" t="n">
        <v>0</v>
      </c>
      <c r="H757" s="33" t="n">
        <v>754</v>
      </c>
      <c r="I757" s="33" t="inlineStr">
        <is>
          <t>us</t>
        </is>
      </c>
      <c r="J757" s="33" t="n">
        <v>473</v>
      </c>
      <c r="K757" s="33" t="n">
        <v>0</v>
      </c>
      <c r="L757" s="33" t="n">
        <v>30.3</v>
      </c>
      <c r="M757" s="33" t="inlineStr">
        <is>
          <t>mwc</t>
        </is>
      </c>
      <c r="N757" s="33" t="n">
        <v>31</v>
      </c>
      <c r="O757" s="33" t="n">
        <v>2.354</v>
      </c>
      <c r="P757" s="33" t="n">
        <v>128.855</v>
      </c>
      <c r="Q757" s="33" t="inlineStr">
        <is>
          <t>Tobelo, Indonesia</t>
        </is>
      </c>
      <c r="S757" s="33" t="inlineStr">
        <is>
          <t>Indonesia</t>
        </is>
      </c>
      <c r="T757" s="36">
        <f>DATE(MID(C757,7,4),MID(C757,4,2),MID(C757,1,2))+TIME(MID(C757,12,2),MID(C757,15,2),0)</f>
        <v/>
      </c>
      <c r="U757" s="33">
        <f>IF(ISNUMBER(VALUE(MID(A757,7,1))),"Distance-prefix pattern","Named-region pattern")</f>
        <v/>
      </c>
      <c r="V757" s="33">
        <f>LOWER(M757)</f>
        <v/>
      </c>
      <c r="W757" s="33">
        <f>IF(COUNTIFS($A$2:$A$1001,A757,$C$2:$C$1001,C757)&gt;1,"Duplicate","Unique")</f>
        <v/>
      </c>
      <c r="X757" s="33">
        <f>YEAR(T757)</f>
        <v/>
      </c>
      <c r="Y757" s="33">
        <f>IF(B757&lt;6.5,"&lt;6.5",IF(B757&lt;7,"6.5–6.9",IF(B757&lt;7.5,"7.0–7.4",IF(B757&lt;8,"7.5–7.9","8.0+"))))</f>
        <v/>
      </c>
      <c r="Z757" s="33">
        <f>IF(F757="","Blank",F757)</f>
        <v/>
      </c>
    </row>
    <row r="758" ht="15" customHeight="1" s="34">
      <c r="A758" s="33" t="inlineStr">
        <is>
          <t>M 7.0 - 27 km SSW of ?funato, Japan</t>
        </is>
      </c>
      <c r="B758" s="33" t="n">
        <v>7</v>
      </c>
      <c r="C758" s="33" t="inlineStr">
        <is>
          <t>26/05/2003 09:24</t>
        </is>
      </c>
      <c r="D758" s="33" t="n">
        <v>0</v>
      </c>
      <c r="E758" s="33" t="n">
        <v>7</v>
      </c>
      <c r="G758" s="33" t="n">
        <v>0</v>
      </c>
      <c r="H758" s="33" t="n">
        <v>754</v>
      </c>
      <c r="I758" s="33" t="inlineStr">
        <is>
          <t>us</t>
        </is>
      </c>
      <c r="J758" s="33" t="n">
        <v>690</v>
      </c>
      <c r="K758" s="33" t="n">
        <v>0</v>
      </c>
      <c r="L758" s="33" t="n">
        <v>19.1</v>
      </c>
      <c r="M758" s="33" t="inlineStr">
        <is>
          <t>mwb</t>
        </is>
      </c>
      <c r="N758" s="33" t="n">
        <v>68</v>
      </c>
      <c r="O758" s="33" t="n">
        <v>38.849</v>
      </c>
      <c r="P758" s="33" t="n">
        <v>141.568</v>
      </c>
      <c r="Q758" s="33" t="inlineStr">
        <is>
          <t>?funato, Japan</t>
        </is>
      </c>
      <c r="R758" s="33" t="inlineStr">
        <is>
          <t>Asia</t>
        </is>
      </c>
      <c r="S758" s="33" t="inlineStr">
        <is>
          <t>Japan</t>
        </is>
      </c>
      <c r="T758" s="36">
        <f>DATE(MID(C758,7,4),MID(C758,4,2),MID(C758,1,2))+TIME(MID(C758,12,2),MID(C758,15,2),0)</f>
        <v/>
      </c>
      <c r="U758" s="33">
        <f>IF(ISNUMBER(VALUE(MID(A758,7,1))),"Distance-prefix pattern","Named-region pattern")</f>
        <v/>
      </c>
      <c r="V758" s="33">
        <f>LOWER(M758)</f>
        <v/>
      </c>
      <c r="W758" s="33">
        <f>IF(COUNTIFS($A$2:$A$1001,A758,$C$2:$C$1001,C758)&gt;1,"Duplicate","Unique")</f>
        <v/>
      </c>
      <c r="X758" s="33">
        <f>YEAR(T758)</f>
        <v/>
      </c>
      <c r="Y758" s="33">
        <f>IF(B758&lt;6.5,"&lt;6.5",IF(B758&lt;7,"6.5–6.9",IF(B758&lt;7.5,"7.0–7.4",IF(B758&lt;8,"7.5–7.9","8.0+"))))</f>
        <v/>
      </c>
      <c r="Z758" s="33">
        <f>IF(F758="","Blank",F758)</f>
        <v/>
      </c>
    </row>
    <row r="759" ht="15" customHeight="1" s="34">
      <c r="A759" s="33" t="inlineStr">
        <is>
          <t>M 6.8 - 25 km WNW of Dellys, Algeria</t>
        </is>
      </c>
      <c r="B759" s="33" t="n">
        <v>6.8</v>
      </c>
      <c r="C759" s="33" t="inlineStr">
        <is>
          <t>21/05/2003 18:44</t>
        </is>
      </c>
      <c r="D759" s="33" t="n">
        <v>0</v>
      </c>
      <c r="E759" s="33" t="n">
        <v>9</v>
      </c>
      <c r="G759" s="33" t="n">
        <v>0</v>
      </c>
      <c r="H759" s="33" t="n">
        <v>711</v>
      </c>
      <c r="I759" s="33" t="inlineStr">
        <is>
          <t>us</t>
        </is>
      </c>
      <c r="J759" s="33" t="n">
        <v>534</v>
      </c>
      <c r="K759" s="33" t="n">
        <v>0</v>
      </c>
      <c r="L759" s="33" t="n">
        <v>19.4</v>
      </c>
      <c r="M759" s="33" t="inlineStr">
        <is>
          <t>mwc</t>
        </is>
      </c>
      <c r="N759" s="33" t="n">
        <v>12</v>
      </c>
      <c r="O759" s="33" t="n">
        <v>36.964</v>
      </c>
      <c r="P759" s="33" t="n">
        <v>3.634</v>
      </c>
      <c r="Q759" s="33" t="inlineStr">
        <is>
          <t>Dellys, Algeria</t>
        </is>
      </c>
      <c r="S759" s="33" t="inlineStr">
        <is>
          <t>Algeria</t>
        </is>
      </c>
      <c r="T759" s="36">
        <f>DATE(MID(C759,7,4),MID(C759,4,2),MID(C759,1,2))+TIME(MID(C759,12,2),MID(C759,15,2),0)</f>
        <v/>
      </c>
      <c r="U759" s="33">
        <f>IF(ISNUMBER(VALUE(MID(A759,7,1))),"Distance-prefix pattern","Named-region pattern")</f>
        <v/>
      </c>
      <c r="V759" s="33">
        <f>LOWER(M759)</f>
        <v/>
      </c>
      <c r="W759" s="33">
        <f>IF(COUNTIFS($A$2:$A$1001,A759,$C$2:$C$1001,C759)&gt;1,"Duplicate","Unique")</f>
        <v/>
      </c>
      <c r="X759" s="33">
        <f>YEAR(T759)</f>
        <v/>
      </c>
      <c r="Y759" s="33">
        <f>IF(B759&lt;6.5,"&lt;6.5",IF(B759&lt;7,"6.5–6.9",IF(B759&lt;7.5,"7.0–7.4",IF(B759&lt;8,"7.5–7.9","8.0+"))))</f>
        <v/>
      </c>
      <c r="Z759" s="33">
        <f>IF(F759="","Blank",F759)</f>
        <v/>
      </c>
    </row>
    <row r="760" ht="15" customHeight="1" s="34">
      <c r="A760" s="33" t="inlineStr">
        <is>
          <t>M 6.5 - 46 km NE of Ruteng, Indonesia</t>
        </is>
      </c>
      <c r="B760" s="33" t="n">
        <v>6.5</v>
      </c>
      <c r="C760" s="33" t="inlineStr">
        <is>
          <t>25/03/2003 02:53</t>
        </is>
      </c>
      <c r="D760" s="33" t="n">
        <v>0</v>
      </c>
      <c r="E760" s="33" t="n">
        <v>7</v>
      </c>
      <c r="G760" s="33" t="n">
        <v>0</v>
      </c>
      <c r="H760" s="33" t="n">
        <v>650</v>
      </c>
      <c r="I760" s="33" t="inlineStr">
        <is>
          <t>us</t>
        </is>
      </c>
      <c r="J760" s="33" t="n">
        <v>247</v>
      </c>
      <c r="K760" s="33" t="n">
        <v>0</v>
      </c>
      <c r="L760" s="33" t="n">
        <v>28.7</v>
      </c>
      <c r="M760" s="33" t="inlineStr">
        <is>
          <t>mwc</t>
        </is>
      </c>
      <c r="N760" s="33" t="n">
        <v>33</v>
      </c>
      <c r="O760" s="33" t="n">
        <v>-8.294</v>
      </c>
      <c r="P760" s="33" t="n">
        <v>120.743</v>
      </c>
      <c r="Q760" s="33" t="inlineStr">
        <is>
          <t>Ruteng, Indonesia</t>
        </is>
      </c>
      <c r="S760" s="33" t="inlineStr">
        <is>
          <t>Indonesia</t>
        </is>
      </c>
      <c r="T760" s="36">
        <f>DATE(MID(C760,7,4),MID(C760,4,2),MID(C760,1,2))+TIME(MID(C760,12,2),MID(C760,15,2),0)</f>
        <v/>
      </c>
      <c r="U760" s="33">
        <f>IF(ISNUMBER(VALUE(MID(A760,7,1))),"Distance-prefix pattern","Named-region pattern")</f>
        <v/>
      </c>
      <c r="V760" s="33">
        <f>LOWER(M760)</f>
        <v/>
      </c>
      <c r="W760" s="33">
        <f>IF(COUNTIFS($A$2:$A$1001,A760,$C$2:$C$1001,C760)&gt;1,"Duplicate","Unique")</f>
        <v/>
      </c>
      <c r="X760" s="33">
        <f>YEAR(T760)</f>
        <v/>
      </c>
      <c r="Y760" s="33">
        <f>IF(B760&lt;6.5,"&lt;6.5",IF(B760&lt;7,"6.5–6.9",IF(B760&lt;7.5,"7.0–7.4",IF(B760&lt;8,"7.5–7.9","8.0+"))))</f>
        <v/>
      </c>
      <c r="Z760" s="33">
        <f>IF(F760="","Blank",F760)</f>
        <v/>
      </c>
    </row>
    <row r="761" ht="15" customHeight="1" s="34">
      <c r="A761" s="33" t="inlineStr">
        <is>
          <t>M 6.8 - 114 km ESE of Kokopo, Papua New Guinea</t>
        </is>
      </c>
      <c r="B761" s="33" t="n">
        <v>6.8</v>
      </c>
      <c r="C761" s="33" t="inlineStr">
        <is>
          <t>11/03/2003 07:27</t>
        </is>
      </c>
      <c r="D761" s="33" t="n">
        <v>0</v>
      </c>
      <c r="E761" s="33" t="n">
        <v>7</v>
      </c>
      <c r="G761" s="33" t="n">
        <v>0</v>
      </c>
      <c r="H761" s="33" t="n">
        <v>711</v>
      </c>
      <c r="I761" s="33" t="inlineStr">
        <is>
          <t>us</t>
        </is>
      </c>
      <c r="J761" s="33" t="n">
        <v>431</v>
      </c>
      <c r="K761" s="33" t="n">
        <v>0</v>
      </c>
      <c r="L761" s="33" t="n">
        <v>38.4</v>
      </c>
      <c r="M761" s="33" t="inlineStr">
        <is>
          <t>mwc</t>
        </is>
      </c>
      <c r="N761" s="33" t="n">
        <v>40.2</v>
      </c>
      <c r="O761" s="33" t="n">
        <v>-4.694</v>
      </c>
      <c r="P761" s="33" t="n">
        <v>153.238</v>
      </c>
      <c r="Q761" s="33" t="inlineStr">
        <is>
          <t>Kokopo, Papua New Guinea</t>
        </is>
      </c>
      <c r="S761" s="33" t="inlineStr">
        <is>
          <t>Papua New Guinea</t>
        </is>
      </c>
      <c r="T761" s="36">
        <f>DATE(MID(C761,7,4),MID(C761,4,2),MID(C761,1,2))+TIME(MID(C761,12,2),MID(C761,15,2),0)</f>
        <v/>
      </c>
      <c r="U761" s="33">
        <f>IF(ISNUMBER(VALUE(MID(A761,7,1))),"Distance-prefix pattern","Named-region pattern")</f>
        <v/>
      </c>
      <c r="V761" s="33">
        <f>LOWER(M761)</f>
        <v/>
      </c>
      <c r="W761" s="33">
        <f>IF(COUNTIFS($A$2:$A$1001,A761,$C$2:$C$1001,C761)&gt;1,"Duplicate","Unique")</f>
        <v/>
      </c>
      <c r="X761" s="33">
        <f>YEAR(T761)</f>
        <v/>
      </c>
      <c r="Y761" s="33">
        <f>IF(B761&lt;6.5,"&lt;6.5",IF(B761&lt;7,"6.5–6.9",IF(B761&lt;7.5,"7.0–7.4",IF(B761&lt;8,"7.5–7.9","8.0+"))))</f>
        <v/>
      </c>
      <c r="Z761" s="33">
        <f>IF(F761="","Blank",F761)</f>
        <v/>
      </c>
    </row>
    <row r="762" ht="15" customHeight="1" s="34">
      <c r="A762" s="33" t="inlineStr">
        <is>
          <t>M 7.6 - 16 km SSW of Cuyutlán, Mexico</t>
        </is>
      </c>
      <c r="B762" s="33" t="n">
        <v>7.6</v>
      </c>
      <c r="C762" s="33" t="inlineStr">
        <is>
          <t>22/01/2003 02:06</t>
        </is>
      </c>
      <c r="D762" s="33" t="n">
        <v>0</v>
      </c>
      <c r="E762" s="33" t="n">
        <v>7</v>
      </c>
      <c r="G762" s="33" t="n">
        <v>0</v>
      </c>
      <c r="H762" s="33" t="n">
        <v>889</v>
      </c>
      <c r="I762" s="33" t="inlineStr">
        <is>
          <t>us</t>
        </is>
      </c>
      <c r="J762" s="33" t="n">
        <v>551</v>
      </c>
      <c r="K762" s="33" t="n">
        <v>0</v>
      </c>
      <c r="L762" s="33" t="n">
        <v>0</v>
      </c>
      <c r="M762" s="33" t="inlineStr">
        <is>
          <t>mwb</t>
        </is>
      </c>
      <c r="N762" s="33" t="n">
        <v>24</v>
      </c>
      <c r="O762" s="33" t="n">
        <v>18.77</v>
      </c>
      <c r="P762" s="33" t="n">
        <v>-104.104</v>
      </c>
      <c r="Q762" s="33" t="inlineStr">
        <is>
          <t>Cuyutlán, Mexico</t>
        </is>
      </c>
      <c r="R762" s="33" t="inlineStr">
        <is>
          <t>North America</t>
        </is>
      </c>
      <c r="S762" s="33" t="inlineStr">
        <is>
          <t>Mexico</t>
        </is>
      </c>
      <c r="T762" s="36">
        <f>DATE(MID(C762,7,4),MID(C762,4,2),MID(C762,1,2))+TIME(MID(C762,12,2),MID(C762,15,2),0)</f>
        <v/>
      </c>
      <c r="U762" s="33">
        <f>IF(ISNUMBER(VALUE(MID(A762,7,1))),"Distance-prefix pattern","Named-region pattern")</f>
        <v/>
      </c>
      <c r="V762" s="33">
        <f>LOWER(M762)</f>
        <v/>
      </c>
      <c r="W762" s="33">
        <f>IF(COUNTIFS($A$2:$A$1001,A762,$C$2:$C$1001,C762)&gt;1,"Duplicate","Unique")</f>
        <v/>
      </c>
      <c r="X762" s="33">
        <f>YEAR(T762)</f>
        <v/>
      </c>
      <c r="Y762" s="33">
        <f>IF(B762&lt;6.5,"&lt;6.5",IF(B762&lt;7,"6.5–6.9",IF(B762&lt;7.5,"7.0–7.4",IF(B762&lt;8,"7.5–7.9","8.0+"))))</f>
        <v/>
      </c>
      <c r="Z762" s="33">
        <f>IF(F762="","Blank",F762)</f>
        <v/>
      </c>
    </row>
    <row r="763" ht="15" customHeight="1" s="34">
      <c r="A763" s="33" t="inlineStr">
        <is>
          <t>M 6.5 - 33 km S of Puerto San José, Guatemala</t>
        </is>
      </c>
      <c r="B763" s="33" t="n">
        <v>6.5</v>
      </c>
      <c r="C763" s="33" t="inlineStr">
        <is>
          <t>21/01/2003 02:46</t>
        </is>
      </c>
      <c r="D763" s="33" t="n">
        <v>0</v>
      </c>
      <c r="E763" s="33" t="n">
        <v>6</v>
      </c>
      <c r="G763" s="33" t="n">
        <v>0</v>
      </c>
      <c r="H763" s="33" t="n">
        <v>650</v>
      </c>
      <c r="I763" s="33" t="inlineStr">
        <is>
          <t>us</t>
        </is>
      </c>
      <c r="J763" s="33" t="n">
        <v>316</v>
      </c>
      <c r="K763" s="33" t="n">
        <v>0</v>
      </c>
      <c r="L763" s="33" t="n">
        <v>0</v>
      </c>
      <c r="M763" s="33" t="inlineStr">
        <is>
          <t>mwc</t>
        </is>
      </c>
      <c r="N763" s="33" t="n">
        <v>24</v>
      </c>
      <c r="O763" s="33" t="n">
        <v>13.626</v>
      </c>
      <c r="P763" s="33" t="n">
        <v>-90.774</v>
      </c>
      <c r="Q763" s="33" t="inlineStr">
        <is>
          <t>Puerto San José, Guatemala</t>
        </is>
      </c>
      <c r="T763" s="36">
        <f>DATE(MID(C763,7,4),MID(C763,4,2),MID(C763,1,2))+TIME(MID(C763,12,2),MID(C763,15,2),0)</f>
        <v/>
      </c>
      <c r="U763" s="33">
        <f>IF(ISNUMBER(VALUE(MID(A763,7,1))),"Distance-prefix pattern","Named-region pattern")</f>
        <v/>
      </c>
      <c r="V763" s="33">
        <f>LOWER(M763)</f>
        <v/>
      </c>
      <c r="W763" s="33">
        <f>IF(COUNTIFS($A$2:$A$1001,A763,$C$2:$C$1001,C763)&gt;1,"Duplicate","Unique")</f>
        <v/>
      </c>
      <c r="X763" s="33">
        <f>YEAR(T763)</f>
        <v/>
      </c>
      <c r="Y763" s="33">
        <f>IF(B763&lt;6.5,"&lt;6.5",IF(B763&lt;7,"6.5–6.9",IF(B763&lt;7.5,"7.0–7.4",IF(B763&lt;8,"7.5–7.9","8.0+"))))</f>
        <v/>
      </c>
      <c r="Z763" s="33">
        <f>IF(F763="","Blank",F763)</f>
        <v/>
      </c>
    </row>
    <row r="764" ht="15" customHeight="1" s="34">
      <c r="A764" s="33" t="inlineStr">
        <is>
          <t>M 7.3 - 126 km W of Kirakira, Solomon Islands</t>
        </is>
      </c>
      <c r="B764" s="33" t="n">
        <v>7.3</v>
      </c>
      <c r="C764" s="33" t="inlineStr">
        <is>
          <t>20/01/2003 08:43</t>
        </is>
      </c>
      <c r="D764" s="33" t="n">
        <v>0</v>
      </c>
      <c r="E764" s="33" t="n">
        <v>6</v>
      </c>
      <c r="G764" s="33" t="n">
        <v>0</v>
      </c>
      <c r="H764" s="33" t="n">
        <v>820</v>
      </c>
      <c r="I764" s="33" t="inlineStr">
        <is>
          <t>us</t>
        </is>
      </c>
      <c r="J764" s="33" t="n">
        <v>457</v>
      </c>
      <c r="K764" s="33" t="n">
        <v>0</v>
      </c>
      <c r="L764" s="33" t="n">
        <v>0</v>
      </c>
      <c r="M764" s="33" t="inlineStr">
        <is>
          <t>mwc</t>
        </is>
      </c>
      <c r="N764" s="33" t="n">
        <v>33</v>
      </c>
      <c r="O764" s="33" t="n">
        <v>-10.491</v>
      </c>
      <c r="P764" s="33" t="n">
        <v>160.77</v>
      </c>
      <c r="Q764" s="33" t="inlineStr">
        <is>
          <t>Kirakira, Solomon Islands</t>
        </is>
      </c>
      <c r="T764" s="36">
        <f>DATE(MID(C764,7,4),MID(C764,4,2),MID(C764,1,2))+TIME(MID(C764,12,2),MID(C764,15,2),0)</f>
        <v/>
      </c>
      <c r="U764" s="33">
        <f>IF(ISNUMBER(VALUE(MID(A764,7,1))),"Distance-prefix pattern","Named-region pattern")</f>
        <v/>
      </c>
      <c r="V764" s="33">
        <f>LOWER(M764)</f>
        <v/>
      </c>
      <c r="W764" s="33">
        <f>IF(COUNTIFS($A$2:$A$1001,A764,$C$2:$C$1001,C764)&gt;1,"Duplicate","Unique")</f>
        <v/>
      </c>
      <c r="X764" s="33">
        <f>YEAR(T764)</f>
        <v/>
      </c>
      <c r="Y764" s="33">
        <f>IF(B764&lt;6.5,"&lt;6.5",IF(B764&lt;7,"6.5–6.9",IF(B764&lt;7.5,"7.0–7.4",IF(B764&lt;8,"7.5–7.9","8.0+"))))</f>
        <v/>
      </c>
      <c r="Z764" s="33">
        <f>IF(F764="","Blank",F764)</f>
        <v/>
      </c>
    </row>
    <row r="765" ht="15" customHeight="1" s="34">
      <c r="A765" s="33" t="inlineStr">
        <is>
          <t>M 6.7 - 191 km SE of Kokopo, Papua New Guinea</t>
        </is>
      </c>
      <c r="B765" s="33" t="n">
        <v>6.7</v>
      </c>
      <c r="C765" s="33" t="inlineStr">
        <is>
          <t>10/01/2003 13:11</t>
        </is>
      </c>
      <c r="D765" s="33" t="n">
        <v>0</v>
      </c>
      <c r="E765" s="33" t="n">
        <v>5</v>
      </c>
      <c r="G765" s="33" t="n">
        <v>0</v>
      </c>
      <c r="H765" s="33" t="n">
        <v>691</v>
      </c>
      <c r="I765" s="33" t="inlineStr">
        <is>
          <t>us</t>
        </is>
      </c>
      <c r="J765" s="33" t="n">
        <v>323</v>
      </c>
      <c r="K765" s="33" t="n">
        <v>0</v>
      </c>
      <c r="L765" s="33" t="n">
        <v>0</v>
      </c>
      <c r="M765" s="33" t="inlineStr">
        <is>
          <t>mwb</t>
        </is>
      </c>
      <c r="N765" s="33" t="n">
        <v>71.90000000000001</v>
      </c>
      <c r="O765" s="33" t="n">
        <v>-5.311</v>
      </c>
      <c r="P765" s="33" t="n">
        <v>153.701</v>
      </c>
      <c r="Q765" s="33" t="inlineStr">
        <is>
          <t>Kokopo, Papua New Guinea</t>
        </is>
      </c>
      <c r="T765" s="36">
        <f>DATE(MID(C765,7,4),MID(C765,4,2),MID(C765,1,2))+TIME(MID(C765,12,2),MID(C765,15,2),0)</f>
        <v/>
      </c>
      <c r="U765" s="33">
        <f>IF(ISNUMBER(VALUE(MID(A765,7,1))),"Distance-prefix pattern","Named-region pattern")</f>
        <v/>
      </c>
      <c r="V765" s="33">
        <f>LOWER(M765)</f>
        <v/>
      </c>
      <c r="W765" s="33">
        <f>IF(COUNTIFS($A$2:$A$1001,A765,$C$2:$C$1001,C765)&gt;1,"Duplicate","Unique")</f>
        <v/>
      </c>
      <c r="X765" s="33">
        <f>YEAR(T765)</f>
        <v/>
      </c>
      <c r="Y765" s="33">
        <f>IF(B765&lt;6.5,"&lt;6.5",IF(B765&lt;7,"6.5–6.9",IF(B765&lt;7.5,"7.0–7.4",IF(B765&lt;8,"7.5–7.9","8.0+"))))</f>
        <v/>
      </c>
      <c r="Z765" s="33">
        <f>IF(F765="","Blank",F765)</f>
        <v/>
      </c>
    </row>
    <row r="766" ht="15" customHeight="1" s="34">
      <c r="A766" s="33" t="inlineStr">
        <is>
          <t>M 6.7 - New Ireland region, Papua New Guinea</t>
        </is>
      </c>
      <c r="B766" s="33" t="n">
        <v>6.7</v>
      </c>
      <c r="C766" s="33" t="inlineStr">
        <is>
          <t>12/12/2002 08:30</t>
        </is>
      </c>
      <c r="D766" s="33" t="n">
        <v>0</v>
      </c>
      <c r="E766" s="33" t="n">
        <v>6</v>
      </c>
      <c r="G766" s="33" t="n">
        <v>0</v>
      </c>
      <c r="H766" s="33" t="n">
        <v>691</v>
      </c>
      <c r="I766" s="33" t="inlineStr">
        <is>
          <t>us</t>
        </is>
      </c>
      <c r="J766" s="33" t="n">
        <v>453</v>
      </c>
      <c r="K766" s="33" t="n">
        <v>0</v>
      </c>
      <c r="L766" s="33" t="n">
        <v>0</v>
      </c>
      <c r="M766" s="33" t="inlineStr">
        <is>
          <t>mwb</t>
        </is>
      </c>
      <c r="N766" s="33" t="n">
        <v>34</v>
      </c>
      <c r="O766" s="33" t="n">
        <v>-4.786</v>
      </c>
      <c r="P766" s="33" t="n">
        <v>153.275</v>
      </c>
      <c r="Q766" s="33" t="inlineStr">
        <is>
          <t>New Ireland region, Papua New Guinea</t>
        </is>
      </c>
      <c r="S766" s="33" t="inlineStr">
        <is>
          <t>Papua New Guinea</t>
        </is>
      </c>
      <c r="T766" s="36">
        <f>DATE(MID(C766,7,4),MID(C766,4,2),MID(C766,1,2))+TIME(MID(C766,12,2),MID(C766,15,2),0)</f>
        <v/>
      </c>
      <c r="U766" s="33">
        <f>IF(ISNUMBER(VALUE(MID(A766,7,1))),"Distance-prefix pattern","Named-region pattern")</f>
        <v/>
      </c>
      <c r="V766" s="33">
        <f>LOWER(M766)</f>
        <v/>
      </c>
      <c r="W766" s="33">
        <f>IF(COUNTIFS($A$2:$A$1001,A766,$C$2:$C$1001,C766)&gt;1,"Duplicate","Unique")</f>
        <v/>
      </c>
      <c r="X766" s="33">
        <f>YEAR(T766)</f>
        <v/>
      </c>
      <c r="Y766" s="33">
        <f>IF(B766&lt;6.5,"&lt;6.5",IF(B766&lt;7,"6.5–6.9",IF(B766&lt;7.5,"7.0–7.4",IF(B766&lt;8,"7.5–7.9","8.0+"))))</f>
        <v/>
      </c>
      <c r="Z766" s="33">
        <f>IF(F766="","Blank",F766)</f>
        <v/>
      </c>
    </row>
    <row r="767" ht="15" customHeight="1" s="34">
      <c r="A767" s="33" t="inlineStr">
        <is>
          <t>M 7.9 - 75 km E of Cantwell, Alaska</t>
        </is>
      </c>
      <c r="B767" s="33" t="n">
        <v>7.9</v>
      </c>
      <c r="C767" s="33" t="inlineStr">
        <is>
          <t>03/11/2002 22:12</t>
        </is>
      </c>
      <c r="D767" s="33" t="n">
        <v>8</v>
      </c>
      <c r="E767" s="33" t="n">
        <v>9</v>
      </c>
      <c r="G767" s="33" t="n">
        <v>0</v>
      </c>
      <c r="H767" s="33" t="n">
        <v>1750</v>
      </c>
      <c r="I767" s="33" t="inlineStr">
        <is>
          <t>ak</t>
        </is>
      </c>
      <c r="J767" s="33" t="n">
        <v>0</v>
      </c>
      <c r="K767" s="33" t="n">
        <v>0</v>
      </c>
      <c r="L767" s="33" t="n">
        <v>0</v>
      </c>
      <c r="M767" s="33" t="inlineStr">
        <is>
          <t>mw</t>
        </is>
      </c>
      <c r="N767" s="33" t="n">
        <v>4.2</v>
      </c>
      <c r="O767" s="33" t="n">
        <v>63.5141</v>
      </c>
      <c r="P767" s="33" t="n">
        <v>-147.453</v>
      </c>
      <c r="Q767" s="33" t="inlineStr">
        <is>
          <t>Cantwell, Alaska</t>
        </is>
      </c>
      <c r="R767" s="33" t="inlineStr">
        <is>
          <t>North America</t>
        </is>
      </c>
      <c r="S767" s="33" t="inlineStr">
        <is>
          <t>United States of America</t>
        </is>
      </c>
      <c r="T767" s="36">
        <f>DATE(MID(C767,7,4),MID(C767,4,2),MID(C767,1,2))+TIME(MID(C767,12,2),MID(C767,15,2),0)</f>
        <v/>
      </c>
      <c r="U767" s="33">
        <f>IF(ISNUMBER(VALUE(MID(A767,7,1))),"Distance-prefix pattern","Named-region pattern")</f>
        <v/>
      </c>
      <c r="V767" s="33">
        <f>LOWER(M767)</f>
        <v/>
      </c>
      <c r="W767" s="33">
        <f>IF(COUNTIFS($A$2:$A$1001,A767,$C$2:$C$1001,C767)&gt;1,"Duplicate","Unique")</f>
        <v/>
      </c>
      <c r="X767" s="33">
        <f>YEAR(T767)</f>
        <v/>
      </c>
      <c r="Y767" s="33">
        <f>IF(B767&lt;6.5,"&lt;6.5",IF(B767&lt;7,"6.5–6.9",IF(B767&lt;7.5,"7.0–7.4",IF(B767&lt;8,"7.5–7.9","8.0+"))))</f>
        <v/>
      </c>
      <c r="Z767" s="33">
        <f>IF(F767="","Blank",F767)</f>
        <v/>
      </c>
    </row>
    <row r="768" ht="15" customHeight="1" s="34">
      <c r="A768" s="33" t="inlineStr">
        <is>
          <t>M 7.4 - 50 km NW of Sinabang, Indonesia</t>
        </is>
      </c>
      <c r="B768" s="33" t="n">
        <v>7.4</v>
      </c>
      <c r="C768" s="33" t="inlineStr">
        <is>
          <t>02/11/2002 01:26</t>
        </is>
      </c>
      <c r="D768" s="33" t="n">
        <v>0</v>
      </c>
      <c r="E768" s="33" t="n">
        <v>7</v>
      </c>
      <c r="G768" s="33" t="n">
        <v>0</v>
      </c>
      <c r="H768" s="33" t="n">
        <v>842</v>
      </c>
      <c r="I768" s="33" t="inlineStr">
        <is>
          <t>us</t>
        </is>
      </c>
      <c r="J768" s="33" t="n">
        <v>418</v>
      </c>
      <c r="K768" s="33" t="n">
        <v>0</v>
      </c>
      <c r="L768" s="33" t="n">
        <v>0</v>
      </c>
      <c r="M768" s="33" t="inlineStr">
        <is>
          <t>mwb</t>
        </is>
      </c>
      <c r="N768" s="33" t="n">
        <v>30</v>
      </c>
      <c r="O768" s="33" t="n">
        <v>2.824</v>
      </c>
      <c r="P768" s="33" t="n">
        <v>96.08499999999999</v>
      </c>
      <c r="Q768" s="33" t="inlineStr">
        <is>
          <t>Sinabang, Indonesia</t>
        </is>
      </c>
      <c r="S768" s="33" t="inlineStr">
        <is>
          <t>Indonesia</t>
        </is>
      </c>
      <c r="T768" s="36">
        <f>DATE(MID(C768,7,4),MID(C768,4,2),MID(C768,1,2))+TIME(MID(C768,12,2),MID(C768,15,2),0)</f>
        <v/>
      </c>
      <c r="U768" s="33">
        <f>IF(ISNUMBER(VALUE(MID(A768,7,1))),"Distance-prefix pattern","Named-region pattern")</f>
        <v/>
      </c>
      <c r="V768" s="33">
        <f>LOWER(M768)</f>
        <v/>
      </c>
      <c r="W768" s="33">
        <f>IF(COUNTIFS($A$2:$A$1001,A768,$C$2:$C$1001,C768)&gt;1,"Duplicate","Unique")</f>
        <v/>
      </c>
      <c r="X768" s="33">
        <f>YEAR(T768)</f>
        <v/>
      </c>
      <c r="Y768" s="33">
        <f>IF(B768&lt;6.5,"&lt;6.5",IF(B768&lt;7,"6.5–6.9",IF(B768&lt;7.5,"7.0–7.4",IF(B768&lt;8,"7.5–7.9","8.0+"))))</f>
        <v/>
      </c>
      <c r="Z768" s="33">
        <f>IF(F768="","Blank",F768)</f>
        <v/>
      </c>
    </row>
    <row r="769" ht="15" customHeight="1" s="34">
      <c r="A769" s="33" t="inlineStr">
        <is>
          <t>M 6.6 - 53 km ENE of Cantwell, Alaska</t>
        </is>
      </c>
      <c r="B769" s="33" t="n">
        <v>6.6</v>
      </c>
      <c r="C769" s="33" t="inlineStr">
        <is>
          <t>23/10/2002 11:27</t>
        </is>
      </c>
      <c r="D769" s="33" t="n">
        <v>0</v>
      </c>
      <c r="E769" s="33" t="n">
        <v>7</v>
      </c>
      <c r="G769" s="33" t="n">
        <v>0</v>
      </c>
      <c r="H769" s="33" t="n">
        <v>670</v>
      </c>
      <c r="I769" s="33" t="inlineStr">
        <is>
          <t>ak</t>
        </is>
      </c>
      <c r="J769" s="33" t="n">
        <v>0</v>
      </c>
      <c r="K769" s="33" t="n">
        <v>0</v>
      </c>
      <c r="L769" s="33" t="n">
        <v>0</v>
      </c>
      <c r="M769" s="33" t="inlineStr">
        <is>
          <t>mw</t>
        </is>
      </c>
      <c r="N769" s="33" t="n">
        <v>4.2</v>
      </c>
      <c r="O769" s="33" t="n">
        <v>63.5144</v>
      </c>
      <c r="P769" s="33" t="n">
        <v>-147.912</v>
      </c>
      <c r="Q769" s="33" t="inlineStr">
        <is>
          <t>Cantwell, Alaska</t>
        </is>
      </c>
      <c r="R769" s="33" t="inlineStr">
        <is>
          <t>North America</t>
        </is>
      </c>
      <c r="S769" s="33" t="inlineStr">
        <is>
          <t>United States of America</t>
        </is>
      </c>
      <c r="T769" s="36">
        <f>DATE(MID(C769,7,4),MID(C769,4,2),MID(C769,1,2))+TIME(MID(C769,12,2),MID(C769,15,2),0)</f>
        <v/>
      </c>
      <c r="U769" s="33">
        <f>IF(ISNUMBER(VALUE(MID(A769,7,1))),"Distance-prefix pattern","Named-region pattern")</f>
        <v/>
      </c>
      <c r="V769" s="33">
        <f>LOWER(M769)</f>
        <v/>
      </c>
      <c r="W769" s="33">
        <f>IF(COUNTIFS($A$2:$A$1001,A769,$C$2:$C$1001,C769)&gt;1,"Duplicate","Unique")</f>
        <v/>
      </c>
      <c r="X769" s="33">
        <f>YEAR(T769)</f>
        <v/>
      </c>
      <c r="Y769" s="33">
        <f>IF(B769&lt;6.5,"&lt;6.5",IF(B769&lt;7,"6.5–6.9",IF(B769&lt;7.5,"7.0–7.4",IF(B769&lt;8,"7.5–7.9","8.0+"))))</f>
        <v/>
      </c>
      <c r="Z769" s="33">
        <f>IF(F769="","Blank",F769)</f>
        <v/>
      </c>
    </row>
    <row r="770" ht="15" customHeight="1" s="34">
      <c r="A770" s="33" t="inlineStr">
        <is>
          <t>M 6.7 - 72 km S of Manokwari, Indonesia</t>
        </is>
      </c>
      <c r="B770" s="33" t="n">
        <v>6.7</v>
      </c>
      <c r="C770" s="33" t="inlineStr">
        <is>
          <t>10/10/2002 12:28</t>
        </is>
      </c>
      <c r="D770" s="33" t="n">
        <v>0</v>
      </c>
      <c r="E770" s="33" t="n">
        <v>7</v>
      </c>
      <c r="G770" s="33" t="n">
        <v>0</v>
      </c>
      <c r="H770" s="33" t="n">
        <v>691</v>
      </c>
      <c r="I770" s="33" t="inlineStr">
        <is>
          <t>us</t>
        </is>
      </c>
      <c r="J770" s="33" t="n">
        <v>250</v>
      </c>
      <c r="K770" s="33" t="n">
        <v>0</v>
      </c>
      <c r="L770" s="33" t="n">
        <v>0</v>
      </c>
      <c r="M770" s="33" t="inlineStr">
        <is>
          <t>ms</t>
        </is>
      </c>
      <c r="N770" s="33" t="n">
        <v>10</v>
      </c>
      <c r="O770" s="33" t="n">
        <v>-1.511</v>
      </c>
      <c r="P770" s="33" t="n">
        <v>133.973</v>
      </c>
      <c r="Q770" s="33" t="inlineStr">
        <is>
          <t>Manokwari, Indonesia</t>
        </is>
      </c>
      <c r="S770" s="33" t="inlineStr">
        <is>
          <t>Indonesia</t>
        </is>
      </c>
      <c r="T770" s="36">
        <f>DATE(MID(C770,7,4),MID(C770,4,2),MID(C770,1,2))+TIME(MID(C770,12,2),MID(C770,15,2),0)</f>
        <v/>
      </c>
      <c r="U770" s="33">
        <f>IF(ISNUMBER(VALUE(MID(A770,7,1))),"Distance-prefix pattern","Named-region pattern")</f>
        <v/>
      </c>
      <c r="V770" s="33">
        <f>LOWER(M770)</f>
        <v/>
      </c>
      <c r="W770" s="33">
        <f>IF(COUNTIFS($A$2:$A$1001,A770,$C$2:$C$1001,C770)&gt;1,"Duplicate","Unique")</f>
        <v/>
      </c>
      <c r="X770" s="33">
        <f>YEAR(T770)</f>
        <v/>
      </c>
      <c r="Y770" s="33">
        <f>IF(B770&lt;6.5,"&lt;6.5",IF(B770&lt;7,"6.5–6.9",IF(B770&lt;7.5,"7.0–7.4",IF(B770&lt;8,"7.5–7.9","8.0+"))))</f>
        <v/>
      </c>
      <c r="Z770" s="33">
        <f>IF(F770="","Blank",F770)</f>
        <v/>
      </c>
    </row>
    <row r="771" ht="15" customHeight="1" s="34">
      <c r="A771" s="33" t="inlineStr">
        <is>
          <t>M 7.6 - 102 km SSE of Manokwari, Indonesia</t>
        </is>
      </c>
      <c r="B771" s="33" t="n">
        <v>7.6</v>
      </c>
      <c r="C771" s="33" t="inlineStr">
        <is>
          <t>10/10/2002 10:50</t>
        </is>
      </c>
      <c r="D771" s="33" t="n">
        <v>0</v>
      </c>
      <c r="E771" s="33" t="n">
        <v>7</v>
      </c>
      <c r="G771" s="33" t="n">
        <v>0</v>
      </c>
      <c r="H771" s="33" t="n">
        <v>889</v>
      </c>
      <c r="I771" s="33" t="inlineStr">
        <is>
          <t>us</t>
        </is>
      </c>
      <c r="J771" s="33" t="n">
        <v>375</v>
      </c>
      <c r="K771" s="33" t="n">
        <v>0</v>
      </c>
      <c r="L771" s="33" t="n">
        <v>0</v>
      </c>
      <c r="M771" s="33" t="inlineStr">
        <is>
          <t>mwc</t>
        </is>
      </c>
      <c r="N771" s="33" t="n">
        <v>10</v>
      </c>
      <c r="O771" s="33" t="n">
        <v>-1.757</v>
      </c>
      <c r="P771" s="33" t="n">
        <v>134.297</v>
      </c>
      <c r="Q771" s="33" t="inlineStr">
        <is>
          <t>Manokwari, Indonesia</t>
        </is>
      </c>
      <c r="S771" s="33" t="inlineStr">
        <is>
          <t>Indonesia</t>
        </is>
      </c>
      <c r="T771" s="36">
        <f>DATE(MID(C771,7,4),MID(C771,4,2),MID(C771,1,2))+TIME(MID(C771,12,2),MID(C771,15,2),0)</f>
        <v/>
      </c>
      <c r="U771" s="33">
        <f>IF(ISNUMBER(VALUE(MID(A771,7,1))),"Distance-prefix pattern","Named-region pattern")</f>
        <v/>
      </c>
      <c r="V771" s="33">
        <f>LOWER(M771)</f>
        <v/>
      </c>
      <c r="W771" s="33">
        <f>IF(COUNTIFS($A$2:$A$1001,A771,$C$2:$C$1001,C771)&gt;1,"Duplicate","Unique")</f>
        <v/>
      </c>
      <c r="X771" s="33">
        <f>YEAR(T771)</f>
        <v/>
      </c>
      <c r="Y771" s="33">
        <f>IF(B771&lt;6.5,"&lt;6.5",IF(B771&lt;7,"6.5–6.9",IF(B771&lt;7.5,"7.0–7.4",IF(B771&lt;8,"7.5–7.9","8.0+"))))</f>
        <v/>
      </c>
      <c r="Z771" s="33">
        <f>IF(F771="","Blank",F771)</f>
        <v/>
      </c>
    </row>
    <row r="772" ht="15" customHeight="1" s="34">
      <c r="A772" s="33" t="inlineStr">
        <is>
          <t>M 6.5 - 152 km NNE of Bamboo Flat, India</t>
        </is>
      </c>
      <c r="B772" s="33" t="n">
        <v>6.5</v>
      </c>
      <c r="C772" s="33" t="inlineStr">
        <is>
          <t>13/09/2002 22:28</t>
        </is>
      </c>
      <c r="D772" s="33" t="n">
        <v>0</v>
      </c>
      <c r="E772" s="33" t="n">
        <v>6</v>
      </c>
      <c r="G772" s="33" t="n">
        <v>0</v>
      </c>
      <c r="H772" s="33" t="n">
        <v>650</v>
      </c>
      <c r="I772" s="33" t="inlineStr">
        <is>
          <t>us</t>
        </is>
      </c>
      <c r="J772" s="33" t="n">
        <v>646</v>
      </c>
      <c r="K772" s="33" t="n">
        <v>0</v>
      </c>
      <c r="L772" s="33" t="n">
        <v>0</v>
      </c>
      <c r="M772" s="33" t="inlineStr">
        <is>
          <t>mwc</t>
        </is>
      </c>
      <c r="N772" s="33" t="n">
        <v>21</v>
      </c>
      <c r="O772" s="33" t="n">
        <v>13.036</v>
      </c>
      <c r="P772" s="33" t="n">
        <v>93.068</v>
      </c>
      <c r="Q772" s="33" t="inlineStr">
        <is>
          <t>Bamboo Flat, India</t>
        </is>
      </c>
      <c r="S772" s="33" t="inlineStr">
        <is>
          <t>India</t>
        </is>
      </c>
      <c r="T772" s="36">
        <f>DATE(MID(C772,7,4),MID(C772,4,2),MID(C772,1,2))+TIME(MID(C772,12,2),MID(C772,15,2),0)</f>
        <v/>
      </c>
      <c r="U772" s="33">
        <f>IF(ISNUMBER(VALUE(MID(A772,7,1))),"Distance-prefix pattern","Named-region pattern")</f>
        <v/>
      </c>
      <c r="V772" s="33">
        <f>LOWER(M772)</f>
        <v/>
      </c>
      <c r="W772" s="33">
        <f>IF(COUNTIFS($A$2:$A$1001,A772,$C$2:$C$1001,C772)&gt;1,"Duplicate","Unique")</f>
        <v/>
      </c>
      <c r="X772" s="33">
        <f>YEAR(T772)</f>
        <v/>
      </c>
      <c r="Y772" s="33">
        <f>IF(B772&lt;6.5,"&lt;6.5",IF(B772&lt;7,"6.5–6.9",IF(B772&lt;7.5,"7.0–7.4",IF(B772&lt;8,"7.5–7.9","8.0+"))))</f>
        <v/>
      </c>
      <c r="Z772" s="33">
        <f>IF(F772="","Blank",F772)</f>
        <v/>
      </c>
    </row>
    <row r="773" ht="15" customHeight="1" s="34">
      <c r="A773" s="33" t="inlineStr">
        <is>
          <t>M 7.6 - 68 km ESE of Aitape, Papua New Guinea</t>
        </is>
      </c>
      <c r="B773" s="33" t="n">
        <v>7.6</v>
      </c>
      <c r="C773" s="33" t="inlineStr">
        <is>
          <t>08/09/2002 18:44</t>
        </is>
      </c>
      <c r="D773" s="33" t="n">
        <v>0</v>
      </c>
      <c r="E773" s="33" t="n">
        <v>7</v>
      </c>
      <c r="G773" s="33" t="n">
        <v>0</v>
      </c>
      <c r="H773" s="33" t="n">
        <v>889</v>
      </c>
      <c r="I773" s="33" t="inlineStr">
        <is>
          <t>us</t>
        </is>
      </c>
      <c r="J773" s="33" t="n">
        <v>428</v>
      </c>
      <c r="K773" s="33" t="n">
        <v>0</v>
      </c>
      <c r="L773" s="33" t="n">
        <v>0</v>
      </c>
      <c r="M773" s="33" t="inlineStr">
        <is>
          <t>mwc</t>
        </is>
      </c>
      <c r="N773" s="33" t="n">
        <v>13</v>
      </c>
      <c r="O773" s="33" t="n">
        <v>-3.302</v>
      </c>
      <c r="P773" s="33" t="n">
        <v>142.945</v>
      </c>
      <c r="Q773" s="33" t="inlineStr">
        <is>
          <t>Aitape, Papua New Guinea</t>
        </is>
      </c>
      <c r="S773" s="33" t="inlineStr">
        <is>
          <t>Papua New Guinea</t>
        </is>
      </c>
      <c r="T773" s="36">
        <f>DATE(MID(C773,7,4),MID(C773,4,2),MID(C773,1,2))+TIME(MID(C773,12,2),MID(C773,15,2),0)</f>
        <v/>
      </c>
      <c r="U773" s="33">
        <f>IF(ISNUMBER(VALUE(MID(A773,7,1))),"Distance-prefix pattern","Named-region pattern")</f>
        <v/>
      </c>
      <c r="V773" s="33">
        <f>LOWER(M773)</f>
        <v/>
      </c>
      <c r="W773" s="33">
        <f>IF(COUNTIFS($A$2:$A$1001,A773,$C$2:$C$1001,C773)&gt;1,"Duplicate","Unique")</f>
        <v/>
      </c>
      <c r="X773" s="33">
        <f>YEAR(T773)</f>
        <v/>
      </c>
      <c r="Y773" s="33">
        <f>IF(B773&lt;6.5,"&lt;6.5",IF(B773&lt;7,"6.5–6.9",IF(B773&lt;7.5,"7.0–7.4",IF(B773&lt;8,"7.5–7.9","8.0+"))))</f>
        <v/>
      </c>
      <c r="Z773" s="33">
        <f>IF(F773="","Blank",F773)</f>
        <v/>
      </c>
    </row>
    <row r="774" ht="15" customHeight="1" s="34">
      <c r="A774" s="33" t="inlineStr">
        <is>
          <t>M 6.5 - 114 km SSE of San Jose Village, Northern Mariana Islands</t>
        </is>
      </c>
      <c r="B774" s="33" t="n">
        <v>6.5</v>
      </c>
      <c r="C774" s="33" t="inlineStr">
        <is>
          <t>14/08/2002 13:57</t>
        </is>
      </c>
      <c r="D774" s="33" t="n">
        <v>0</v>
      </c>
      <c r="E774" s="33" t="n">
        <v>4</v>
      </c>
      <c r="G774" s="33" t="n">
        <v>0</v>
      </c>
      <c r="H774" s="33" t="n">
        <v>650</v>
      </c>
      <c r="I774" s="33" t="inlineStr">
        <is>
          <t>us</t>
        </is>
      </c>
      <c r="J774" s="33" t="n">
        <v>260</v>
      </c>
      <c r="K774" s="33" t="n">
        <v>0</v>
      </c>
      <c r="L774" s="33" t="n">
        <v>0</v>
      </c>
      <c r="M774" s="33" t="inlineStr">
        <is>
          <t>mwc</t>
        </is>
      </c>
      <c r="N774" s="33" t="n">
        <v>30</v>
      </c>
      <c r="O774" s="33" t="n">
        <v>14.101</v>
      </c>
      <c r="P774" s="33" t="n">
        <v>146.199</v>
      </c>
      <c r="Q774" s="33" t="inlineStr">
        <is>
          <t>San Jose Village, Northern Mariana Islands</t>
        </is>
      </c>
      <c r="T774" s="36">
        <f>DATE(MID(C774,7,4),MID(C774,4,2),MID(C774,1,2))+TIME(MID(C774,12,2),MID(C774,15,2),0)</f>
        <v/>
      </c>
      <c r="U774" s="33">
        <f>IF(ISNUMBER(VALUE(MID(A774,7,1))),"Distance-prefix pattern","Named-region pattern")</f>
        <v/>
      </c>
      <c r="V774" s="33">
        <f>LOWER(M774)</f>
        <v/>
      </c>
      <c r="W774" s="33">
        <f>IF(COUNTIFS($A$2:$A$1001,A774,$C$2:$C$1001,C774)&gt;1,"Duplicate","Unique")</f>
        <v/>
      </c>
      <c r="X774" s="33">
        <f>YEAR(T774)</f>
        <v/>
      </c>
      <c r="Y774" s="33">
        <f>IF(B774&lt;6.5,"&lt;6.5",IF(B774&lt;7,"6.5–6.9",IF(B774&lt;7.5,"7.0–7.4",IF(B774&lt;8,"7.5–7.9","8.0+"))))</f>
        <v/>
      </c>
      <c r="Z774" s="33">
        <f>IF(F774="","Blank",F774)</f>
        <v/>
      </c>
    </row>
    <row r="775" ht="15" customHeight="1" s="34">
      <c r="A775" s="33" t="inlineStr">
        <is>
          <t>M 6.5 - 14 km SE of Punta de Burica, Panama</t>
        </is>
      </c>
      <c r="B775" s="33" t="n">
        <v>6.5</v>
      </c>
      <c r="C775" s="33" t="inlineStr">
        <is>
          <t>31/07/2002 00:16</t>
        </is>
      </c>
      <c r="D775" s="33" t="n">
        <v>0</v>
      </c>
      <c r="E775" s="33" t="n">
        <v>7</v>
      </c>
      <c r="G775" s="33" t="n">
        <v>0</v>
      </c>
      <c r="H775" s="33" t="n">
        <v>650</v>
      </c>
      <c r="I775" s="33" t="inlineStr">
        <is>
          <t>us</t>
        </is>
      </c>
      <c r="J775" s="33" t="n">
        <v>533</v>
      </c>
      <c r="K775" s="33" t="n">
        <v>0</v>
      </c>
      <c r="L775" s="33" t="n">
        <v>0</v>
      </c>
      <c r="M775" s="33" t="inlineStr">
        <is>
          <t>mwc</t>
        </is>
      </c>
      <c r="N775" s="33" t="n">
        <v>10</v>
      </c>
      <c r="O775" s="33" t="n">
        <v>7.929</v>
      </c>
      <c r="P775" s="33" t="n">
        <v>-82.79300000000001</v>
      </c>
      <c r="Q775" s="33" t="inlineStr">
        <is>
          <t>Punta de Burica, Panama</t>
        </is>
      </c>
      <c r="S775" s="33" t="inlineStr">
        <is>
          <t>Panama</t>
        </is>
      </c>
      <c r="T775" s="36">
        <f>DATE(MID(C775,7,4),MID(C775,4,2),MID(C775,1,2))+TIME(MID(C775,12,2),MID(C775,15,2),0)</f>
        <v/>
      </c>
      <c r="U775" s="33">
        <f>IF(ISNUMBER(VALUE(MID(A775,7,1))),"Distance-prefix pattern","Named-region pattern")</f>
        <v/>
      </c>
      <c r="V775" s="33">
        <f>LOWER(M775)</f>
        <v/>
      </c>
      <c r="W775" s="33">
        <f>IF(COUNTIFS($A$2:$A$1001,A775,$C$2:$C$1001,C775)&gt;1,"Duplicate","Unique")</f>
        <v/>
      </c>
      <c r="X775" s="33">
        <f>YEAR(T775)</f>
        <v/>
      </c>
      <c r="Y775" s="33">
        <f>IF(B775&lt;6.5,"&lt;6.5",IF(B775&lt;7,"6.5–6.9",IF(B775&lt;7.5,"7.0–7.4",IF(B775&lt;8,"7.5–7.9","8.0+"))))</f>
        <v/>
      </c>
      <c r="Z775" s="33">
        <f>IF(F775="","Blank",F775)</f>
        <v/>
      </c>
    </row>
    <row r="776" ht="15" customHeight="1" s="34">
      <c r="A776" s="33" t="inlineStr">
        <is>
          <t>M 6.5 - 59 km SSW of Abhar, Iran</t>
        </is>
      </c>
      <c r="B776" s="33" t="n">
        <v>6.5</v>
      </c>
      <c r="C776" s="33" t="inlineStr">
        <is>
          <t>22/06/2002 02:58</t>
        </is>
      </c>
      <c r="D776" s="33" t="n">
        <v>0</v>
      </c>
      <c r="E776" s="33" t="n">
        <v>8</v>
      </c>
      <c r="G776" s="33" t="n">
        <v>0</v>
      </c>
      <c r="H776" s="33" t="n">
        <v>650</v>
      </c>
      <c r="I776" s="33" t="inlineStr">
        <is>
          <t>us</t>
        </is>
      </c>
      <c r="J776" s="33" t="n">
        <v>555</v>
      </c>
      <c r="K776" s="33" t="n">
        <v>0</v>
      </c>
      <c r="L776" s="33" t="n">
        <v>0</v>
      </c>
      <c r="M776" s="33" t="inlineStr">
        <is>
          <t>mwc</t>
        </is>
      </c>
      <c r="N776" s="33" t="n">
        <v>10</v>
      </c>
      <c r="O776" s="33" t="n">
        <v>35.626</v>
      </c>
      <c r="P776" s="33" t="n">
        <v>49.047</v>
      </c>
      <c r="Q776" s="33" t="inlineStr">
        <is>
          <t>Abhar, Iran</t>
        </is>
      </c>
      <c r="R776" s="33" t="inlineStr">
        <is>
          <t>Asia</t>
        </is>
      </c>
      <c r="S776" s="33" t="inlineStr">
        <is>
          <t>Iran</t>
        </is>
      </c>
      <c r="T776" s="36">
        <f>DATE(MID(C776,7,4),MID(C776,4,2),MID(C776,1,2))+TIME(MID(C776,12,2),MID(C776,15,2),0)</f>
        <v/>
      </c>
      <c r="U776" s="33">
        <f>IF(ISNUMBER(VALUE(MID(A776,7,1))),"Distance-prefix pattern","Named-region pattern")</f>
        <v/>
      </c>
      <c r="V776" s="33">
        <f>LOWER(M776)</f>
        <v/>
      </c>
      <c r="W776" s="33">
        <f>IF(COUNTIFS($A$2:$A$1001,A776,$C$2:$C$1001,C776)&gt;1,"Duplicate","Unique")</f>
        <v/>
      </c>
      <c r="X776" s="33">
        <f>YEAR(T776)</f>
        <v/>
      </c>
      <c r="Y776" s="33">
        <f>IF(B776&lt;6.5,"&lt;6.5",IF(B776&lt;7,"6.5–6.9",IF(B776&lt;7.5,"7.0–7.4",IF(B776&lt;8,"7.5–7.9","8.0+"))))</f>
        <v/>
      </c>
      <c r="Z776" s="33">
        <f>IF(F776="","Blank",F776)</f>
        <v/>
      </c>
    </row>
    <row r="777" ht="15" customHeight="1" s="34">
      <c r="A777" s="33" t="inlineStr">
        <is>
          <t>M 6.6 - 20 km SW of Monte Patria, Chile</t>
        </is>
      </c>
      <c r="B777" s="33" t="n">
        <v>6.6</v>
      </c>
      <c r="C777" s="33" t="inlineStr">
        <is>
          <t>18/06/2002 13:56</t>
        </is>
      </c>
      <c r="D777" s="33" t="n">
        <v>0</v>
      </c>
      <c r="E777" s="33" t="n">
        <v>7</v>
      </c>
      <c r="G777" s="33" t="n">
        <v>0</v>
      </c>
      <c r="H777" s="33" t="n">
        <v>670</v>
      </c>
      <c r="I777" s="33" t="inlineStr">
        <is>
          <t>us</t>
        </is>
      </c>
      <c r="J777" s="33" t="n">
        <v>420</v>
      </c>
      <c r="K777" s="33" t="n">
        <v>0</v>
      </c>
      <c r="L777" s="33" t="n">
        <v>0</v>
      </c>
      <c r="M777" s="33" t="inlineStr">
        <is>
          <t>mwb</t>
        </is>
      </c>
      <c r="N777" s="33" t="n">
        <v>54</v>
      </c>
      <c r="O777" s="33" t="n">
        <v>-30.805</v>
      </c>
      <c r="P777" s="33" t="n">
        <v>-71.124</v>
      </c>
      <c r="Q777" s="33" t="inlineStr">
        <is>
          <t>Monte Patria, Chile</t>
        </is>
      </c>
      <c r="R777" s="33" t="inlineStr">
        <is>
          <t>South America</t>
        </is>
      </c>
      <c r="S777" s="33" t="inlineStr">
        <is>
          <t>Chile</t>
        </is>
      </c>
      <c r="T777" s="36">
        <f>DATE(MID(C777,7,4),MID(C777,4,2),MID(C777,1,2))+TIME(MID(C777,12,2),MID(C777,15,2),0)</f>
        <v/>
      </c>
      <c r="U777" s="33">
        <f>IF(ISNUMBER(VALUE(MID(A777,7,1))),"Distance-prefix pattern","Named-region pattern")</f>
        <v/>
      </c>
      <c r="V777" s="33">
        <f>LOWER(M777)</f>
        <v/>
      </c>
      <c r="W777" s="33">
        <f>IF(COUNTIFS($A$2:$A$1001,A777,$C$2:$C$1001,C777)&gt;1,"Duplicate","Unique")</f>
        <v/>
      </c>
      <c r="X777" s="33">
        <f>YEAR(T777)</f>
        <v/>
      </c>
      <c r="Y777" s="33">
        <f>IF(B777&lt;6.5,"&lt;6.5",IF(B777&lt;7,"6.5–6.9",IF(B777&lt;7.5,"7.0–7.4",IF(B777&lt;8,"7.5–7.9","8.0+"))))</f>
        <v/>
      </c>
      <c r="Z777" s="33">
        <f>IF(F777="","Blank",F777)</f>
        <v/>
      </c>
    </row>
    <row r="778" ht="15" customHeight="1" s="34">
      <c r="A778" s="33" t="inlineStr">
        <is>
          <t>M 6.7 - 190 km NW of Sola, Vanuatu</t>
        </is>
      </c>
      <c r="B778" s="33" t="n">
        <v>6.7</v>
      </c>
      <c r="C778" s="33" t="inlineStr">
        <is>
          <t>17/06/2002 21:26</t>
        </is>
      </c>
      <c r="D778" s="33" t="n">
        <v>0</v>
      </c>
      <c r="E778" s="33" t="n">
        <v>5</v>
      </c>
      <c r="G778" s="33" t="n">
        <v>0</v>
      </c>
      <c r="H778" s="33" t="n">
        <v>691</v>
      </c>
      <c r="I778" s="33" t="inlineStr">
        <is>
          <t>us</t>
        </is>
      </c>
      <c r="J778" s="33" t="n">
        <v>272</v>
      </c>
      <c r="K778" s="33" t="n">
        <v>0</v>
      </c>
      <c r="L778" s="33" t="n">
        <v>0</v>
      </c>
      <c r="M778" s="33" t="inlineStr">
        <is>
          <t>mwc</t>
        </is>
      </c>
      <c r="N778" s="33" t="n">
        <v>33</v>
      </c>
      <c r="O778" s="33" t="n">
        <v>-12.592</v>
      </c>
      <c r="P778" s="33" t="n">
        <v>166.383</v>
      </c>
      <c r="Q778" s="33" t="inlineStr">
        <is>
          <t>Sola, Vanuatu</t>
        </is>
      </c>
      <c r="T778" s="36">
        <f>DATE(MID(C778,7,4),MID(C778,4,2),MID(C778,1,2))+TIME(MID(C778,12,2),MID(C778,15,2),0)</f>
        <v/>
      </c>
      <c r="U778" s="33">
        <f>IF(ISNUMBER(VALUE(MID(A778,7,1))),"Distance-prefix pattern","Named-region pattern")</f>
        <v/>
      </c>
      <c r="V778" s="33">
        <f>LOWER(M778)</f>
        <v/>
      </c>
      <c r="W778" s="33">
        <f>IF(COUNTIFS($A$2:$A$1001,A778,$C$2:$C$1001,C778)&gt;1,"Duplicate","Unique")</f>
        <v/>
      </c>
      <c r="X778" s="33">
        <f>YEAR(T778)</f>
        <v/>
      </c>
      <c r="Y778" s="33">
        <f>IF(B778&lt;6.5,"&lt;6.5",IF(B778&lt;7,"6.5–6.9",IF(B778&lt;7.5,"7.0–7.4",IF(B778&lt;8,"7.5–7.9","8.0+"))))</f>
        <v/>
      </c>
      <c r="Z778" s="33">
        <f>IF(F778="","Blank",F778)</f>
        <v/>
      </c>
    </row>
    <row r="779" ht="15" customHeight="1" s="34">
      <c r="A779" s="33" t="inlineStr">
        <is>
          <t>M 7.1 - 20 km SSW of Merizo Village, Guam</t>
        </is>
      </c>
      <c r="B779" s="33" t="n">
        <v>7.1</v>
      </c>
      <c r="C779" s="33" t="inlineStr">
        <is>
          <t>26/04/2002 16:06</t>
        </is>
      </c>
      <c r="D779" s="33" t="n">
        <v>0</v>
      </c>
      <c r="E779" s="33" t="n">
        <v>7</v>
      </c>
      <c r="G779" s="33" t="n">
        <v>0</v>
      </c>
      <c r="H779" s="33" t="n">
        <v>776</v>
      </c>
      <c r="I779" s="33" t="inlineStr">
        <is>
          <t>us</t>
        </is>
      </c>
      <c r="J779" s="33" t="n">
        <v>257</v>
      </c>
      <c r="K779" s="33" t="n">
        <v>0</v>
      </c>
      <c r="L779" s="33" t="n">
        <v>0</v>
      </c>
      <c r="M779" s="33" t="inlineStr">
        <is>
          <t>mwc</t>
        </is>
      </c>
      <c r="N779" s="33" t="n">
        <v>85.7</v>
      </c>
      <c r="O779" s="33" t="n">
        <v>13.088</v>
      </c>
      <c r="P779" s="33" t="n">
        <v>144.619</v>
      </c>
      <c r="Q779" s="33" t="inlineStr">
        <is>
          <t>Merizo Village, Guam</t>
        </is>
      </c>
      <c r="S779" s="33" t="inlineStr">
        <is>
          <t>United States of America</t>
        </is>
      </c>
      <c r="T779" s="36">
        <f>DATE(MID(C779,7,4),MID(C779,4,2),MID(C779,1,2))+TIME(MID(C779,12,2),MID(C779,15,2),0)</f>
        <v/>
      </c>
      <c r="U779" s="33">
        <f>IF(ISNUMBER(VALUE(MID(A779,7,1))),"Distance-prefix pattern","Named-region pattern")</f>
        <v/>
      </c>
      <c r="V779" s="33">
        <f>LOWER(M779)</f>
        <v/>
      </c>
      <c r="W779" s="33">
        <f>IF(COUNTIFS($A$2:$A$1001,A779,$C$2:$C$1001,C779)&gt;1,"Duplicate","Unique")</f>
        <v/>
      </c>
      <c r="X779" s="33">
        <f>YEAR(T779)</f>
        <v/>
      </c>
      <c r="Y779" s="33">
        <f>IF(B779&lt;6.5,"&lt;6.5",IF(B779&lt;7,"6.5–6.9",IF(B779&lt;7.5,"7.0–7.4",IF(B779&lt;8,"7.5–7.9","8.0+"))))</f>
        <v/>
      </c>
      <c r="Z779" s="33">
        <f>IF(F779="","Blank",F779)</f>
        <v/>
      </c>
    </row>
    <row r="780" ht="15" customHeight="1" s="34">
      <c r="A780" s="33" t="inlineStr">
        <is>
          <t>M 6.7 - 31 km SW of Copiapó, Chile</t>
        </is>
      </c>
      <c r="B780" s="33" t="n">
        <v>6.7</v>
      </c>
      <c r="C780" s="33" t="inlineStr">
        <is>
          <t>18/04/2002 16:08</t>
        </is>
      </c>
      <c r="D780" s="33" t="n">
        <v>0</v>
      </c>
      <c r="E780" s="33" t="n">
        <v>7</v>
      </c>
      <c r="G780" s="33" t="n">
        <v>0</v>
      </c>
      <c r="H780" s="33" t="n">
        <v>691</v>
      </c>
      <c r="I780" s="33" t="inlineStr">
        <is>
          <t>us</t>
        </is>
      </c>
      <c r="J780" s="33" t="n">
        <v>462</v>
      </c>
      <c r="K780" s="33" t="n">
        <v>0</v>
      </c>
      <c r="L780" s="33" t="n">
        <v>0</v>
      </c>
      <c r="M780" s="33" t="inlineStr">
        <is>
          <t>mwb</t>
        </is>
      </c>
      <c r="N780" s="33" t="n">
        <v>62</v>
      </c>
      <c r="O780" s="33" t="n">
        <v>-27.535</v>
      </c>
      <c r="P780" s="33" t="n">
        <v>-70.586</v>
      </c>
      <c r="Q780" s="33" t="inlineStr">
        <is>
          <t>Copiapó, Chile</t>
        </is>
      </c>
      <c r="R780" s="33" t="inlineStr">
        <is>
          <t>South America</t>
        </is>
      </c>
      <c r="S780" s="33" t="inlineStr">
        <is>
          <t>Chile</t>
        </is>
      </c>
      <c r="T780" s="36">
        <f>DATE(MID(C780,7,4),MID(C780,4,2),MID(C780,1,2))+TIME(MID(C780,12,2),MID(C780,15,2),0)</f>
        <v/>
      </c>
      <c r="U780" s="33">
        <f>IF(ISNUMBER(VALUE(MID(A780,7,1))),"Distance-prefix pattern","Named-region pattern")</f>
        <v/>
      </c>
      <c r="V780" s="33">
        <f>LOWER(M780)</f>
        <v/>
      </c>
      <c r="W780" s="33">
        <f>IF(COUNTIFS($A$2:$A$1001,A780,$C$2:$C$1001,C780)&gt;1,"Duplicate","Unique")</f>
        <v/>
      </c>
      <c r="X780" s="33">
        <f>YEAR(T780)</f>
        <v/>
      </c>
      <c r="Y780" s="33">
        <f>IF(B780&lt;6.5,"&lt;6.5",IF(B780&lt;7,"6.5–6.9",IF(B780&lt;7.5,"7.0–7.4",IF(B780&lt;8,"7.5–7.9","8.0+"))))</f>
        <v/>
      </c>
      <c r="Z780" s="33">
        <f>IF(F780="","Blank",F780)</f>
        <v/>
      </c>
    </row>
    <row r="781" ht="15" customHeight="1" s="34">
      <c r="A781" s="33" t="inlineStr">
        <is>
          <t>M 6.8 - 27 km SSW of Nuxco, Mexico</t>
        </is>
      </c>
      <c r="B781" s="33" t="n">
        <v>6.8</v>
      </c>
      <c r="C781" s="33" t="inlineStr">
        <is>
          <t>18/04/2002 05:02</t>
        </is>
      </c>
      <c r="D781" s="33" t="n">
        <v>0</v>
      </c>
      <c r="E781" s="33" t="n">
        <v>6</v>
      </c>
      <c r="G781" s="33" t="n">
        <v>0</v>
      </c>
      <c r="H781" s="33" t="n">
        <v>711</v>
      </c>
      <c r="I781" s="33" t="inlineStr">
        <is>
          <t>us</t>
        </is>
      </c>
      <c r="J781" s="33" t="n">
        <v>292</v>
      </c>
      <c r="K781" s="33" t="n">
        <v>0</v>
      </c>
      <c r="L781" s="33" t="n">
        <v>0</v>
      </c>
      <c r="M781" s="33" t="inlineStr">
        <is>
          <t>mwc</t>
        </is>
      </c>
      <c r="N781" s="33" t="n">
        <v>24.9</v>
      </c>
      <c r="O781" s="33" t="n">
        <v>16.985</v>
      </c>
      <c r="P781" s="33" t="n">
        <v>-100.865</v>
      </c>
      <c r="Q781" s="33" t="inlineStr">
        <is>
          <t>Nuxco, Mexico</t>
        </is>
      </c>
      <c r="R781" s="33" t="inlineStr">
        <is>
          <t>North America</t>
        </is>
      </c>
      <c r="T781" s="36">
        <f>DATE(MID(C781,7,4),MID(C781,4,2),MID(C781,1,2))+TIME(MID(C781,12,2),MID(C781,15,2),0)</f>
        <v/>
      </c>
      <c r="U781" s="33">
        <f>IF(ISNUMBER(VALUE(MID(A781,7,1))),"Distance-prefix pattern","Named-region pattern")</f>
        <v/>
      </c>
      <c r="V781" s="33">
        <f>LOWER(M781)</f>
        <v/>
      </c>
      <c r="W781" s="33">
        <f>IF(COUNTIFS($A$2:$A$1001,A781,$C$2:$C$1001,C781)&gt;1,"Duplicate","Unique")</f>
        <v/>
      </c>
      <c r="X781" s="33">
        <f>YEAR(T781)</f>
        <v/>
      </c>
      <c r="Y781" s="33">
        <f>IF(B781&lt;6.5,"&lt;6.5",IF(B781&lt;7,"6.5–6.9",IF(B781&lt;7.5,"7.0–7.4",IF(B781&lt;8,"7.5–7.9","8.0+"))))</f>
        <v/>
      </c>
      <c r="Z781" s="33">
        <f>IF(F781="","Blank",F781)</f>
        <v/>
      </c>
    </row>
    <row r="782" ht="15" customHeight="1" s="34">
      <c r="A782" s="33" t="inlineStr">
        <is>
          <t>M 7.1 - 67 km ENE of Hualien City, Taiwan</t>
        </is>
      </c>
      <c r="B782" s="33" t="n">
        <v>7.1</v>
      </c>
      <c r="C782" s="33" t="inlineStr">
        <is>
          <t>31/03/2002 06:52</t>
        </is>
      </c>
      <c r="D782" s="33" t="n">
        <v>0</v>
      </c>
      <c r="E782" s="33" t="n">
        <v>6</v>
      </c>
      <c r="G782" s="33" t="n">
        <v>0</v>
      </c>
      <c r="H782" s="33" t="n">
        <v>776</v>
      </c>
      <c r="I782" s="33" t="inlineStr">
        <is>
          <t>us</t>
        </is>
      </c>
      <c r="J782" s="33" t="n">
        <v>550</v>
      </c>
      <c r="K782" s="33" t="n">
        <v>0</v>
      </c>
      <c r="L782" s="33" t="n">
        <v>0</v>
      </c>
      <c r="M782" s="33" t="inlineStr">
        <is>
          <t>mwc</t>
        </is>
      </c>
      <c r="N782" s="33" t="n">
        <v>32.8</v>
      </c>
      <c r="O782" s="33" t="n">
        <v>24.279</v>
      </c>
      <c r="P782" s="33" t="n">
        <v>122.179</v>
      </c>
      <c r="Q782" s="33" t="inlineStr">
        <is>
          <t>Hualien City, Taiwan</t>
        </is>
      </c>
      <c r="R782" s="33" t="inlineStr">
        <is>
          <t>Asia</t>
        </is>
      </c>
      <c r="T782" s="36">
        <f>DATE(MID(C782,7,4),MID(C782,4,2),MID(C782,1,2))+TIME(MID(C782,12,2),MID(C782,15,2),0)</f>
        <v/>
      </c>
      <c r="U782" s="33">
        <f>IF(ISNUMBER(VALUE(MID(A782,7,1))),"Distance-prefix pattern","Named-region pattern")</f>
        <v/>
      </c>
      <c r="V782" s="33">
        <f>LOWER(M782)</f>
        <v/>
      </c>
      <c r="W782" s="33">
        <f>IF(COUNTIFS($A$2:$A$1001,A782,$C$2:$C$1001,C782)&gt;1,"Duplicate","Unique")</f>
        <v/>
      </c>
      <c r="X782" s="33">
        <f>YEAR(T782)</f>
        <v/>
      </c>
      <c r="Y782" s="33">
        <f>IF(B782&lt;6.5,"&lt;6.5",IF(B782&lt;7,"6.5–6.9",IF(B782&lt;7.5,"7.0–7.4",IF(B782&lt;8,"7.5–7.9","8.0+"))))</f>
        <v/>
      </c>
      <c r="Z782" s="33">
        <f>IF(F782="","Blank",F782)</f>
        <v/>
      </c>
    </row>
    <row r="783" ht="15" customHeight="1" s="34">
      <c r="A783" s="33" t="inlineStr">
        <is>
          <t>M 6.5 - 107 km NE of Calama, Chile</t>
        </is>
      </c>
      <c r="B783" s="33" t="n">
        <v>6.5</v>
      </c>
      <c r="C783" s="33" t="inlineStr">
        <is>
          <t>28/03/2002 04:56</t>
        </is>
      </c>
      <c r="D783" s="33" t="n">
        <v>0</v>
      </c>
      <c r="E783" s="33" t="n">
        <v>5</v>
      </c>
      <c r="G783" s="33" t="n">
        <v>0</v>
      </c>
      <c r="H783" s="33" t="n">
        <v>650</v>
      </c>
      <c r="I783" s="33" t="inlineStr">
        <is>
          <t>us</t>
        </is>
      </c>
      <c r="J783" s="33" t="n">
        <v>486</v>
      </c>
      <c r="K783" s="33" t="n">
        <v>0</v>
      </c>
      <c r="L783" s="33" t="n">
        <v>0</v>
      </c>
      <c r="M783" s="33" t="inlineStr">
        <is>
          <t>mwc</t>
        </is>
      </c>
      <c r="N783" s="33" t="n">
        <v>125.1</v>
      </c>
      <c r="O783" s="33" t="n">
        <v>-21.663</v>
      </c>
      <c r="P783" s="33" t="n">
        <v>-68.32899999999999</v>
      </c>
      <c r="Q783" s="33" t="inlineStr">
        <is>
          <t>Calama, Chile</t>
        </is>
      </c>
      <c r="R783" s="33" t="inlineStr">
        <is>
          <t>South America</t>
        </is>
      </c>
      <c r="S783" s="33" t="inlineStr">
        <is>
          <t>Chile</t>
        </is>
      </c>
      <c r="T783" s="36">
        <f>DATE(MID(C783,7,4),MID(C783,4,2),MID(C783,1,2))+TIME(MID(C783,12,2),MID(C783,15,2),0)</f>
        <v/>
      </c>
      <c r="U783" s="33">
        <f>IF(ISNUMBER(VALUE(MID(A783,7,1))),"Distance-prefix pattern","Named-region pattern")</f>
        <v/>
      </c>
      <c r="V783" s="33">
        <f>LOWER(M783)</f>
        <v/>
      </c>
      <c r="W783" s="33">
        <f>IF(COUNTIFS($A$2:$A$1001,A783,$C$2:$C$1001,C783)&gt;1,"Duplicate","Unique")</f>
        <v/>
      </c>
      <c r="X783" s="33">
        <f>YEAR(T783)</f>
        <v/>
      </c>
      <c r="Y783" s="33">
        <f>IF(B783&lt;6.5,"&lt;6.5",IF(B783&lt;7,"6.5–6.9",IF(B783&lt;7.5,"7.0–7.4",IF(B783&lt;8,"7.5–7.9","8.0+"))))</f>
        <v/>
      </c>
      <c r="Z783" s="33">
        <f>IF(F783="","Blank",F783)</f>
        <v/>
      </c>
    </row>
    <row r="784" ht="15" customHeight="1" s="34">
      <c r="A784" s="33" t="inlineStr">
        <is>
          <t>M 7.5 - Mindanao, Philippines</t>
        </is>
      </c>
      <c r="B784" s="33" t="n">
        <v>7.5</v>
      </c>
      <c r="C784" s="33" t="inlineStr">
        <is>
          <t>05/03/2002 21:16</t>
        </is>
      </c>
      <c r="D784" s="33" t="n">
        <v>0</v>
      </c>
      <c r="E784" s="33" t="n">
        <v>7</v>
      </c>
      <c r="G784" s="33" t="n">
        <v>0</v>
      </c>
      <c r="H784" s="33" t="n">
        <v>865</v>
      </c>
      <c r="I784" s="33" t="inlineStr">
        <is>
          <t>us</t>
        </is>
      </c>
      <c r="J784" s="33" t="n">
        <v>321</v>
      </c>
      <c r="K784" s="33" t="n">
        <v>0</v>
      </c>
      <c r="L784" s="33" t="n">
        <v>0</v>
      </c>
      <c r="M784" s="33" t="inlineStr">
        <is>
          <t>mwc</t>
        </is>
      </c>
      <c r="N784" s="33" t="n">
        <v>31</v>
      </c>
      <c r="O784" s="33" t="n">
        <v>6.033</v>
      </c>
      <c r="P784" s="33" t="n">
        <v>124.249</v>
      </c>
      <c r="Q784" s="33" t="inlineStr">
        <is>
          <t>Mindanao, Philippines</t>
        </is>
      </c>
      <c r="S784" s="33" t="inlineStr">
        <is>
          <t>Philippines</t>
        </is>
      </c>
      <c r="T784" s="36">
        <f>DATE(MID(C784,7,4),MID(C784,4,2),MID(C784,1,2))+TIME(MID(C784,12,2),MID(C784,15,2),0)</f>
        <v/>
      </c>
      <c r="U784" s="33">
        <f>IF(ISNUMBER(VALUE(MID(A784,7,1))),"Distance-prefix pattern","Named-region pattern")</f>
        <v/>
      </c>
      <c r="V784" s="33">
        <f>LOWER(M784)</f>
        <v/>
      </c>
      <c r="W784" s="33">
        <f>IF(COUNTIFS($A$2:$A$1001,A784,$C$2:$C$1001,C784)&gt;1,"Duplicate","Unique")</f>
        <v/>
      </c>
      <c r="X784" s="33">
        <f>YEAR(T784)</f>
        <v/>
      </c>
      <c r="Y784" s="33">
        <f>IF(B784&lt;6.5,"&lt;6.5",IF(B784&lt;7,"6.5–6.9",IF(B784&lt;7.5,"7.0–7.4",IF(B784&lt;8,"7.5–7.9","8.0+"))))</f>
        <v/>
      </c>
      <c r="Z784" s="33">
        <f>IF(F784="","Blank",F784)</f>
        <v/>
      </c>
    </row>
    <row r="785" ht="15" customHeight="1" s="34">
      <c r="A785" s="33" t="inlineStr">
        <is>
          <t>M 7.4 - 51 km SW of Jurm, Afghanistan</t>
        </is>
      </c>
      <c r="B785" s="33" t="n">
        <v>7.4</v>
      </c>
      <c r="C785" s="33" t="inlineStr">
        <is>
          <t>03/03/2002 12:08</t>
        </is>
      </c>
      <c r="D785" s="33" t="n">
        <v>0</v>
      </c>
      <c r="E785" s="33" t="n">
        <v>5</v>
      </c>
      <c r="G785" s="33" t="n">
        <v>0</v>
      </c>
      <c r="H785" s="33" t="n">
        <v>842</v>
      </c>
      <c r="I785" s="33" t="inlineStr">
        <is>
          <t>us</t>
        </is>
      </c>
      <c r="J785" s="33" t="n">
        <v>138</v>
      </c>
      <c r="K785" s="33" t="n">
        <v>0</v>
      </c>
      <c r="L785" s="33" t="n">
        <v>0</v>
      </c>
      <c r="M785" s="33" t="inlineStr">
        <is>
          <t>mwc</t>
        </is>
      </c>
      <c r="N785" s="33" t="n">
        <v>225.6</v>
      </c>
      <c r="O785" s="33" t="n">
        <v>36.502</v>
      </c>
      <c r="P785" s="33" t="n">
        <v>70.482</v>
      </c>
      <c r="Q785" s="33" t="inlineStr">
        <is>
          <t>Jurm, Afghanistan</t>
        </is>
      </c>
      <c r="R785" s="33" t="inlineStr">
        <is>
          <t>Asia</t>
        </is>
      </c>
      <c r="S785" s="33" t="inlineStr">
        <is>
          <t>Afghanistan</t>
        </is>
      </c>
      <c r="T785" s="36">
        <f>DATE(MID(C785,7,4),MID(C785,4,2),MID(C785,1,2))+TIME(MID(C785,12,2),MID(C785,15,2),0)</f>
        <v/>
      </c>
      <c r="U785" s="33">
        <f>IF(ISNUMBER(VALUE(MID(A785,7,1))),"Distance-prefix pattern","Named-region pattern")</f>
        <v/>
      </c>
      <c r="V785" s="33">
        <f>LOWER(M785)</f>
        <v/>
      </c>
      <c r="W785" s="33">
        <f>IF(COUNTIFS($A$2:$A$1001,A785,$C$2:$C$1001,C785)&gt;1,"Duplicate","Unique")</f>
        <v/>
      </c>
      <c r="X785" s="33">
        <f>YEAR(T785)</f>
        <v/>
      </c>
      <c r="Y785" s="33">
        <f>IF(B785&lt;6.5,"&lt;6.5",IF(B785&lt;7,"6.5–6.9",IF(B785&lt;7.5,"7.0–7.4",IF(B785&lt;8,"7.5–7.9","8.0+"))))</f>
        <v/>
      </c>
      <c r="Z785" s="33">
        <f>IF(F785="","Blank",F785)</f>
        <v/>
      </c>
    </row>
    <row r="786" ht="15" customHeight="1" s="34">
      <c r="A786" s="33" t="inlineStr">
        <is>
          <t>M 6.6 - 125 km E of Kimbe, Papua New Guinea</t>
        </is>
      </c>
      <c r="B786" s="33" t="n">
        <v>6.6</v>
      </c>
      <c r="C786" s="33" t="inlineStr">
        <is>
          <t>05/02/2002 13:27</t>
        </is>
      </c>
      <c r="D786" s="33" t="n">
        <v>0</v>
      </c>
      <c r="E786" s="33" t="n">
        <v>6</v>
      </c>
      <c r="G786" s="33" t="n">
        <v>0</v>
      </c>
      <c r="H786" s="33" t="n">
        <v>670</v>
      </c>
      <c r="I786" s="33" t="inlineStr">
        <is>
          <t>us</t>
        </is>
      </c>
      <c r="J786" s="33" t="n">
        <v>444</v>
      </c>
      <c r="K786" s="33" t="n">
        <v>0</v>
      </c>
      <c r="L786" s="33" t="n">
        <v>0</v>
      </c>
      <c r="M786" s="33" t="inlineStr">
        <is>
          <t>mwc</t>
        </is>
      </c>
      <c r="N786" s="33" t="n">
        <v>39</v>
      </c>
      <c r="O786" s="33" t="n">
        <v>-5.345</v>
      </c>
      <c r="P786" s="33" t="n">
        <v>151.248</v>
      </c>
      <c r="Q786" s="33" t="inlineStr">
        <is>
          <t>Kimbe, Papua New Guinea</t>
        </is>
      </c>
      <c r="S786" s="33" t="inlineStr">
        <is>
          <t>Papua New Guinea</t>
        </is>
      </c>
      <c r="T786" s="36">
        <f>DATE(MID(C786,7,4),MID(C786,4,2),MID(C786,1,2))+TIME(MID(C786,12,2),MID(C786,15,2),0)</f>
        <v/>
      </c>
      <c r="U786" s="33">
        <f>IF(ISNUMBER(VALUE(MID(A786,7,1))),"Distance-prefix pattern","Named-region pattern")</f>
        <v/>
      </c>
      <c r="V786" s="33">
        <f>LOWER(M786)</f>
        <v/>
      </c>
      <c r="W786" s="33">
        <f>IF(COUNTIFS($A$2:$A$1001,A786,$C$2:$C$1001,C786)&gt;1,"Duplicate","Unique")</f>
        <v/>
      </c>
      <c r="X786" s="33">
        <f>YEAR(T786)</f>
        <v/>
      </c>
      <c r="Y786" s="33">
        <f>IF(B786&lt;6.5,"&lt;6.5",IF(B786&lt;7,"6.5–6.9",IF(B786&lt;7.5,"7.0–7.4",IF(B786&lt;8,"7.5–7.9","8.0+"))))</f>
        <v/>
      </c>
      <c r="Z786" s="33">
        <f>IF(F786="","Blank",F786)</f>
        <v/>
      </c>
    </row>
    <row r="787" ht="15" customHeight="1" s="34">
      <c r="A787" s="33" t="inlineStr">
        <is>
          <t>M 6.5 - 5 km NE of Sultanda??, Turkey</t>
        </is>
      </c>
      <c r="B787" s="33" t="n">
        <v>6.5</v>
      </c>
      <c r="C787" s="33" t="inlineStr">
        <is>
          <t>03/02/2002 07:11</t>
        </is>
      </c>
      <c r="D787" s="33" t="n">
        <v>0</v>
      </c>
      <c r="E787" s="33" t="n">
        <v>7</v>
      </c>
      <c r="G787" s="33" t="n">
        <v>0</v>
      </c>
      <c r="H787" s="33" t="n">
        <v>650</v>
      </c>
      <c r="I787" s="33" t="inlineStr">
        <is>
          <t>us</t>
        </is>
      </c>
      <c r="J787" s="33" t="n">
        <v>482</v>
      </c>
      <c r="K787" s="33" t="n">
        <v>0</v>
      </c>
      <c r="L787" s="33" t="n">
        <v>0</v>
      </c>
      <c r="M787" s="33" t="inlineStr">
        <is>
          <t>mwc</t>
        </is>
      </c>
      <c r="N787" s="33" t="n">
        <v>5</v>
      </c>
      <c r="O787" s="33" t="n">
        <v>38.573</v>
      </c>
      <c r="P787" s="33" t="n">
        <v>31.271</v>
      </c>
      <c r="Q787" s="33" t="inlineStr">
        <is>
          <t>Sultanda??, Turkey</t>
        </is>
      </c>
      <c r="R787" s="33" t="inlineStr">
        <is>
          <t>Asia</t>
        </is>
      </c>
      <c r="S787" s="33" t="inlineStr">
        <is>
          <t>Turkey</t>
        </is>
      </c>
      <c r="T787" s="36">
        <f>DATE(MID(C787,7,4),MID(C787,4,2),MID(C787,1,2))+TIME(MID(C787,12,2),MID(C787,15,2),0)</f>
        <v/>
      </c>
      <c r="U787" s="33">
        <f>IF(ISNUMBER(VALUE(MID(A787,7,1))),"Distance-prefix pattern","Named-region pattern")</f>
        <v/>
      </c>
      <c r="V787" s="33">
        <f>LOWER(M787)</f>
        <v/>
      </c>
      <c r="W787" s="33">
        <f>IF(COUNTIFS($A$2:$A$1001,A787,$C$2:$C$1001,C787)&gt;1,"Duplicate","Unique")</f>
        <v/>
      </c>
      <c r="X787" s="33">
        <f>YEAR(T787)</f>
        <v/>
      </c>
      <c r="Y787" s="33">
        <f>IF(B787&lt;6.5,"&lt;6.5",IF(B787&lt;7,"6.5–6.9",IF(B787&lt;7.5,"7.0–7.4",IF(B787&lt;8,"7.5–7.9","8.0+"))))</f>
        <v/>
      </c>
      <c r="Z787" s="33">
        <f>IF(F787="","Blank",F787)</f>
        <v/>
      </c>
    </row>
    <row r="788" ht="15" customHeight="1" s="34">
      <c r="A788" s="33" t="inlineStr">
        <is>
          <t>M 6.7 - 11 km SE of Aitape, Papua New Guinea</t>
        </is>
      </c>
      <c r="B788" s="33" t="n">
        <v>6.7</v>
      </c>
      <c r="C788" s="33" t="inlineStr">
        <is>
          <t>10/01/2002 11:14</t>
        </is>
      </c>
      <c r="D788" s="33" t="n">
        <v>0</v>
      </c>
      <c r="E788" s="33" t="n">
        <v>8</v>
      </c>
      <c r="G788" s="33" t="n">
        <v>0</v>
      </c>
      <c r="H788" s="33" t="n">
        <v>691</v>
      </c>
      <c r="I788" s="33" t="inlineStr">
        <is>
          <t>us</t>
        </is>
      </c>
      <c r="J788" s="33" t="n">
        <v>333</v>
      </c>
      <c r="K788" s="33" t="n">
        <v>0</v>
      </c>
      <c r="L788" s="33" t="n">
        <v>0</v>
      </c>
      <c r="M788" s="33" t="inlineStr">
        <is>
          <t>mwc</t>
        </is>
      </c>
      <c r="N788" s="33" t="n">
        <v>11</v>
      </c>
      <c r="O788" s="33" t="n">
        <v>-3.212</v>
      </c>
      <c r="P788" s="33" t="n">
        <v>142.427</v>
      </c>
      <c r="Q788" s="33" t="inlineStr">
        <is>
          <t>Aitape, Papua New Guinea</t>
        </is>
      </c>
      <c r="S788" s="33" t="inlineStr">
        <is>
          <t>Papua New Guinea</t>
        </is>
      </c>
      <c r="T788" s="36">
        <f>DATE(MID(C788,7,4),MID(C788,4,2),MID(C788,1,2))+TIME(MID(C788,12,2),MID(C788,15,2),0)</f>
        <v/>
      </c>
      <c r="U788" s="33">
        <f>IF(ISNUMBER(VALUE(MID(A788,7,1))),"Distance-prefix pattern","Named-region pattern")</f>
        <v/>
      </c>
      <c r="V788" s="33">
        <f>LOWER(M788)</f>
        <v/>
      </c>
      <c r="W788" s="33">
        <f>IF(COUNTIFS($A$2:$A$1001,A788,$C$2:$C$1001,C788)&gt;1,"Duplicate","Unique")</f>
        <v/>
      </c>
      <c r="X788" s="33">
        <f>YEAR(T788)</f>
        <v/>
      </c>
      <c r="Y788" s="33">
        <f>IF(B788&lt;6.5,"&lt;6.5",IF(B788&lt;7,"6.5–6.9",IF(B788&lt;7.5,"7.0–7.4",IF(B788&lt;8,"7.5–7.9","8.0+"))))</f>
        <v/>
      </c>
      <c r="Z788" s="33">
        <f>IF(F788="","Blank",F788)</f>
        <v/>
      </c>
    </row>
    <row r="789" ht="15" customHeight="1" s="34">
      <c r="A789" s="33" t="inlineStr">
        <is>
          <t>M 6.6 - 33 km WNW of Port-Vila, Vanuatu</t>
        </is>
      </c>
      <c r="B789" s="33" t="n">
        <v>6.6</v>
      </c>
      <c r="C789" s="33" t="inlineStr">
        <is>
          <t>03/01/2002 10:17</t>
        </is>
      </c>
      <c r="D789" s="33" t="n">
        <v>0</v>
      </c>
      <c r="E789" s="33" t="n">
        <v>6</v>
      </c>
      <c r="G789" s="33" t="n">
        <v>0</v>
      </c>
      <c r="H789" s="33" t="n">
        <v>670</v>
      </c>
      <c r="I789" s="33" t="inlineStr">
        <is>
          <t>us</t>
        </is>
      </c>
      <c r="J789" s="33" t="n">
        <v>386</v>
      </c>
      <c r="K789" s="33" t="n">
        <v>0</v>
      </c>
      <c r="L789" s="33" t="n">
        <v>0</v>
      </c>
      <c r="M789" s="33" t="inlineStr">
        <is>
          <t>mwc</t>
        </is>
      </c>
      <c r="N789" s="33" t="n">
        <v>10</v>
      </c>
      <c r="O789" s="33" t="n">
        <v>-17.664</v>
      </c>
      <c r="P789" s="33" t="n">
        <v>168.004</v>
      </c>
      <c r="Q789" s="33" t="inlineStr">
        <is>
          <t>Port-Vila, Vanuatu</t>
        </is>
      </c>
      <c r="S789" s="33" t="inlineStr">
        <is>
          <t>Vanuatu</t>
        </is>
      </c>
      <c r="T789" s="36">
        <f>DATE(MID(C789,7,4),MID(C789,4,2),MID(C789,1,2))+TIME(MID(C789,12,2),MID(C789,15,2),0)</f>
        <v/>
      </c>
      <c r="U789" s="33">
        <f>IF(ISNUMBER(VALUE(MID(A789,7,1))),"Distance-prefix pattern","Named-region pattern")</f>
        <v/>
      </c>
      <c r="V789" s="33">
        <f>LOWER(M789)</f>
        <v/>
      </c>
      <c r="W789" s="33">
        <f>IF(COUNTIFS($A$2:$A$1001,A789,$C$2:$C$1001,C789)&gt;1,"Duplicate","Unique")</f>
        <v/>
      </c>
      <c r="X789" s="33">
        <f>YEAR(T789)</f>
        <v/>
      </c>
      <c r="Y789" s="33">
        <f>IF(B789&lt;6.5,"&lt;6.5",IF(B789&lt;7,"6.5–6.9",IF(B789&lt;7.5,"7.0–7.4",IF(B789&lt;8,"7.5–7.9","8.0+"))))</f>
        <v/>
      </c>
      <c r="Z789" s="33">
        <f>IF(F789="","Blank",F789)</f>
        <v/>
      </c>
    </row>
    <row r="790" ht="15" customHeight="1" s="34">
      <c r="A790" s="33" t="inlineStr">
        <is>
          <t>M 7.2 - 50 km WNW of Port-Vila, Vanuatu</t>
        </is>
      </c>
      <c r="B790" s="33" t="n">
        <v>7.2</v>
      </c>
      <c r="C790" s="33" t="inlineStr">
        <is>
          <t>02/01/2002 17:22</t>
        </is>
      </c>
      <c r="D790" s="33" t="n">
        <v>0</v>
      </c>
      <c r="E790" s="33" t="n">
        <v>6</v>
      </c>
      <c r="G790" s="33" t="n">
        <v>0</v>
      </c>
      <c r="H790" s="33" t="n">
        <v>798</v>
      </c>
      <c r="I790" s="33" t="inlineStr">
        <is>
          <t>us</t>
        </is>
      </c>
      <c r="J790" s="33" t="n">
        <v>427</v>
      </c>
      <c r="K790" s="33" t="n">
        <v>0</v>
      </c>
      <c r="L790" s="33" t="n">
        <v>0</v>
      </c>
      <c r="M790" s="33" t="inlineStr">
        <is>
          <t>mwc</t>
        </is>
      </c>
      <c r="N790" s="33" t="n">
        <v>21</v>
      </c>
      <c r="O790" s="33" t="n">
        <v>-17.6</v>
      </c>
      <c r="P790" s="33" t="n">
        <v>167.856</v>
      </c>
      <c r="Q790" s="33" t="inlineStr">
        <is>
          <t>Port-Vila, Vanuatu</t>
        </is>
      </c>
      <c r="S790" s="33" t="inlineStr">
        <is>
          <t>Vanuatu</t>
        </is>
      </c>
      <c r="T790" s="36">
        <f>DATE(MID(C790,7,4),MID(C790,4,2),MID(C790,1,2))+TIME(MID(C790,12,2),MID(C790,15,2),0)</f>
        <v/>
      </c>
      <c r="U790" s="33">
        <f>IF(ISNUMBER(VALUE(MID(A790,7,1))),"Distance-prefix pattern","Named-region pattern")</f>
        <v/>
      </c>
      <c r="V790" s="33">
        <f>LOWER(M790)</f>
        <v/>
      </c>
      <c r="W790" s="33">
        <f>IF(COUNTIFS($A$2:$A$1001,A790,$C$2:$C$1001,C790)&gt;1,"Duplicate","Unique")</f>
        <v/>
      </c>
      <c r="X790" s="33">
        <f>YEAR(T790)</f>
        <v/>
      </c>
      <c r="Y790" s="33">
        <f>IF(B790&lt;6.5,"&lt;6.5",IF(B790&lt;7,"6.5–6.9",IF(B790&lt;7.5,"7.0–7.4",IF(B790&lt;8,"7.5–7.9","8.0+"))))</f>
        <v/>
      </c>
      <c r="Z790" s="33">
        <f>IF(F790="","Blank",F790)</f>
        <v/>
      </c>
    </row>
    <row r="791" ht="15" customHeight="1" s="34">
      <c r="A791" s="33" t="inlineStr">
        <is>
          <t>M 6.8 - 22 km WNW of Malango, Solomon Islands</t>
        </is>
      </c>
      <c r="B791" s="33" t="n">
        <v>6.8</v>
      </c>
      <c r="C791" s="33" t="inlineStr">
        <is>
          <t>23/12/2001 22:52</t>
        </is>
      </c>
      <c r="D791" s="33" t="n">
        <v>0</v>
      </c>
      <c r="E791" s="33" t="n">
        <v>7</v>
      </c>
      <c r="G791" s="33" t="n">
        <v>0</v>
      </c>
      <c r="H791" s="33" t="n">
        <v>711</v>
      </c>
      <c r="I791" s="33" t="inlineStr">
        <is>
          <t>us</t>
        </is>
      </c>
      <c r="J791" s="33" t="n">
        <v>385</v>
      </c>
      <c r="K791" s="33" t="n">
        <v>0</v>
      </c>
      <c r="L791" s="33" t="n">
        <v>0</v>
      </c>
      <c r="M791" s="33" t="inlineStr">
        <is>
          <t>mwc</t>
        </is>
      </c>
      <c r="N791" s="33" t="n">
        <v>16</v>
      </c>
      <c r="O791" s="33" t="n">
        <v>-9.613</v>
      </c>
      <c r="P791" s="33" t="n">
        <v>159.53</v>
      </c>
      <c r="Q791" s="33" t="inlineStr">
        <is>
          <t>Malango, Solomon Islands</t>
        </is>
      </c>
      <c r="S791" s="33" t="inlineStr">
        <is>
          <t>Solomon Islands</t>
        </is>
      </c>
      <c r="T791" s="36">
        <f>DATE(MID(C791,7,4),MID(C791,4,2),MID(C791,1,2))+TIME(MID(C791,12,2),MID(C791,15,2),0)</f>
        <v/>
      </c>
      <c r="U791" s="33">
        <f>IF(ISNUMBER(VALUE(MID(A791,7,1))),"Distance-prefix pattern","Named-region pattern")</f>
        <v/>
      </c>
      <c r="V791" s="33">
        <f>LOWER(M791)</f>
        <v/>
      </c>
      <c r="W791" s="33">
        <f>IF(COUNTIFS($A$2:$A$1001,A791,$C$2:$C$1001,C791)&gt;1,"Duplicate","Unique")</f>
        <v/>
      </c>
      <c r="X791" s="33">
        <f>YEAR(T791)</f>
        <v/>
      </c>
      <c r="Y791" s="33">
        <f>IF(B791&lt;6.5,"&lt;6.5",IF(B791&lt;7,"6.5–6.9",IF(B791&lt;7.5,"7.0–7.4",IF(B791&lt;8,"7.5–7.9","8.0+"))))</f>
        <v/>
      </c>
      <c r="Z791" s="33">
        <f>IF(F791="","Blank",F791)</f>
        <v/>
      </c>
    </row>
    <row r="792" ht="15" customHeight="1" s="34">
      <c r="A792" s="33" t="inlineStr">
        <is>
          <t>M 6.8 - 62 km SSW of Yonakuni, Japan</t>
        </is>
      </c>
      <c r="B792" s="33" t="n">
        <v>6.8</v>
      </c>
      <c r="C792" s="33" t="inlineStr">
        <is>
          <t>18/12/2001 04:02</t>
        </is>
      </c>
      <c r="D792" s="33" t="n">
        <v>0</v>
      </c>
      <c r="E792" s="33" t="n">
        <v>5</v>
      </c>
      <c r="G792" s="33" t="n">
        <v>0</v>
      </c>
      <c r="H792" s="33" t="n">
        <v>711</v>
      </c>
      <c r="I792" s="33" t="inlineStr">
        <is>
          <t>us</t>
        </is>
      </c>
      <c r="J792" s="33" t="n">
        <v>499</v>
      </c>
      <c r="K792" s="33" t="n">
        <v>0</v>
      </c>
      <c r="L792" s="33" t="n">
        <v>0</v>
      </c>
      <c r="M792" s="33" t="inlineStr">
        <is>
          <t>mwc</t>
        </is>
      </c>
      <c r="N792" s="33" t="n">
        <v>14</v>
      </c>
      <c r="O792" s="33" t="n">
        <v>23.954</v>
      </c>
      <c r="P792" s="33" t="n">
        <v>122.734</v>
      </c>
      <c r="Q792" s="33" t="inlineStr">
        <is>
          <t>Yonakuni, Japan</t>
        </is>
      </c>
      <c r="T792" s="36">
        <f>DATE(MID(C792,7,4),MID(C792,4,2),MID(C792,1,2))+TIME(MID(C792,12,2),MID(C792,15,2),0)</f>
        <v/>
      </c>
      <c r="U792" s="33">
        <f>IF(ISNUMBER(VALUE(MID(A792,7,1))),"Distance-prefix pattern","Named-region pattern")</f>
        <v/>
      </c>
      <c r="V792" s="33">
        <f>LOWER(M792)</f>
        <v/>
      </c>
      <c r="W792" s="33">
        <f>IF(COUNTIFS($A$2:$A$1001,A792,$C$2:$C$1001,C792)&gt;1,"Duplicate","Unique")</f>
        <v/>
      </c>
      <c r="X792" s="33">
        <f>YEAR(T792)</f>
        <v/>
      </c>
      <c r="Y792" s="33">
        <f>IF(B792&lt;6.5,"&lt;6.5",IF(B792&lt;7,"6.5–6.9",IF(B792&lt;7.5,"7.0–7.4",IF(B792&lt;8,"7.5–7.9","8.0+"))))</f>
        <v/>
      </c>
      <c r="Z792" s="33">
        <f>IF(F792="","Blank",F792)</f>
        <v/>
      </c>
    </row>
    <row r="793" ht="15" customHeight="1" s="34">
      <c r="A793" s="33" t="inlineStr">
        <is>
          <t>M 6.5 - 3 km NW of Hanamaki, Japan</t>
        </is>
      </c>
      <c r="B793" s="33" t="n">
        <v>6.5</v>
      </c>
      <c r="C793" s="33" t="inlineStr">
        <is>
          <t>02/12/2001 13:01</t>
        </is>
      </c>
      <c r="D793" s="33" t="n">
        <v>0</v>
      </c>
      <c r="E793" s="33" t="n">
        <v>5</v>
      </c>
      <c r="G793" s="33" t="n">
        <v>0</v>
      </c>
      <c r="H793" s="33" t="n">
        <v>650</v>
      </c>
      <c r="I793" s="33" t="inlineStr">
        <is>
          <t>us</t>
        </is>
      </c>
      <c r="J793" s="33" t="n">
        <v>605</v>
      </c>
      <c r="K793" s="33" t="n">
        <v>0</v>
      </c>
      <c r="L793" s="33" t="n">
        <v>0</v>
      </c>
      <c r="M793" s="33" t="inlineStr">
        <is>
          <t>mwc</t>
        </is>
      </c>
      <c r="N793" s="33" t="n">
        <v>123.8</v>
      </c>
      <c r="O793" s="33" t="n">
        <v>39.402</v>
      </c>
      <c r="P793" s="33" t="n">
        <v>141.089</v>
      </c>
      <c r="Q793" s="33" t="inlineStr">
        <is>
          <t>Hanamaki, Japan</t>
        </is>
      </c>
      <c r="R793" s="33" t="inlineStr">
        <is>
          <t>Asia</t>
        </is>
      </c>
      <c r="S793" s="33" t="inlineStr">
        <is>
          <t>Japan</t>
        </is>
      </c>
      <c r="T793" s="36">
        <f>DATE(MID(C793,7,4),MID(C793,4,2),MID(C793,1,2))+TIME(MID(C793,12,2),MID(C793,15,2),0)</f>
        <v/>
      </c>
      <c r="U793" s="33">
        <f>IF(ISNUMBER(VALUE(MID(A793,7,1))),"Distance-prefix pattern","Named-region pattern")</f>
        <v/>
      </c>
      <c r="V793" s="33">
        <f>LOWER(M793)</f>
        <v/>
      </c>
      <c r="W793" s="33">
        <f>IF(COUNTIFS($A$2:$A$1001,A793,$C$2:$C$1001,C793)&gt;1,"Duplicate","Unique")</f>
        <v/>
      </c>
      <c r="X793" s="33">
        <f>YEAR(T793)</f>
        <v/>
      </c>
      <c r="Y793" s="33">
        <f>IF(B793&lt;6.5,"&lt;6.5",IF(B793&lt;7,"6.5–6.9",IF(B793&lt;7.5,"7.0–7.4",IF(B793&lt;8,"7.5–7.9","8.0+"))))</f>
        <v/>
      </c>
      <c r="Z793" s="33">
        <f>IF(F793="","Blank",F793)</f>
        <v/>
      </c>
    </row>
    <row r="794" ht="15" customHeight="1" s="34">
      <c r="A794" s="33" t="inlineStr">
        <is>
          <t>M 7.8 - Southern Qinghai, China</t>
        </is>
      </c>
      <c r="B794" s="33" t="n">
        <v>7.8</v>
      </c>
      <c r="C794" s="33" t="inlineStr">
        <is>
          <t>14/11/2001 09:26</t>
        </is>
      </c>
      <c r="D794" s="33" t="n">
        <v>0</v>
      </c>
      <c r="E794" s="33" t="n">
        <v>9</v>
      </c>
      <c r="G794" s="33" t="n">
        <v>0</v>
      </c>
      <c r="H794" s="33" t="n">
        <v>936</v>
      </c>
      <c r="I794" s="33" t="inlineStr">
        <is>
          <t>us</t>
        </is>
      </c>
      <c r="J794" s="33" t="n">
        <v>368</v>
      </c>
      <c r="K794" s="33" t="n">
        <v>0</v>
      </c>
      <c r="L794" s="33" t="n">
        <v>0</v>
      </c>
      <c r="M794" s="33" t="inlineStr">
        <is>
          <t>mwc</t>
        </is>
      </c>
      <c r="N794" s="33" t="n">
        <v>10</v>
      </c>
      <c r="O794" s="33" t="n">
        <v>35.946</v>
      </c>
      <c r="P794" s="33" t="n">
        <v>90.541</v>
      </c>
      <c r="Q794" s="33" t="inlineStr">
        <is>
          <t>Southern Qinghai, China</t>
        </is>
      </c>
      <c r="R794" s="33" t="inlineStr">
        <is>
          <t>Asia</t>
        </is>
      </c>
      <c r="S794" s="33" t="inlineStr">
        <is>
          <t>People's Republic of China</t>
        </is>
      </c>
      <c r="T794" s="36">
        <f>DATE(MID(C794,7,4),MID(C794,4,2),MID(C794,1,2))+TIME(MID(C794,12,2),MID(C794,15,2),0)</f>
        <v/>
      </c>
      <c r="U794" s="33">
        <f>IF(ISNUMBER(VALUE(MID(A794,7,1))),"Distance-prefix pattern","Named-region pattern")</f>
        <v/>
      </c>
      <c r="V794" s="33">
        <f>LOWER(M794)</f>
        <v/>
      </c>
      <c r="W794" s="33">
        <f>IF(COUNTIFS($A$2:$A$1001,A794,$C$2:$C$1001,C794)&gt;1,"Duplicate","Unique")</f>
        <v/>
      </c>
      <c r="X794" s="33">
        <f>YEAR(T794)</f>
        <v/>
      </c>
      <c r="Y794" s="33">
        <f>IF(B794&lt;6.5,"&lt;6.5",IF(B794&lt;7,"6.5–6.9",IF(B794&lt;7.5,"7.0–7.4",IF(B794&lt;8,"7.5–7.9","8.0+"))))</f>
        <v/>
      </c>
      <c r="Z794" s="33">
        <f>IF(F794="","Blank",F794)</f>
        <v/>
      </c>
    </row>
    <row r="795" ht="15" customHeight="1" s="34">
      <c r="A795" s="33" t="inlineStr">
        <is>
          <t>M 7.0 - 40 km S of Kimbe, Papua New Guinea</t>
        </is>
      </c>
      <c r="B795" s="33" t="n">
        <v>7</v>
      </c>
      <c r="C795" s="33" t="inlineStr">
        <is>
          <t>31/10/2001 09:10</t>
        </is>
      </c>
      <c r="D795" s="33" t="n">
        <v>0</v>
      </c>
      <c r="E795" s="33" t="n">
        <v>7</v>
      </c>
      <c r="G795" s="33" t="n">
        <v>0</v>
      </c>
      <c r="H795" s="33" t="n">
        <v>754</v>
      </c>
      <c r="I795" s="33" t="inlineStr">
        <is>
          <t>us</t>
        </is>
      </c>
      <c r="J795" s="33" t="n">
        <v>254</v>
      </c>
      <c r="K795" s="33" t="n">
        <v>0</v>
      </c>
      <c r="L795" s="33" t="n">
        <v>0</v>
      </c>
      <c r="M795" s="33" t="inlineStr">
        <is>
          <t>mwc</t>
        </is>
      </c>
      <c r="N795" s="33" t="n">
        <v>33</v>
      </c>
      <c r="O795" s="33" t="n">
        <v>-5.912</v>
      </c>
      <c r="P795" s="33" t="n">
        <v>150.196</v>
      </c>
      <c r="Q795" s="33" t="inlineStr">
        <is>
          <t>Kimbe, Papua New Guinea</t>
        </is>
      </c>
      <c r="S795" s="33" t="inlineStr">
        <is>
          <t>Papua New Guinea</t>
        </is>
      </c>
      <c r="T795" s="36">
        <f>DATE(MID(C795,7,4),MID(C795,4,2),MID(C795,1,2))+TIME(MID(C795,12,2),MID(C795,15,2),0)</f>
        <v/>
      </c>
      <c r="U795" s="33">
        <f>IF(ISNUMBER(VALUE(MID(A795,7,1))),"Distance-prefix pattern","Named-region pattern")</f>
        <v/>
      </c>
      <c r="V795" s="33">
        <f>LOWER(M795)</f>
        <v/>
      </c>
      <c r="W795" s="33">
        <f>IF(COUNTIFS($A$2:$A$1001,A795,$C$2:$C$1001,C795)&gt;1,"Duplicate","Unique")</f>
        <v/>
      </c>
      <c r="X795" s="33">
        <f>YEAR(T795)</f>
        <v/>
      </c>
      <c r="Y795" s="33">
        <f>IF(B795&lt;6.5,"&lt;6.5",IF(B795&lt;7,"6.5–6.9",IF(B795&lt;7.5,"7.0–7.4",IF(B795&lt;8,"7.5–7.9","8.0+"))))</f>
        <v/>
      </c>
      <c r="Z795" s="33">
        <f>IF(F795="","Blank",F795)</f>
        <v/>
      </c>
    </row>
    <row r="796" ht="15" customHeight="1" s="34">
      <c r="A796" s="33" t="inlineStr">
        <is>
          <t>M 7.5 - 155 km E of Kendari, Indonesia</t>
        </is>
      </c>
      <c r="B796" s="33" t="n">
        <v>7.5</v>
      </c>
      <c r="C796" s="33" t="inlineStr">
        <is>
          <t>19/10/2001 03:28</t>
        </is>
      </c>
      <c r="D796" s="33" t="n">
        <v>0</v>
      </c>
      <c r="E796" s="33" t="n">
        <v>6</v>
      </c>
      <c r="G796" s="33" t="n">
        <v>0</v>
      </c>
      <c r="H796" s="33" t="n">
        <v>865</v>
      </c>
      <c r="I796" s="33" t="inlineStr">
        <is>
          <t>us</t>
        </is>
      </c>
      <c r="J796" s="33" t="n">
        <v>234</v>
      </c>
      <c r="K796" s="33" t="n">
        <v>0</v>
      </c>
      <c r="L796" s="33" t="n">
        <v>0</v>
      </c>
      <c r="M796" s="33" t="inlineStr">
        <is>
          <t>mwc</t>
        </is>
      </c>
      <c r="N796" s="33" t="n">
        <v>33</v>
      </c>
      <c r="O796" s="33" t="n">
        <v>-4.102</v>
      </c>
      <c r="P796" s="33" t="n">
        <v>123.907</v>
      </c>
      <c r="Q796" s="33" t="inlineStr">
        <is>
          <t>Kendari, Indonesia</t>
        </is>
      </c>
      <c r="S796" s="33" t="inlineStr">
        <is>
          <t>Indonesia</t>
        </is>
      </c>
      <c r="T796" s="36">
        <f>DATE(MID(C796,7,4),MID(C796,4,2),MID(C796,1,2))+TIME(MID(C796,12,2),MID(C796,15,2),0)</f>
        <v/>
      </c>
      <c r="U796" s="33">
        <f>IF(ISNUMBER(VALUE(MID(A796,7,1))),"Distance-prefix pattern","Named-region pattern")</f>
        <v/>
      </c>
      <c r="V796" s="33">
        <f>LOWER(M796)</f>
        <v/>
      </c>
      <c r="W796" s="33">
        <f>IF(COUNTIFS($A$2:$A$1001,A796,$C$2:$C$1001,C796)&gt;1,"Duplicate","Unique")</f>
        <v/>
      </c>
      <c r="X796" s="33">
        <f>YEAR(T796)</f>
        <v/>
      </c>
      <c r="Y796" s="33">
        <f>IF(B796&lt;6.5,"&lt;6.5",IF(B796&lt;7,"6.5–6.9",IF(B796&lt;7.5,"7.0–7.4",IF(B796&lt;8,"7.5–7.9","8.0+"))))</f>
        <v/>
      </c>
      <c r="Z796" s="33">
        <f>IF(F796="","Blank",F796)</f>
        <v/>
      </c>
    </row>
    <row r="797" ht="15" customHeight="1" s="34">
      <c r="A797" s="33" t="inlineStr">
        <is>
          <t>M 7.0 - 69 km SSE of Inarajan Village, Guam</t>
        </is>
      </c>
      <c r="B797" s="33" t="n">
        <v>7</v>
      </c>
      <c r="C797" s="33" t="inlineStr">
        <is>
          <t>12/10/2001 15:02</t>
        </is>
      </c>
      <c r="D797" s="33" t="n">
        <v>0</v>
      </c>
      <c r="E797" s="33" t="n">
        <v>6</v>
      </c>
      <c r="G797" s="33" t="n">
        <v>0</v>
      </c>
      <c r="H797" s="33" t="n">
        <v>754</v>
      </c>
      <c r="I797" s="33" t="inlineStr">
        <is>
          <t>us</t>
        </is>
      </c>
      <c r="J797" s="33" t="n">
        <v>482</v>
      </c>
      <c r="K797" s="33" t="n">
        <v>0</v>
      </c>
      <c r="L797" s="33" t="n">
        <v>0</v>
      </c>
      <c r="M797" s="33" t="inlineStr">
        <is>
          <t>mwc</t>
        </is>
      </c>
      <c r="N797" s="33" t="n">
        <v>37</v>
      </c>
      <c r="O797" s="33" t="n">
        <v>12.686</v>
      </c>
      <c r="P797" s="33" t="n">
        <v>144.98</v>
      </c>
      <c r="Q797" s="33" t="inlineStr">
        <is>
          <t>Inarajan Village, Guam</t>
        </is>
      </c>
      <c r="T797" s="36">
        <f>DATE(MID(C797,7,4),MID(C797,4,2),MID(C797,1,2))+TIME(MID(C797,12,2),MID(C797,15,2),0)</f>
        <v/>
      </c>
      <c r="U797" s="33">
        <f>IF(ISNUMBER(VALUE(MID(A797,7,1))),"Distance-prefix pattern","Named-region pattern")</f>
        <v/>
      </c>
      <c r="V797" s="33">
        <f>LOWER(M797)</f>
        <v/>
      </c>
      <c r="W797" s="33">
        <f>IF(COUNTIFS($A$2:$A$1001,A797,$C$2:$C$1001,C797)&gt;1,"Duplicate","Unique")</f>
        <v/>
      </c>
      <c r="X797" s="33">
        <f>YEAR(T797)</f>
        <v/>
      </c>
      <c r="Y797" s="33">
        <f>IF(B797&lt;6.5,"&lt;6.5",IF(B797&lt;7,"6.5–6.9",IF(B797&lt;7.5,"7.0–7.4",IF(B797&lt;8,"7.5–7.9","8.0+"))))</f>
        <v/>
      </c>
      <c r="Z797" s="33">
        <f>IF(F797="","Blank",F797)</f>
        <v/>
      </c>
    </row>
    <row r="798" ht="15" customHeight="1" s="34">
      <c r="A798" s="33" t="inlineStr">
        <is>
          <t>M 6.5 - 108 km WNW of Manokwari, Indonesia</t>
        </is>
      </c>
      <c r="B798" s="33" t="n">
        <v>6.5</v>
      </c>
      <c r="C798" s="33" t="inlineStr">
        <is>
          <t>11/09/2001 14:56</t>
        </is>
      </c>
      <c r="D798" s="33" t="n">
        <v>0</v>
      </c>
      <c r="E798" s="33" t="n">
        <v>6</v>
      </c>
      <c r="G798" s="33" t="n">
        <v>0</v>
      </c>
      <c r="H798" s="33" t="n">
        <v>650</v>
      </c>
      <c r="I798" s="33" t="inlineStr">
        <is>
          <t>us</t>
        </is>
      </c>
      <c r="J798" s="33" t="n">
        <v>174</v>
      </c>
      <c r="K798" s="33" t="n">
        <v>0</v>
      </c>
      <c r="L798" s="33" t="n">
        <v>0</v>
      </c>
      <c r="M798" s="33" t="inlineStr">
        <is>
          <t>mwc</t>
        </is>
      </c>
      <c r="N798" s="33" t="n">
        <v>33</v>
      </c>
      <c r="O798" s="33" t="n">
        <v>-0.578</v>
      </c>
      <c r="P798" s="33" t="n">
        <v>133.13</v>
      </c>
      <c r="Q798" s="33" t="inlineStr">
        <is>
          <t>Manokwari, Indonesia</t>
        </is>
      </c>
      <c r="S798" s="33" t="inlineStr">
        <is>
          <t>Indonesia</t>
        </is>
      </c>
      <c r="T798" s="36">
        <f>DATE(MID(C798,7,4),MID(C798,4,2),MID(C798,1,2))+TIME(MID(C798,12,2),MID(C798,15,2),0)</f>
        <v/>
      </c>
      <c r="U798" s="33">
        <f>IF(ISNUMBER(VALUE(MID(A798,7,1))),"Distance-prefix pattern","Named-region pattern")</f>
        <v/>
      </c>
      <c r="V798" s="33">
        <f>LOWER(M798)</f>
        <v/>
      </c>
      <c r="W798" s="33">
        <f>IF(COUNTIFS($A$2:$A$1001,A798,$C$2:$C$1001,C798)&gt;1,"Duplicate","Unique")</f>
        <v/>
      </c>
      <c r="X798" s="33">
        <f>YEAR(T798)</f>
        <v/>
      </c>
      <c r="Y798" s="33">
        <f>IF(B798&lt;6.5,"&lt;6.5",IF(B798&lt;7,"6.5–6.9",IF(B798&lt;7.5,"7.0–7.4",IF(B798&lt;8,"7.5–7.9","8.0+"))))</f>
        <v/>
      </c>
      <c r="Z798" s="33">
        <f>IF(F798="","Blank",F798)</f>
        <v/>
      </c>
    </row>
    <row r="799" ht="15" customHeight="1" s="34">
      <c r="A799" s="33" t="inlineStr">
        <is>
          <t>M 6.6 - 74 km S of Kokhanok, Alaska</t>
        </is>
      </c>
      <c r="B799" s="33" t="n">
        <v>6.6</v>
      </c>
      <c r="C799" s="33" t="inlineStr">
        <is>
          <t>28/07/2001 07:32</t>
        </is>
      </c>
      <c r="D799" s="33" t="n">
        <v>6</v>
      </c>
      <c r="E799" s="33" t="n">
        <v>6</v>
      </c>
      <c r="G799" s="33" t="n">
        <v>0</v>
      </c>
      <c r="H799" s="33" t="n">
        <v>754</v>
      </c>
      <c r="I799" s="33" t="inlineStr">
        <is>
          <t>ak</t>
        </is>
      </c>
      <c r="J799" s="33" t="n">
        <v>0</v>
      </c>
      <c r="K799" s="33" t="n">
        <v>0</v>
      </c>
      <c r="L799" s="33" t="n">
        <v>0</v>
      </c>
      <c r="M799" s="33" t="inlineStr">
        <is>
          <t>mw</t>
        </is>
      </c>
      <c r="N799" s="33" t="n">
        <v>131.8</v>
      </c>
      <c r="O799" s="33" t="n">
        <v>58.775</v>
      </c>
      <c r="P799" s="33" t="n">
        <v>-154.701</v>
      </c>
      <c r="Q799" s="33" t="inlineStr">
        <is>
          <t>Kokhanok, Alaska</t>
        </is>
      </c>
      <c r="R799" s="33" t="inlineStr">
        <is>
          <t>North America</t>
        </is>
      </c>
      <c r="S799" s="33" t="inlineStr">
        <is>
          <t>United States of America</t>
        </is>
      </c>
      <c r="T799" s="36">
        <f>DATE(MID(C799,7,4),MID(C799,4,2),MID(C799,1,2))+TIME(MID(C799,12,2),MID(C799,15,2),0)</f>
        <v/>
      </c>
      <c r="U799" s="33">
        <f>IF(ISNUMBER(VALUE(MID(A799,7,1))),"Distance-prefix pattern","Named-region pattern")</f>
        <v/>
      </c>
      <c r="V799" s="33">
        <f>LOWER(M799)</f>
        <v/>
      </c>
      <c r="W799" s="33">
        <f>IF(COUNTIFS($A$2:$A$1001,A799,$C$2:$C$1001,C799)&gt;1,"Duplicate","Unique")</f>
        <v/>
      </c>
      <c r="X799" s="33">
        <f>YEAR(T799)</f>
        <v/>
      </c>
      <c r="Y799" s="33">
        <f>IF(B799&lt;6.5,"&lt;6.5",IF(B799&lt;7,"6.5–6.9",IF(B799&lt;7.5,"7.0–7.4",IF(B799&lt;8,"7.5–7.9","8.0+"))))</f>
        <v/>
      </c>
      <c r="Z799" s="33">
        <f>IF(F799="","Blank",F799)</f>
        <v/>
      </c>
    </row>
    <row r="800" ht="15" customHeight="1" s="34">
      <c r="A800" s="33" t="inlineStr">
        <is>
          <t>M 6.5 - 32 km WNW of Skýros, Greece</t>
        </is>
      </c>
      <c r="B800" s="33" t="n">
        <v>6.5</v>
      </c>
      <c r="C800" s="33" t="inlineStr">
        <is>
          <t>26/07/2001 00:21</t>
        </is>
      </c>
      <c r="D800" s="33" t="n">
        <v>0</v>
      </c>
      <c r="E800" s="33" t="n">
        <v>8</v>
      </c>
      <c r="G800" s="33" t="n">
        <v>0</v>
      </c>
      <c r="H800" s="33" t="n">
        <v>650</v>
      </c>
      <c r="I800" s="33" t="inlineStr">
        <is>
          <t>us</t>
        </is>
      </c>
      <c r="J800" s="33" t="n">
        <v>483</v>
      </c>
      <c r="K800" s="33" t="n">
        <v>0</v>
      </c>
      <c r="L800" s="33" t="n">
        <v>0</v>
      </c>
      <c r="M800" s="33" t="inlineStr">
        <is>
          <t>mwc</t>
        </is>
      </c>
      <c r="N800" s="33" t="n">
        <v>10</v>
      </c>
      <c r="O800" s="33" t="n">
        <v>39.059</v>
      </c>
      <c r="P800" s="33" t="n">
        <v>24.244</v>
      </c>
      <c r="Q800" s="33" t="inlineStr">
        <is>
          <t>Skýros, Greece</t>
        </is>
      </c>
      <c r="R800" s="33" t="inlineStr">
        <is>
          <t>Europe</t>
        </is>
      </c>
      <c r="S800" s="33" t="inlineStr">
        <is>
          <t>Greece</t>
        </is>
      </c>
      <c r="T800" s="36">
        <f>DATE(MID(C800,7,4),MID(C800,4,2),MID(C800,1,2))+TIME(MID(C800,12,2),MID(C800,15,2),0)</f>
        <v/>
      </c>
      <c r="U800" s="33">
        <f>IF(ISNUMBER(VALUE(MID(A800,7,1))),"Distance-prefix pattern","Named-region pattern")</f>
        <v/>
      </c>
      <c r="V800" s="33">
        <f>LOWER(M800)</f>
        <v/>
      </c>
      <c r="W800" s="33">
        <f>IF(COUNTIFS($A$2:$A$1001,A800,$C$2:$C$1001,C800)&gt;1,"Duplicate","Unique")</f>
        <v/>
      </c>
      <c r="X800" s="33">
        <f>YEAR(T800)</f>
        <v/>
      </c>
      <c r="Y800" s="33">
        <f>IF(B800&lt;6.5,"&lt;6.5",IF(B800&lt;7,"6.5–6.9",IF(B800&lt;7.5,"7.0–7.4",IF(B800&lt;8,"7.5–7.9","8.0+"))))</f>
        <v/>
      </c>
      <c r="Z800" s="33">
        <f>IF(F800="","Blank",F800)</f>
        <v/>
      </c>
    </row>
    <row r="801" ht="15" customHeight="1" s="34">
      <c r="A801" s="33" t="inlineStr">
        <is>
          <t>M 7.6 - 51 km SW of Punta de Bombón, Peru</t>
        </is>
      </c>
      <c r="B801" s="33" t="n">
        <v>7.6</v>
      </c>
      <c r="C801" s="33" t="inlineStr">
        <is>
          <t>07/07/2001 09:38</t>
        </is>
      </c>
      <c r="D801" s="33" t="n">
        <v>0</v>
      </c>
      <c r="E801" s="33" t="n">
        <v>7</v>
      </c>
      <c r="G801" s="33" t="n">
        <v>0</v>
      </c>
      <c r="H801" s="33" t="n">
        <v>889</v>
      </c>
      <c r="I801" s="33" t="inlineStr">
        <is>
          <t>us</t>
        </is>
      </c>
      <c r="J801" s="33" t="n">
        <v>398</v>
      </c>
      <c r="K801" s="33" t="n">
        <v>0</v>
      </c>
      <c r="L801" s="33" t="n">
        <v>0</v>
      </c>
      <c r="M801" s="33" t="inlineStr">
        <is>
          <t>mwc</t>
        </is>
      </c>
      <c r="N801" s="33" t="n">
        <v>33</v>
      </c>
      <c r="O801" s="33" t="n">
        <v>-17.543</v>
      </c>
      <c r="P801" s="33" t="n">
        <v>-72.077</v>
      </c>
      <c r="Q801" s="33" t="inlineStr">
        <is>
          <t>Punta de Bombón, Peru</t>
        </is>
      </c>
      <c r="S801" s="33" t="inlineStr">
        <is>
          <t>Peru</t>
        </is>
      </c>
      <c r="T801" s="36">
        <f>DATE(MID(C801,7,4),MID(C801,4,2),MID(C801,1,2))+TIME(MID(C801,12,2),MID(C801,15,2),0)</f>
        <v/>
      </c>
      <c r="U801" s="33">
        <f>IF(ISNUMBER(VALUE(MID(A801,7,1))),"Distance-prefix pattern","Named-region pattern")</f>
        <v/>
      </c>
      <c r="V801" s="33">
        <f>LOWER(M801)</f>
        <v/>
      </c>
      <c r="W801" s="33">
        <f>IF(COUNTIFS($A$2:$A$1001,A801,$C$2:$C$1001,C801)&gt;1,"Duplicate","Unique")</f>
        <v/>
      </c>
      <c r="X801" s="33">
        <f>YEAR(T801)</f>
        <v/>
      </c>
      <c r="Y801" s="33">
        <f>IF(B801&lt;6.5,"&lt;6.5",IF(B801&lt;7,"6.5–6.9",IF(B801&lt;7.5,"7.0–7.4",IF(B801&lt;8,"7.5–7.9","8.0+"))))</f>
        <v/>
      </c>
      <c r="Z801" s="33">
        <f>IF(F801="","Blank",F801)</f>
        <v/>
      </c>
    </row>
    <row r="802" ht="15" customHeight="1" s="34">
      <c r="A802" s="33" t="inlineStr">
        <is>
          <t>M 6.6 - 31 km S of Achanizo, Peru</t>
        </is>
      </c>
      <c r="B802" s="33" t="n">
        <v>6.6</v>
      </c>
      <c r="C802" s="33" t="inlineStr">
        <is>
          <t>05/07/2001 13:53</t>
        </is>
      </c>
      <c r="D802" s="33" t="n">
        <v>0</v>
      </c>
      <c r="E802" s="33" t="n">
        <v>7</v>
      </c>
      <c r="G802" s="33" t="n">
        <v>0</v>
      </c>
      <c r="H802" s="33" t="n">
        <v>670</v>
      </c>
      <c r="I802" s="33" t="inlineStr">
        <is>
          <t>us</t>
        </is>
      </c>
      <c r="J802" s="33" t="n">
        <v>324</v>
      </c>
      <c r="K802" s="33" t="n">
        <v>0</v>
      </c>
      <c r="L802" s="33" t="n">
        <v>0</v>
      </c>
      <c r="M802" s="33" t="inlineStr">
        <is>
          <t>mwc</t>
        </is>
      </c>
      <c r="N802" s="33" t="n">
        <v>62</v>
      </c>
      <c r="O802" s="33" t="n">
        <v>-16.086</v>
      </c>
      <c r="P802" s="33" t="n">
        <v>-73.98699999999999</v>
      </c>
      <c r="Q802" s="33" t="inlineStr">
        <is>
          <t>Achanizo, Peru</t>
        </is>
      </c>
      <c r="S802" s="33" t="inlineStr">
        <is>
          <t>Peru</t>
        </is>
      </c>
      <c r="T802" s="36">
        <f>DATE(MID(C802,7,4),MID(C802,4,2),MID(C802,1,2))+TIME(MID(C802,12,2),MID(C802,15,2),0)</f>
        <v/>
      </c>
      <c r="U802" s="33">
        <f>IF(ISNUMBER(VALUE(MID(A802,7,1))),"Distance-prefix pattern","Named-region pattern")</f>
        <v/>
      </c>
      <c r="V802" s="33">
        <f>LOWER(M802)</f>
        <v/>
      </c>
      <c r="W802" s="33">
        <f>IF(COUNTIFS($A$2:$A$1001,A802,$C$2:$C$1001,C802)&gt;1,"Duplicate","Unique")</f>
        <v/>
      </c>
      <c r="X802" s="33">
        <f>YEAR(T802)</f>
        <v/>
      </c>
      <c r="Y802" s="33">
        <f>IF(B802&lt;6.5,"&lt;6.5",IF(B802&lt;7,"6.5–6.9",IF(B802&lt;7.5,"7.0–7.4",IF(B802&lt;8,"7.5–7.9","8.0+"))))</f>
        <v/>
      </c>
      <c r="Z802" s="33">
        <f>IF(F802="","Blank",F802)</f>
        <v/>
      </c>
    </row>
    <row r="803" ht="15" customHeight="1" s="34">
      <c r="A803" s="33" t="inlineStr">
        <is>
          <t>M 6.7 - 34 km WSW of Pacocha, Peru</t>
        </is>
      </c>
      <c r="B803" s="33" t="n">
        <v>6.7</v>
      </c>
      <c r="C803" s="33" t="inlineStr">
        <is>
          <t>26/06/2001 04:18</t>
        </is>
      </c>
      <c r="D803" s="33" t="n">
        <v>0</v>
      </c>
      <c r="E803" s="33" t="n">
        <v>6</v>
      </c>
      <c r="G803" s="33" t="n">
        <v>0</v>
      </c>
      <c r="H803" s="33" t="n">
        <v>691</v>
      </c>
      <c r="I803" s="33" t="inlineStr">
        <is>
          <t>us</t>
        </is>
      </c>
      <c r="J803" s="33" t="n">
        <v>422</v>
      </c>
      <c r="K803" s="33" t="n">
        <v>0</v>
      </c>
      <c r="L803" s="33" t="n">
        <v>0</v>
      </c>
      <c r="M803" s="33" t="inlineStr">
        <is>
          <t>mwc</t>
        </is>
      </c>
      <c r="N803" s="33" t="n">
        <v>24</v>
      </c>
      <c r="O803" s="33" t="n">
        <v>-17.745</v>
      </c>
      <c r="P803" s="33" t="n">
        <v>-71.649</v>
      </c>
      <c r="Q803" s="33" t="inlineStr">
        <is>
          <t>Pacocha, Peru</t>
        </is>
      </c>
      <c r="S803" s="33" t="inlineStr">
        <is>
          <t>Peru</t>
        </is>
      </c>
      <c r="T803" s="36">
        <f>DATE(MID(C803,7,4),MID(C803,4,2),MID(C803,1,2))+TIME(MID(C803,12,2),MID(C803,15,2),0)</f>
        <v/>
      </c>
      <c r="U803" s="33">
        <f>IF(ISNUMBER(VALUE(MID(A803,7,1))),"Distance-prefix pattern","Named-region pattern")</f>
        <v/>
      </c>
      <c r="V803" s="33">
        <f>LOWER(M803)</f>
        <v/>
      </c>
      <c r="W803" s="33">
        <f>IF(COUNTIFS($A$2:$A$1001,A803,$C$2:$C$1001,C803)&gt;1,"Duplicate","Unique")</f>
        <v/>
      </c>
      <c r="X803" s="33">
        <f>YEAR(T803)</f>
        <v/>
      </c>
      <c r="Y803" s="33">
        <f>IF(B803&lt;6.5,"&lt;6.5",IF(B803&lt;7,"6.5–6.9",IF(B803&lt;7.5,"7.0–7.4",IF(B803&lt;8,"7.5–7.9","8.0+"))))</f>
        <v/>
      </c>
      <c r="Z803" s="33">
        <f>IF(F803="","Blank",F803)</f>
        <v/>
      </c>
    </row>
    <row r="804" ht="15" customHeight="1" s="34">
      <c r="A804" s="33" t="inlineStr">
        <is>
          <t>M 8.4 - 6 km SSW of Atico, Peru</t>
        </is>
      </c>
      <c r="B804" s="33" t="n">
        <v>8.4</v>
      </c>
      <c r="C804" s="33" t="inlineStr">
        <is>
          <t>23/06/2001 20:33</t>
        </is>
      </c>
      <c r="D804" s="33" t="n">
        <v>0</v>
      </c>
      <c r="E804" s="33" t="n">
        <v>8</v>
      </c>
      <c r="G804" s="33" t="n">
        <v>0</v>
      </c>
      <c r="H804" s="33" t="n">
        <v>1086</v>
      </c>
      <c r="I804" s="33" t="inlineStr">
        <is>
          <t>official</t>
        </is>
      </c>
      <c r="J804" s="33" t="n">
        <v>518</v>
      </c>
      <c r="K804" s="33" t="n">
        <v>0</v>
      </c>
      <c r="L804" s="33" t="n">
        <v>0</v>
      </c>
      <c r="M804" s="33" t="inlineStr">
        <is>
          <t>mww</t>
        </is>
      </c>
      <c r="N804" s="33" t="n">
        <v>33</v>
      </c>
      <c r="O804" s="33" t="n">
        <v>-16.265</v>
      </c>
      <c r="P804" s="33" t="n">
        <v>-73.64100000000001</v>
      </c>
      <c r="Q804" s="33" t="inlineStr">
        <is>
          <t>Atico, Peru</t>
        </is>
      </c>
      <c r="S804" s="33" t="inlineStr">
        <is>
          <t>Peru</t>
        </is>
      </c>
      <c r="T804" s="36">
        <f>DATE(MID(C804,7,4),MID(C804,4,2),MID(C804,1,2))+TIME(MID(C804,12,2),MID(C804,15,2),0)</f>
        <v/>
      </c>
      <c r="U804" s="33">
        <f>IF(ISNUMBER(VALUE(MID(A804,7,1))),"Distance-prefix pattern","Named-region pattern")</f>
        <v/>
      </c>
      <c r="V804" s="33">
        <f>LOWER(M804)</f>
        <v/>
      </c>
      <c r="W804" s="33">
        <f>IF(COUNTIFS($A$2:$A$1001,A804,$C$2:$C$1001,C804)&gt;1,"Duplicate","Unique")</f>
        <v/>
      </c>
      <c r="X804" s="33">
        <f>YEAR(T804)</f>
        <v/>
      </c>
      <c r="Y804" s="33">
        <f>IF(B804&lt;6.5,"&lt;6.5",IF(B804&lt;7,"6.5–6.9",IF(B804&lt;7.5,"7.0–7.4",IF(B804&lt;8,"7.5–7.9","8.0+"))))</f>
        <v/>
      </c>
      <c r="Z804" s="33">
        <f>IF(F804="","Blank",F804)</f>
        <v/>
      </c>
    </row>
    <row r="805" ht="15" customHeight="1" s="34">
      <c r="A805" s="33" t="inlineStr">
        <is>
          <t>M 6.7 - 128 km SSE of Panguna, Papua New Guinea</t>
        </is>
      </c>
      <c r="B805" s="33" t="n">
        <v>6.7</v>
      </c>
      <c r="C805" s="33" t="inlineStr">
        <is>
          <t>19/04/2001 21:43</t>
        </is>
      </c>
      <c r="D805" s="33" t="n">
        <v>0</v>
      </c>
      <c r="E805" s="33" t="n">
        <v>6</v>
      </c>
      <c r="G805" s="33" t="n">
        <v>0</v>
      </c>
      <c r="H805" s="33" t="n">
        <v>691</v>
      </c>
      <c r="I805" s="33" t="inlineStr">
        <is>
          <t>us</t>
        </is>
      </c>
      <c r="J805" s="33" t="n">
        <v>282</v>
      </c>
      <c r="K805" s="33" t="n">
        <v>0</v>
      </c>
      <c r="L805" s="33" t="n">
        <v>0</v>
      </c>
      <c r="M805" s="33" t="inlineStr">
        <is>
          <t>mwc</t>
        </is>
      </c>
      <c r="N805" s="33" t="n">
        <v>17</v>
      </c>
      <c r="O805" s="33" t="n">
        <v>-7.41</v>
      </c>
      <c r="P805" s="33" t="n">
        <v>155.865</v>
      </c>
      <c r="Q805" s="33" t="inlineStr">
        <is>
          <t>Panguna, Papua New Guinea</t>
        </is>
      </c>
      <c r="S805" s="33" t="inlineStr">
        <is>
          <t>Solomon Islands</t>
        </is>
      </c>
      <c r="T805" s="36">
        <f>DATE(MID(C805,7,4),MID(C805,4,2),MID(C805,1,2))+TIME(MID(C805,12,2),MID(C805,15,2),0)</f>
        <v/>
      </c>
      <c r="U805" s="33">
        <f>IF(ISNUMBER(VALUE(MID(A805,7,1))),"Distance-prefix pattern","Named-region pattern")</f>
        <v/>
      </c>
      <c r="V805" s="33">
        <f>LOWER(M805)</f>
        <v/>
      </c>
      <c r="W805" s="33">
        <f>IF(COUNTIFS($A$2:$A$1001,A805,$C$2:$C$1001,C805)&gt;1,"Duplicate","Unique")</f>
        <v/>
      </c>
      <c r="X805" s="33">
        <f>YEAR(T805)</f>
        <v/>
      </c>
      <c r="Y805" s="33">
        <f>IF(B805&lt;6.5,"&lt;6.5",IF(B805&lt;7,"6.5–6.9",IF(B805&lt;7.5,"7.0–7.4",IF(B805&lt;8,"7.5–7.9","8.0+"))))</f>
        <v/>
      </c>
      <c r="Z805" s="33">
        <f>IF(F805="","Blank",F805)</f>
        <v/>
      </c>
    </row>
    <row r="806" ht="15" customHeight="1" s="34">
      <c r="A806" s="33" t="inlineStr">
        <is>
          <t>M 6.8 - 16 km SSW of Kure, Japan</t>
        </is>
      </c>
      <c r="B806" s="33" t="n">
        <v>6.8</v>
      </c>
      <c r="C806" s="33" t="inlineStr">
        <is>
          <t>24/03/2001 06:27</t>
        </is>
      </c>
      <c r="D806" s="33" t="n">
        <v>0</v>
      </c>
      <c r="E806" s="33" t="n">
        <v>7</v>
      </c>
      <c r="G806" s="33" t="n">
        <v>0</v>
      </c>
      <c r="H806" s="33" t="n">
        <v>711</v>
      </c>
      <c r="I806" s="33" t="inlineStr">
        <is>
          <t>us</t>
        </is>
      </c>
      <c r="J806" s="33" t="n">
        <v>596</v>
      </c>
      <c r="K806" s="33" t="n">
        <v>0</v>
      </c>
      <c r="L806" s="33" t="n">
        <v>0</v>
      </c>
      <c r="M806" s="33" t="inlineStr">
        <is>
          <t>mwc</t>
        </is>
      </c>
      <c r="N806" s="33" t="n">
        <v>50</v>
      </c>
      <c r="O806" s="33" t="n">
        <v>34.083</v>
      </c>
      <c r="P806" s="33" t="n">
        <v>132.526</v>
      </c>
      <c r="Q806" s="33" t="inlineStr">
        <is>
          <t>Kure, Japan</t>
        </is>
      </c>
      <c r="R806" s="33" t="inlineStr">
        <is>
          <t>Asia</t>
        </is>
      </c>
      <c r="S806" s="33" t="inlineStr">
        <is>
          <t>Japan</t>
        </is>
      </c>
      <c r="T806" s="36">
        <f>DATE(MID(C806,7,4),MID(C806,4,2),MID(C806,1,2))+TIME(MID(C806,12,2),MID(C806,15,2),0)</f>
        <v/>
      </c>
      <c r="U806" s="33">
        <f>IF(ISNUMBER(VALUE(MID(A806,7,1))),"Distance-prefix pattern","Named-region pattern")</f>
        <v/>
      </c>
      <c r="V806" s="33">
        <f>LOWER(M806)</f>
        <v/>
      </c>
      <c r="W806" s="33">
        <f>IF(COUNTIFS($A$2:$A$1001,A806,$C$2:$C$1001,C806)&gt;1,"Duplicate","Unique")</f>
        <v/>
      </c>
      <c r="X806" s="33">
        <f>YEAR(T806)</f>
        <v/>
      </c>
      <c r="Y806" s="33">
        <f>IF(B806&lt;6.5,"&lt;6.5",IF(B806&lt;7,"6.5–6.9",IF(B806&lt;7.5,"7.0–7.4",IF(B806&lt;8,"7.5–7.9","8.0+"))))</f>
        <v/>
      </c>
      <c r="Z806" s="33">
        <f>IF(F806="","Blank",F806)</f>
        <v/>
      </c>
    </row>
    <row r="807" ht="15" customHeight="1" s="34">
      <c r="A807" s="33" t="inlineStr">
        <is>
          <t>M 6.5 - 41 km SSW of Ambon, Indonesia</t>
        </is>
      </c>
      <c r="B807" s="33" t="n">
        <v>6.5</v>
      </c>
      <c r="C807" s="33" t="inlineStr">
        <is>
          <t>19/03/2001 05:52</t>
        </is>
      </c>
      <c r="D807" s="33" t="n">
        <v>0</v>
      </c>
      <c r="E807" s="33" t="n">
        <v>6</v>
      </c>
      <c r="G807" s="33" t="n">
        <v>0</v>
      </c>
      <c r="H807" s="33" t="n">
        <v>650</v>
      </c>
      <c r="I807" s="33" t="inlineStr">
        <is>
          <t>us</t>
        </is>
      </c>
      <c r="J807" s="33" t="n">
        <v>206</v>
      </c>
      <c r="K807" s="33" t="n">
        <v>0</v>
      </c>
      <c r="L807" s="33" t="n">
        <v>0</v>
      </c>
      <c r="M807" s="33" t="inlineStr">
        <is>
          <t>mwc</t>
        </is>
      </c>
      <c r="N807" s="33" t="n">
        <v>33</v>
      </c>
      <c r="O807" s="33" t="n">
        <v>-4.029</v>
      </c>
      <c r="P807" s="33" t="n">
        <v>128.02</v>
      </c>
      <c r="Q807" s="33" t="inlineStr">
        <is>
          <t>Ambon, Indonesia</t>
        </is>
      </c>
      <c r="S807" s="33" t="inlineStr">
        <is>
          <t>Indonesia</t>
        </is>
      </c>
      <c r="T807" s="36">
        <f>DATE(MID(C807,7,4),MID(C807,4,2),MID(C807,1,2))+TIME(MID(C807,12,2),MID(C807,15,2),0)</f>
        <v/>
      </c>
      <c r="U807" s="33">
        <f>IF(ISNUMBER(VALUE(MID(A807,7,1))),"Distance-prefix pattern","Named-region pattern")</f>
        <v/>
      </c>
      <c r="V807" s="33">
        <f>LOWER(M807)</f>
        <v/>
      </c>
      <c r="W807" s="33">
        <f>IF(COUNTIFS($A$2:$A$1001,A807,$C$2:$C$1001,C807)&gt;1,"Duplicate","Unique")</f>
        <v/>
      </c>
      <c r="X807" s="33">
        <f>YEAR(T807)</f>
        <v/>
      </c>
      <c r="Y807" s="33">
        <f>IF(B807&lt;6.5,"&lt;6.5",IF(B807&lt;7,"6.5–6.9",IF(B807&lt;7.5,"7.0–7.4",IF(B807&lt;8,"7.5–7.9","8.0+"))))</f>
        <v/>
      </c>
      <c r="Z807" s="33">
        <f>IF(F807="","Blank",F807)</f>
        <v/>
      </c>
    </row>
    <row r="808" ht="15" customHeight="1" s="34">
      <c r="A808" s="33" t="inlineStr">
        <is>
          <t>M 6.8 - 7 km SSE of Longbranch, Washington</t>
        </is>
      </c>
      <c r="B808" s="33" t="n">
        <v>6.8</v>
      </c>
      <c r="C808" s="33" t="inlineStr">
        <is>
          <t>28/02/2001 18:54</t>
        </is>
      </c>
      <c r="D808" s="33" t="n">
        <v>7</v>
      </c>
      <c r="E808" s="33" t="n">
        <v>7</v>
      </c>
      <c r="G808" s="33" t="n">
        <v>0</v>
      </c>
      <c r="H808" s="33" t="n">
        <v>1441</v>
      </c>
      <c r="I808" s="33" t="inlineStr">
        <is>
          <t>uw</t>
        </is>
      </c>
      <c r="J808" s="33" t="n">
        <v>67</v>
      </c>
      <c r="K808" s="33" t="n">
        <v>0</v>
      </c>
      <c r="L808" s="33" t="n">
        <v>31</v>
      </c>
      <c r="M808" s="33" t="inlineStr">
        <is>
          <t>md</t>
        </is>
      </c>
      <c r="N808" s="33" t="n">
        <v>51.798</v>
      </c>
      <c r="O808" s="33" t="n">
        <v>47.149</v>
      </c>
      <c r="P808" s="33" t="n">
        <v>-122.727</v>
      </c>
      <c r="Q808" s="33" t="inlineStr">
        <is>
          <t>Longbranch, Washington</t>
        </is>
      </c>
      <c r="R808" s="33" t="inlineStr">
        <is>
          <t>North America</t>
        </is>
      </c>
      <c r="S808" s="33" t="inlineStr">
        <is>
          <t>United States of America</t>
        </is>
      </c>
      <c r="T808" s="36">
        <f>DATE(MID(C808,7,4),MID(C808,4,2),MID(C808,1,2))+TIME(MID(C808,12,2),MID(C808,15,2),0)</f>
        <v/>
      </c>
      <c r="U808" s="33">
        <f>IF(ISNUMBER(VALUE(MID(A808,7,1))),"Distance-prefix pattern","Named-region pattern")</f>
        <v/>
      </c>
      <c r="V808" s="33">
        <f>LOWER(M808)</f>
        <v/>
      </c>
      <c r="W808" s="33">
        <f>IF(COUNTIFS($A$2:$A$1001,A808,$C$2:$C$1001,C808)&gt;1,"Duplicate","Unique")</f>
        <v/>
      </c>
      <c r="X808" s="33">
        <f>YEAR(T808)</f>
        <v/>
      </c>
      <c r="Y808" s="33">
        <f>IF(B808&lt;6.5,"&lt;6.5",IF(B808&lt;7,"6.5–6.9",IF(B808&lt;7.5,"7.0–7.4",IF(B808&lt;8,"7.5–7.9","8.0+"))))</f>
        <v/>
      </c>
      <c r="Z808" s="33">
        <f>IF(F808="","Blank",F808)</f>
        <v/>
      </c>
    </row>
    <row r="809" ht="15" customHeight="1" s="34">
      <c r="A809" s="33" t="inlineStr">
        <is>
          <t>M 7.1 - 137 km WNW of Ternate, Indonesia</t>
        </is>
      </c>
      <c r="B809" s="33" t="n">
        <v>7.1</v>
      </c>
      <c r="C809" s="33" t="inlineStr">
        <is>
          <t>24/02/2001 07:23</t>
        </is>
      </c>
      <c r="D809" s="33" t="n">
        <v>0</v>
      </c>
      <c r="E809" s="33" t="n">
        <v>7</v>
      </c>
      <c r="G809" s="33" t="n">
        <v>0</v>
      </c>
      <c r="H809" s="33" t="n">
        <v>776</v>
      </c>
      <c r="I809" s="33" t="inlineStr">
        <is>
          <t>us</t>
        </is>
      </c>
      <c r="J809" s="33" t="n">
        <v>426</v>
      </c>
      <c r="K809" s="33" t="n">
        <v>0</v>
      </c>
      <c r="L809" s="33" t="n">
        <v>0</v>
      </c>
      <c r="M809" s="33" t="inlineStr">
        <is>
          <t>mwc</t>
        </is>
      </c>
      <c r="N809" s="33" t="n">
        <v>35</v>
      </c>
      <c r="O809" s="33" t="n">
        <v>1.271</v>
      </c>
      <c r="P809" s="33" t="n">
        <v>126.249</v>
      </c>
      <c r="Q809" s="33" t="inlineStr">
        <is>
          <t>Ternate, Indonesia</t>
        </is>
      </c>
      <c r="S809" s="33" t="inlineStr">
        <is>
          <t>Indonesia</t>
        </is>
      </c>
      <c r="T809" s="36">
        <f>DATE(MID(C809,7,4),MID(C809,4,2),MID(C809,1,2))+TIME(MID(C809,12,2),MID(C809,15,2),0)</f>
        <v/>
      </c>
      <c r="U809" s="33">
        <f>IF(ISNUMBER(VALUE(MID(A809,7,1))),"Distance-prefix pattern","Named-region pattern")</f>
        <v/>
      </c>
      <c r="V809" s="33">
        <f>LOWER(M809)</f>
        <v/>
      </c>
      <c r="W809" s="33">
        <f>IF(COUNTIFS($A$2:$A$1001,A809,$C$2:$C$1001,C809)&gt;1,"Duplicate","Unique")</f>
        <v/>
      </c>
      <c r="X809" s="33">
        <f>YEAR(T809)</f>
        <v/>
      </c>
      <c r="Y809" s="33">
        <f>IF(B809&lt;6.5,"&lt;6.5",IF(B809&lt;7,"6.5–6.9",IF(B809&lt;7.5,"7.0–7.4",IF(B809&lt;8,"7.5–7.9","8.0+"))))</f>
        <v/>
      </c>
      <c r="Z809" s="33">
        <f>IF(F809="","Blank",F809)</f>
        <v/>
      </c>
    </row>
    <row r="810" ht="15" customHeight="1" s="34">
      <c r="A810" s="33" t="inlineStr">
        <is>
          <t>M 7.4 - 102 km SSE of Bengkulu, Indonesia</t>
        </is>
      </c>
      <c r="B810" s="33" t="n">
        <v>7.4</v>
      </c>
      <c r="C810" s="33" t="inlineStr">
        <is>
          <t>13/02/2001 19:28</t>
        </is>
      </c>
      <c r="D810" s="33" t="n">
        <v>0</v>
      </c>
      <c r="E810" s="33" t="n">
        <v>6</v>
      </c>
      <c r="G810" s="33" t="n">
        <v>0</v>
      </c>
      <c r="H810" s="33" t="n">
        <v>842</v>
      </c>
      <c r="I810" s="33" t="inlineStr">
        <is>
          <t>us</t>
        </is>
      </c>
      <c r="J810" s="33" t="n">
        <v>221</v>
      </c>
      <c r="K810" s="33" t="n">
        <v>0</v>
      </c>
      <c r="L810" s="33" t="n">
        <v>0</v>
      </c>
      <c r="M810" s="33" t="inlineStr">
        <is>
          <t>mwc</t>
        </is>
      </c>
      <c r="N810" s="33" t="n">
        <v>36</v>
      </c>
      <c r="O810" s="33" t="n">
        <v>-4.68</v>
      </c>
      <c r="P810" s="33" t="n">
        <v>102.562</v>
      </c>
      <c r="Q810" s="33" t="inlineStr">
        <is>
          <t>Bengkulu, Indonesia</t>
        </is>
      </c>
      <c r="S810" s="33" t="inlineStr">
        <is>
          <t>Indonesia</t>
        </is>
      </c>
      <c r="T810" s="36">
        <f>DATE(MID(C810,7,4),MID(C810,4,2),MID(C810,1,2))+TIME(MID(C810,12,2),MID(C810,15,2),0)</f>
        <v/>
      </c>
      <c r="U810" s="33">
        <f>IF(ISNUMBER(VALUE(MID(A810,7,1))),"Distance-prefix pattern","Named-region pattern")</f>
        <v/>
      </c>
      <c r="V810" s="33">
        <f>LOWER(M810)</f>
        <v/>
      </c>
      <c r="W810" s="33">
        <f>IF(COUNTIFS($A$2:$A$1001,A810,$C$2:$C$1001,C810)&gt;1,"Duplicate","Unique")</f>
        <v/>
      </c>
      <c r="X810" s="33">
        <f>YEAR(T810)</f>
        <v/>
      </c>
      <c r="Y810" s="33">
        <f>IF(B810&lt;6.5,"&lt;6.5",IF(B810&lt;7,"6.5–6.9",IF(B810&lt;7.5,"7.0–7.4",IF(B810&lt;8,"7.5–7.9","8.0+"))))</f>
        <v/>
      </c>
      <c r="Z810" s="33">
        <f>IF(F810="","Blank",F810)</f>
        <v/>
      </c>
    </row>
    <row r="811" ht="15" customHeight="1" s="34">
      <c r="A811" s="33" t="inlineStr">
        <is>
          <t>M 6.6 - 5 km S of Cojutepeque, El Salvador</t>
        </is>
      </c>
      <c r="B811" s="33" t="n">
        <v>6.6</v>
      </c>
      <c r="C811" s="33" t="inlineStr">
        <is>
          <t>13/02/2001 14:22</t>
        </is>
      </c>
      <c r="D811" s="33" t="n">
        <v>0</v>
      </c>
      <c r="E811" s="33" t="n">
        <v>8</v>
      </c>
      <c r="G811" s="33" t="n">
        <v>0</v>
      </c>
      <c r="H811" s="33" t="n">
        <v>670</v>
      </c>
      <c r="I811" s="33" t="inlineStr">
        <is>
          <t>us</t>
        </is>
      </c>
      <c r="J811" s="33" t="n">
        <v>273</v>
      </c>
      <c r="K811" s="33" t="n">
        <v>0</v>
      </c>
      <c r="L811" s="33" t="n">
        <v>0</v>
      </c>
      <c r="M811" s="33" t="inlineStr">
        <is>
          <t>mwc</t>
        </is>
      </c>
      <c r="N811" s="33" t="n">
        <v>10</v>
      </c>
      <c r="O811" s="33" t="n">
        <v>13.671</v>
      </c>
      <c r="P811" s="33" t="n">
        <v>-88.938</v>
      </c>
      <c r="Q811" s="33" t="inlineStr">
        <is>
          <t>Cojutepeque, El Salvador</t>
        </is>
      </c>
      <c r="S811" s="33" t="inlineStr">
        <is>
          <t>El Salvador</t>
        </is>
      </c>
      <c r="T811" s="36">
        <f>DATE(MID(C811,7,4),MID(C811,4,2),MID(C811,1,2))+TIME(MID(C811,12,2),MID(C811,15,2),0)</f>
        <v/>
      </c>
      <c r="U811" s="33">
        <f>IF(ISNUMBER(VALUE(MID(A811,7,1))),"Distance-prefix pattern","Named-region pattern")</f>
        <v/>
      </c>
      <c r="V811" s="33">
        <f>LOWER(M811)</f>
        <v/>
      </c>
      <c r="W811" s="33">
        <f>IF(COUNTIFS($A$2:$A$1001,A811,$C$2:$C$1001,C811)&gt;1,"Duplicate","Unique")</f>
        <v/>
      </c>
      <c r="X811" s="33">
        <f>YEAR(T811)</f>
        <v/>
      </c>
      <c r="Y811" s="33">
        <f>IF(B811&lt;6.5,"&lt;6.5",IF(B811&lt;7,"6.5–6.9",IF(B811&lt;7.5,"7.0–7.4",IF(B811&lt;8,"7.5–7.9","8.0+"))))</f>
        <v/>
      </c>
      <c r="Z811" s="33">
        <f>IF(F811="","Blank",F811)</f>
        <v/>
      </c>
    </row>
    <row r="812" ht="15" customHeight="1" s="34">
      <c r="A812" s="33" t="inlineStr">
        <is>
          <t>M 7.7 - 17 km NW of Bhach?u, India</t>
        </is>
      </c>
      <c r="B812" s="33" t="n">
        <v>7.7</v>
      </c>
      <c r="C812" s="33" t="inlineStr">
        <is>
          <t>26/01/2001 03:16</t>
        </is>
      </c>
      <c r="D812" s="33" t="n">
        <v>0</v>
      </c>
      <c r="E812" s="33" t="n">
        <v>9</v>
      </c>
      <c r="G812" s="33" t="n">
        <v>0</v>
      </c>
      <c r="H812" s="33" t="n">
        <v>912</v>
      </c>
      <c r="I812" s="33" t="inlineStr">
        <is>
          <t>us</t>
        </is>
      </c>
      <c r="J812" s="33" t="n">
        <v>472</v>
      </c>
      <c r="K812" s="33" t="n">
        <v>0</v>
      </c>
      <c r="L812" s="33" t="n">
        <v>0</v>
      </c>
      <c r="M812" s="33" t="inlineStr">
        <is>
          <t>mwc</t>
        </is>
      </c>
      <c r="N812" s="33" t="n">
        <v>16</v>
      </c>
      <c r="O812" s="33" t="n">
        <v>23.419</v>
      </c>
      <c r="P812" s="33" t="n">
        <v>70.232</v>
      </c>
      <c r="Q812" s="33" t="inlineStr">
        <is>
          <t>Bhach?u, India</t>
        </is>
      </c>
      <c r="R812" s="33" t="inlineStr">
        <is>
          <t>Asia</t>
        </is>
      </c>
      <c r="S812" s="33" t="inlineStr">
        <is>
          <t>India</t>
        </is>
      </c>
      <c r="T812" s="36">
        <f>DATE(MID(C812,7,4),MID(C812,4,2),MID(C812,1,2))+TIME(MID(C812,12,2),MID(C812,15,2),0)</f>
        <v/>
      </c>
      <c r="U812" s="33">
        <f>IF(ISNUMBER(VALUE(MID(A812,7,1))),"Distance-prefix pattern","Named-region pattern")</f>
        <v/>
      </c>
      <c r="V812" s="33">
        <f>LOWER(M812)</f>
        <v/>
      </c>
      <c r="W812" s="33">
        <f>IF(COUNTIFS($A$2:$A$1001,A812,$C$2:$C$1001,C812)&gt;1,"Duplicate","Unique")</f>
        <v/>
      </c>
      <c r="X812" s="33">
        <f>YEAR(T812)</f>
        <v/>
      </c>
      <c r="Y812" s="33">
        <f>IF(B812&lt;6.5,"&lt;6.5",IF(B812&lt;7,"6.5–6.9",IF(B812&lt;7.5,"7.0–7.4",IF(B812&lt;8,"7.5–7.9","8.0+"))))</f>
        <v/>
      </c>
      <c r="Z812" s="33">
        <f>IF(F812="","Blank",F812)</f>
        <v/>
      </c>
    </row>
    <row r="813" ht="15" customHeight="1" s="34">
      <c r="A813" s="33" t="inlineStr">
        <is>
          <t>M 6.9 - 59 km WSW of Bengkulu, Indonesia</t>
        </is>
      </c>
      <c r="B813" s="33" t="n">
        <v>6.9</v>
      </c>
      <c r="C813" s="33" t="inlineStr">
        <is>
          <t>16/01/2001 13:25</t>
        </is>
      </c>
      <c r="D813" s="33" t="n">
        <v>0</v>
      </c>
      <c r="E813" s="33" t="n">
        <v>6</v>
      </c>
      <c r="G813" s="33" t="n">
        <v>0</v>
      </c>
      <c r="H813" s="33" t="n">
        <v>732</v>
      </c>
      <c r="I813" s="33" t="inlineStr">
        <is>
          <t>us</t>
        </is>
      </c>
      <c r="J813" s="33" t="n">
        <v>117</v>
      </c>
      <c r="K813" s="33" t="n">
        <v>0</v>
      </c>
      <c r="L813" s="33" t="n">
        <v>0</v>
      </c>
      <c r="M813" s="33" t="inlineStr">
        <is>
          <t>mwb</t>
        </is>
      </c>
      <c r="N813" s="33" t="n">
        <v>28</v>
      </c>
      <c r="O813" s="33" t="n">
        <v>-4.022</v>
      </c>
      <c r="P813" s="33" t="n">
        <v>101.776</v>
      </c>
      <c r="Q813" s="33" t="inlineStr">
        <is>
          <t>Bengkulu, Indonesia</t>
        </is>
      </c>
      <c r="S813" s="33" t="inlineStr">
        <is>
          <t>Indonesia</t>
        </is>
      </c>
      <c r="T813" s="36">
        <f>DATE(MID(C813,7,4),MID(C813,4,2),MID(C813,1,2))+TIME(MID(C813,12,2),MID(C813,15,2),0)</f>
        <v/>
      </c>
      <c r="U813" s="33">
        <f>IF(ISNUMBER(VALUE(MID(A813,7,1))),"Distance-prefix pattern","Named-region pattern")</f>
        <v/>
      </c>
      <c r="V813" s="33">
        <f>LOWER(M813)</f>
        <v/>
      </c>
      <c r="W813" s="33">
        <f>IF(COUNTIFS($A$2:$A$1001,A813,$C$2:$C$1001,C813)&gt;1,"Duplicate","Unique")</f>
        <v/>
      </c>
      <c r="X813" s="33">
        <f>YEAR(T813)</f>
        <v/>
      </c>
      <c r="Y813" s="33">
        <f>IF(B813&lt;6.5,"&lt;6.5",IF(B813&lt;7,"6.5–6.9",IF(B813&lt;7.5,"7.0–7.4",IF(B813&lt;8,"7.5–7.9","8.0+"))))</f>
        <v/>
      </c>
      <c r="Z813" s="33">
        <f>IF(F813="","Blank",F813)</f>
        <v/>
      </c>
    </row>
    <row r="814" ht="15" customHeight="1" s="34">
      <c r="A814" s="33" t="inlineStr">
        <is>
          <t>M 7.7 - 28 km SSW of Puerto El Triunfo, El Salvador</t>
        </is>
      </c>
      <c r="B814" s="33" t="n">
        <v>7.7</v>
      </c>
      <c r="C814" s="33" t="inlineStr">
        <is>
          <t>13/01/2001 17:33</t>
        </is>
      </c>
      <c r="D814" s="33" t="n">
        <v>0</v>
      </c>
      <c r="E814" s="33" t="n">
        <v>8</v>
      </c>
      <c r="G814" s="33" t="n">
        <v>0</v>
      </c>
      <c r="H814" s="33" t="n">
        <v>912</v>
      </c>
      <c r="I814" s="33" t="inlineStr">
        <is>
          <t>us</t>
        </is>
      </c>
      <c r="J814" s="33" t="n">
        <v>427</v>
      </c>
      <c r="K814" s="33" t="n">
        <v>0</v>
      </c>
      <c r="L814" s="33" t="n">
        <v>0</v>
      </c>
      <c r="M814" s="33" t="inlineStr">
        <is>
          <t>mwc</t>
        </is>
      </c>
      <c r="N814" s="33" t="n">
        <v>60</v>
      </c>
      <c r="O814" s="33" t="n">
        <v>13.049</v>
      </c>
      <c r="P814" s="33" t="n">
        <v>-88.66</v>
      </c>
      <c r="Q814" s="33" t="inlineStr">
        <is>
          <t>Puerto El Triunfo, El Salvador</t>
        </is>
      </c>
      <c r="T814" s="36">
        <f>DATE(MID(C814,7,4),MID(C814,4,2),MID(C814,1,2))+TIME(MID(C814,12,2),MID(C814,15,2),0)</f>
        <v/>
      </c>
      <c r="U814" s="33">
        <f>IF(ISNUMBER(VALUE(MID(A814,7,1))),"Distance-prefix pattern","Named-region pattern")</f>
        <v/>
      </c>
      <c r="V814" s="33">
        <f>LOWER(M814)</f>
        <v/>
      </c>
      <c r="W814" s="33">
        <f>IF(COUNTIFS($A$2:$A$1001,A814,$C$2:$C$1001,C814)&gt;1,"Duplicate","Unique")</f>
        <v/>
      </c>
      <c r="X814" s="33">
        <f>YEAR(T814)</f>
        <v/>
      </c>
      <c r="Y814" s="33">
        <f>IF(B814&lt;6.5,"&lt;6.5",IF(B814&lt;7,"6.5–6.9",IF(B814&lt;7.5,"7.0–7.4",IF(B814&lt;8,"7.5–7.9","8.0+"))))</f>
        <v/>
      </c>
      <c r="Z814" s="33">
        <f>IF(F814="","Blank",F814)</f>
        <v/>
      </c>
    </row>
    <row r="815" ht="15" customHeight="1" s="34">
      <c r="A815" s="33" t="inlineStr">
        <is>
          <t>M 6.9 - 47 km S of Old Harbor, Alaska</t>
        </is>
      </c>
      <c r="B815" s="33" t="n">
        <v>6.9</v>
      </c>
      <c r="C815" s="33" t="inlineStr">
        <is>
          <t>10/01/2001 16:02</t>
        </is>
      </c>
      <c r="D815" s="33" t="n">
        <v>5</v>
      </c>
      <c r="E815" s="33" t="n">
        <v>7</v>
      </c>
      <c r="G815" s="33" t="n">
        <v>0</v>
      </c>
      <c r="H815" s="33" t="n">
        <v>745</v>
      </c>
      <c r="I815" s="33" t="inlineStr">
        <is>
          <t>ak</t>
        </is>
      </c>
      <c r="J815" s="33" t="n">
        <v>0</v>
      </c>
      <c r="K815" s="33" t="n">
        <v>0</v>
      </c>
      <c r="L815" s="33" t="n">
        <v>0</v>
      </c>
      <c r="M815" s="33" t="inlineStr">
        <is>
          <t>mw</t>
        </is>
      </c>
      <c r="N815" s="33" t="n">
        <v>36.4</v>
      </c>
      <c r="O815" s="33" t="n">
        <v>56.7744</v>
      </c>
      <c r="P815" s="33" t="n">
        <v>-153.281</v>
      </c>
      <c r="Q815" s="33" t="inlineStr">
        <is>
          <t>Old Harbor, Alaska</t>
        </is>
      </c>
      <c r="R815" s="33" t="inlineStr">
        <is>
          <t>North America</t>
        </is>
      </c>
      <c r="T815" s="36">
        <f>DATE(MID(C815,7,4),MID(C815,4,2),MID(C815,1,2))+TIME(MID(C815,12,2),MID(C815,15,2),0)</f>
        <v/>
      </c>
      <c r="U815" s="33">
        <f>IF(ISNUMBER(VALUE(MID(A815,7,1))),"Distance-prefix pattern","Named-region pattern")</f>
        <v/>
      </c>
      <c r="V815" s="33">
        <f>LOWER(M815)</f>
        <v/>
      </c>
      <c r="W815" s="33">
        <f>IF(COUNTIFS($A$2:$A$1001,A815,$C$2:$C$1001,C815)&gt;1,"Duplicate","Unique")</f>
        <v/>
      </c>
      <c r="X815" s="33">
        <f>YEAR(T815)</f>
        <v/>
      </c>
      <c r="Y815" s="33">
        <f>IF(B815&lt;6.5,"&lt;6.5",IF(B815&lt;7,"6.5–6.9",IF(B815&lt;7.5,"7.0–7.4",IF(B815&lt;8,"7.5–7.9","8.0+"))))</f>
        <v/>
      </c>
      <c r="Z815" s="33">
        <f>IF(F815="","Blank",F815)</f>
        <v/>
      </c>
    </row>
    <row r="816" ht="15" customHeight="1" s="34">
      <c r="A816" s="33" t="inlineStr">
        <is>
          <t>M 7.1 - 16 km NE of Port-Olry, Vanuatu</t>
        </is>
      </c>
      <c r="B816" s="33" t="n">
        <v>7.1</v>
      </c>
      <c r="C816" s="33" t="inlineStr">
        <is>
          <t>09/01/2001 16:49</t>
        </is>
      </c>
      <c r="D816" s="33" t="n">
        <v>0</v>
      </c>
      <c r="E816" s="33" t="n">
        <v>7</v>
      </c>
      <c r="G816" s="33" t="n">
        <v>0</v>
      </c>
      <c r="H816" s="33" t="n">
        <v>776</v>
      </c>
      <c r="I816" s="33" t="inlineStr">
        <is>
          <t>us</t>
        </is>
      </c>
      <c r="J816" s="33" t="n">
        <v>372</v>
      </c>
      <c r="K816" s="33" t="n">
        <v>0</v>
      </c>
      <c r="L816" s="33" t="n">
        <v>0</v>
      </c>
      <c r="M816" s="33" t="inlineStr">
        <is>
          <t>mwb</t>
        </is>
      </c>
      <c r="N816" s="33" t="n">
        <v>103</v>
      </c>
      <c r="O816" s="33" t="n">
        <v>-14.928</v>
      </c>
      <c r="P816" s="33" t="n">
        <v>167.17</v>
      </c>
      <c r="Q816" s="33" t="inlineStr">
        <is>
          <t>Port-Olry, Vanuatu</t>
        </is>
      </c>
      <c r="S816" s="33" t="inlineStr">
        <is>
          <t>Vanuatu</t>
        </is>
      </c>
      <c r="T816" s="36">
        <f>DATE(MID(C816,7,4),MID(C816,4,2),MID(C816,1,2))+TIME(MID(C816,12,2),MID(C816,15,2),0)</f>
        <v/>
      </c>
      <c r="U816" s="33">
        <f>IF(ISNUMBER(VALUE(MID(A816,7,1))),"Distance-prefix pattern","Named-region pattern")</f>
        <v/>
      </c>
      <c r="V816" s="33">
        <f>LOWER(M816)</f>
        <v/>
      </c>
      <c r="W816" s="33">
        <f>IF(COUNTIFS($A$2:$A$1001,A816,$C$2:$C$1001,C816)&gt;1,"Duplicate","Unique")</f>
        <v/>
      </c>
      <c r="X816" s="33">
        <f>YEAR(T816)</f>
        <v/>
      </c>
      <c r="Y816" s="33">
        <f>IF(B816&lt;6.5,"&lt;6.5",IF(B816&lt;7,"6.5–6.9",IF(B816&lt;7.5,"7.0–7.4",IF(B816&lt;8,"7.5–7.9","8.0+"))))</f>
        <v/>
      </c>
      <c r="Z816" s="33">
        <f>IF(F816="","Blank",F816)</f>
        <v/>
      </c>
    </row>
    <row r="817" ht="15" customHeight="1" s="34">
      <c r="A817" s="33" t="inlineStr">
        <is>
          <t>M 6.8 - Mindanao, Philippines</t>
        </is>
      </c>
      <c r="B817" s="33" t="n">
        <v>6.8</v>
      </c>
      <c r="C817" s="33" t="inlineStr">
        <is>
          <t>01/01/2001 08:54</t>
        </is>
      </c>
      <c r="D817" s="33" t="n">
        <v>0</v>
      </c>
      <c r="E817" s="33" t="n">
        <v>5</v>
      </c>
      <c r="G817" s="33" t="n">
        <v>0</v>
      </c>
      <c r="H817" s="33" t="n">
        <v>711</v>
      </c>
      <c r="I817" s="33" t="inlineStr">
        <is>
          <t>us</t>
        </is>
      </c>
      <c r="J817" s="33" t="n">
        <v>64</v>
      </c>
      <c r="K817" s="33" t="n">
        <v>0</v>
      </c>
      <c r="L817" s="33" t="n">
        <v>0</v>
      </c>
      <c r="M817" s="33" t="inlineStr">
        <is>
          <t>mwc</t>
        </is>
      </c>
      <c r="N817" s="33" t="n">
        <v>33</v>
      </c>
      <c r="O817" s="33" t="n">
        <v>6.631</v>
      </c>
      <c r="P817" s="33" t="n">
        <v>126.899</v>
      </c>
      <c r="Q817" s="33" t="inlineStr">
        <is>
          <t>Mindanao, Philippines</t>
        </is>
      </c>
      <c r="T817" s="36">
        <f>DATE(MID(C817,7,4),MID(C817,4,2),MID(C817,1,2))+TIME(MID(C817,12,2),MID(C817,15,2),0)</f>
        <v/>
      </c>
      <c r="U817" s="33">
        <f>IF(ISNUMBER(VALUE(MID(A817,7,1))),"Distance-prefix pattern","Named-region pattern")</f>
        <v/>
      </c>
      <c r="V817" s="33">
        <f>LOWER(M817)</f>
        <v/>
      </c>
      <c r="W817" s="33">
        <f>IF(COUNTIFS($A$2:$A$1001,A817,$C$2:$C$1001,C817)&gt;1,"Duplicate","Unique")</f>
        <v/>
      </c>
      <c r="X817" s="33">
        <f>YEAR(T817)</f>
        <v/>
      </c>
      <c r="Y817" s="33">
        <f>IF(B817&lt;6.5,"&lt;6.5",IF(B817&lt;7,"6.5–6.9",IF(B817&lt;7.5,"7.0–7.4",IF(B817&lt;8,"7.5–7.9","8.0+"))))</f>
        <v/>
      </c>
      <c r="Z817" s="33">
        <f>IF(F817="","Blank",F817)</f>
        <v/>
      </c>
    </row>
    <row r="818" ht="15" customHeight="1" s="34">
      <c r="A818" s="33" t="inlineStr">
        <is>
          <t>M 7.5 - 21 km SE of Lukatan, Philippines</t>
        </is>
      </c>
      <c r="B818" s="33" t="n">
        <v>7.5</v>
      </c>
      <c r="C818" s="33" t="inlineStr">
        <is>
          <t>01/01/2001 06:57</t>
        </is>
      </c>
      <c r="D818" s="33" t="n">
        <v>0</v>
      </c>
      <c r="E818" s="33" t="n">
        <v>7</v>
      </c>
      <c r="G818" s="33" t="n">
        <v>0</v>
      </c>
      <c r="H818" s="33" t="n">
        <v>865</v>
      </c>
      <c r="I818" s="33" t="inlineStr">
        <is>
          <t>us</t>
        </is>
      </c>
      <c r="J818" s="33" t="n">
        <v>324</v>
      </c>
      <c r="K818" s="33" t="n">
        <v>0</v>
      </c>
      <c r="L818" s="33" t="n">
        <v>0</v>
      </c>
      <c r="M818" s="33" t="inlineStr">
        <is>
          <t>mwc</t>
        </is>
      </c>
      <c r="N818" s="33" t="n">
        <v>33</v>
      </c>
      <c r="O818" s="33" t="n">
        <v>6.898</v>
      </c>
      <c r="P818" s="33" t="n">
        <v>126.579</v>
      </c>
      <c r="Q818" s="33" t="inlineStr">
        <is>
          <t>Lukatan, Philippines</t>
        </is>
      </c>
      <c r="S818" s="33" t="inlineStr">
        <is>
          <t>Philippines</t>
        </is>
      </c>
      <c r="T818" s="36">
        <f>DATE(MID(C818,7,4),MID(C818,4,2),MID(C818,1,2))+TIME(MID(C818,12,2),MID(C818,15,2),0)</f>
        <v/>
      </c>
      <c r="U818" s="33">
        <f>IF(ISNUMBER(VALUE(MID(A818,7,1))),"Distance-prefix pattern","Named-region pattern")</f>
        <v/>
      </c>
      <c r="V818" s="33">
        <f>LOWER(M818)</f>
        <v/>
      </c>
      <c r="W818" s="33">
        <f>IF(COUNTIFS($A$2:$A$1001,A818,$C$2:$C$1001,C818)&gt;1,"Duplicate","Unique")</f>
        <v/>
      </c>
      <c r="X818" s="33">
        <f>YEAR(T818)</f>
        <v/>
      </c>
      <c r="Y818" s="33">
        <f>IF(B818&lt;6.5,"&lt;6.5",IF(B818&lt;7,"6.5–6.9",IF(B818&lt;7.5,"7.0–7.4",IF(B818&lt;8,"7.5–7.9","8.0+"))))</f>
        <v/>
      </c>
      <c r="Z818" s="33">
        <f>IF(F818="","Blank",F818)</f>
        <v/>
      </c>
    </row>
    <row r="819" ht="15" customHeight="1" s="34">
      <c r="A819" s="33" t="inlineStr">
        <is>
          <t>M 6.5 - 52 km ENE of Kokopo, Papua New Guinea</t>
        </is>
      </c>
      <c r="B819" s="33" t="n">
        <v>6.5</v>
      </c>
      <c r="C819" s="33" t="inlineStr">
        <is>
          <t>06/12/2000 22:57</t>
        </is>
      </c>
      <c r="D819" s="33" t="n">
        <v>0</v>
      </c>
      <c r="E819" s="33" t="n">
        <v>7</v>
      </c>
      <c r="G819" s="33" t="n">
        <v>0</v>
      </c>
      <c r="H819" s="33" t="n">
        <v>650</v>
      </c>
      <c r="I819" s="33" t="inlineStr">
        <is>
          <t>us</t>
        </is>
      </c>
      <c r="J819" s="33" t="n">
        <v>401</v>
      </c>
      <c r="K819" s="33" t="n">
        <v>0</v>
      </c>
      <c r="L819" s="33" t="n">
        <v>0</v>
      </c>
      <c r="M819" s="33" t="inlineStr">
        <is>
          <t>mwc</t>
        </is>
      </c>
      <c r="N819" s="33" t="n">
        <v>31</v>
      </c>
      <c r="O819" s="33" t="n">
        <v>-4.218</v>
      </c>
      <c r="P819" s="33" t="n">
        <v>152.725</v>
      </c>
      <c r="Q819" s="33" t="inlineStr">
        <is>
          <t>Kokopo, Papua New Guinea</t>
        </is>
      </c>
      <c r="S819" s="33" t="inlineStr">
        <is>
          <t>Papua New Guinea</t>
        </is>
      </c>
      <c r="T819" s="36">
        <f>DATE(MID(C819,7,4),MID(C819,4,2),MID(C819,1,2))+TIME(MID(C819,12,2),MID(C819,15,2),0)</f>
        <v/>
      </c>
      <c r="U819" s="33">
        <f>IF(ISNUMBER(VALUE(MID(A819,7,1))),"Distance-prefix pattern","Named-region pattern")</f>
        <v/>
      </c>
      <c r="V819" s="33">
        <f>LOWER(M819)</f>
        <v/>
      </c>
      <c r="W819" s="33">
        <f>IF(COUNTIFS($A$2:$A$1001,A819,$C$2:$C$1001,C819)&gt;1,"Duplicate","Unique")</f>
        <v/>
      </c>
      <c r="X819" s="33">
        <f>YEAR(T819)</f>
        <v/>
      </c>
      <c r="Y819" s="33">
        <f>IF(B819&lt;6.5,"&lt;6.5",IF(B819&lt;7,"6.5–6.9",IF(B819&lt;7.5,"7.0–7.4",IF(B819&lt;8,"7.5–7.9","8.0+"))))</f>
        <v/>
      </c>
      <c r="Z819" s="33">
        <f>IF(F819="","Blank",F819)</f>
        <v/>
      </c>
    </row>
    <row r="820" ht="15" customHeight="1" s="34">
      <c r="A820" s="33" t="inlineStr">
        <is>
          <t>M 7.0 - 37 km E of Balkanabat, Turkmenistan</t>
        </is>
      </c>
      <c r="B820" s="33" t="n">
        <v>7</v>
      </c>
      <c r="C820" s="33" t="inlineStr">
        <is>
          <t>06/12/2000 17:11</t>
        </is>
      </c>
      <c r="D820" s="33" t="n">
        <v>0</v>
      </c>
      <c r="E820" s="33" t="n">
        <v>7</v>
      </c>
      <c r="G820" s="33" t="n">
        <v>0</v>
      </c>
      <c r="H820" s="33" t="n">
        <v>754</v>
      </c>
      <c r="I820" s="33" t="inlineStr">
        <is>
          <t>us</t>
        </is>
      </c>
      <c r="J820" s="33" t="n">
        <v>495</v>
      </c>
      <c r="K820" s="33" t="n">
        <v>0</v>
      </c>
      <c r="L820" s="33" t="n">
        <v>0</v>
      </c>
      <c r="M820" s="33" t="inlineStr">
        <is>
          <t>mwc</t>
        </is>
      </c>
      <c r="N820" s="33" t="n">
        <v>30</v>
      </c>
      <c r="O820" s="33" t="n">
        <v>39.566</v>
      </c>
      <c r="P820" s="33" t="n">
        <v>54.799</v>
      </c>
      <c r="Q820" s="33" t="inlineStr">
        <is>
          <t>Balkanabat, Turkmenistan</t>
        </is>
      </c>
      <c r="R820" s="33" t="inlineStr">
        <is>
          <t>Asia</t>
        </is>
      </c>
      <c r="S820" s="33" t="inlineStr">
        <is>
          <t>Turkmenistan</t>
        </is>
      </c>
      <c r="T820" s="36">
        <f>DATE(MID(C820,7,4),MID(C820,4,2),MID(C820,1,2))+TIME(MID(C820,12,2),MID(C820,15,2),0)</f>
        <v/>
      </c>
      <c r="U820" s="33">
        <f>IF(ISNUMBER(VALUE(MID(A820,7,1))),"Distance-prefix pattern","Named-region pattern")</f>
        <v/>
      </c>
      <c r="V820" s="33">
        <f>LOWER(M820)</f>
        <v/>
      </c>
      <c r="W820" s="33">
        <f>IF(COUNTIFS($A$2:$A$1001,A820,$C$2:$C$1001,C820)&gt;1,"Duplicate","Unique")</f>
        <v/>
      </c>
      <c r="X820" s="33">
        <f>YEAR(T820)</f>
        <v/>
      </c>
      <c r="Y820" s="33">
        <f>IF(B820&lt;6.5,"&lt;6.5",IF(B820&lt;7,"6.5–6.9",IF(B820&lt;7.5,"7.0–7.4",IF(B820&lt;8,"7.5–7.9","8.0+"))))</f>
        <v/>
      </c>
      <c r="Z820" s="33">
        <f>IF(F820="","Blank",F820)</f>
        <v/>
      </c>
    </row>
    <row r="821" ht="15" customHeight="1" s="34">
      <c r="A821" s="33" t="inlineStr">
        <is>
          <t>M 6.5 - 23 km SSE of Badamdar, Azerbaijan</t>
        </is>
      </c>
      <c r="B821" s="33" t="n">
        <v>6.5</v>
      </c>
      <c r="C821" s="33" t="inlineStr">
        <is>
          <t>25/11/2000 18:10</t>
        </is>
      </c>
      <c r="D821" s="33" t="n">
        <v>0</v>
      </c>
      <c r="E821" s="33" t="n">
        <v>6</v>
      </c>
      <c r="G821" s="33" t="n">
        <v>0</v>
      </c>
      <c r="H821" s="33" t="n">
        <v>650</v>
      </c>
      <c r="I821" s="33" t="inlineStr">
        <is>
          <t>us</t>
        </is>
      </c>
      <c r="J821" s="33" t="n">
        <v>268</v>
      </c>
      <c r="K821" s="33" t="n">
        <v>0</v>
      </c>
      <c r="L821" s="33" t="n">
        <v>0</v>
      </c>
      <c r="M821" s="33" t="inlineStr">
        <is>
          <t>mwc</t>
        </is>
      </c>
      <c r="N821" s="33" t="n">
        <v>33</v>
      </c>
      <c r="O821" s="33" t="n">
        <v>40.167</v>
      </c>
      <c r="P821" s="33" t="n">
        <v>49.954</v>
      </c>
      <c r="Q821" s="33" t="inlineStr">
        <is>
          <t>Badamdar, Azerbaijan</t>
        </is>
      </c>
      <c r="R821" s="33" t="inlineStr">
        <is>
          <t>Asia</t>
        </is>
      </c>
      <c r="S821" s="33" t="inlineStr">
        <is>
          <t>Azerbaijan</t>
        </is>
      </c>
      <c r="T821" s="36">
        <f>DATE(MID(C821,7,4),MID(C821,4,2),MID(C821,1,2))+TIME(MID(C821,12,2),MID(C821,15,2),0)</f>
        <v/>
      </c>
      <c r="U821" s="33">
        <f>IF(ISNUMBER(VALUE(MID(A821,7,1))),"Distance-prefix pattern","Named-region pattern")</f>
        <v/>
      </c>
      <c r="V821" s="33">
        <f>LOWER(M821)</f>
        <v/>
      </c>
      <c r="W821" s="33">
        <f>IF(COUNTIFS($A$2:$A$1001,A821,$C$2:$C$1001,C821)&gt;1,"Duplicate","Unique")</f>
        <v/>
      </c>
      <c r="X821" s="33">
        <f>YEAR(T821)</f>
        <v/>
      </c>
      <c r="Y821" s="33">
        <f>IF(B821&lt;6.5,"&lt;6.5",IF(B821&lt;7,"6.5–6.9",IF(B821&lt;7.5,"7.0–7.4",IF(B821&lt;8,"7.5–7.9","8.0+"))))</f>
        <v/>
      </c>
      <c r="Z821" s="33">
        <f>IF(F821="","Blank",F821)</f>
        <v/>
      </c>
    </row>
    <row r="822" ht="15" customHeight="1" s="34">
      <c r="A822" s="33" t="inlineStr">
        <is>
          <t>M 6.8 - 15 km SSE of Baku, Azerbaijan</t>
        </is>
      </c>
      <c r="B822" s="33" t="n">
        <v>6.8</v>
      </c>
      <c r="C822" s="33" t="inlineStr">
        <is>
          <t>25/11/2000 18:09</t>
        </is>
      </c>
      <c r="D822" s="33" t="n">
        <v>0</v>
      </c>
      <c r="E822" s="33" t="n">
        <v>6</v>
      </c>
      <c r="G822" s="33" t="n">
        <v>0</v>
      </c>
      <c r="H822" s="33" t="n">
        <v>711</v>
      </c>
      <c r="I822" s="33" t="inlineStr">
        <is>
          <t>us</t>
        </is>
      </c>
      <c r="J822" s="33" t="n">
        <v>446</v>
      </c>
      <c r="K822" s="33" t="n">
        <v>0</v>
      </c>
      <c r="L822" s="33" t="n">
        <v>0</v>
      </c>
      <c r="M822" s="33" t="inlineStr">
        <is>
          <t>mwc</t>
        </is>
      </c>
      <c r="N822" s="33" t="n">
        <v>50.4</v>
      </c>
      <c r="O822" s="33" t="n">
        <v>40.245</v>
      </c>
      <c r="P822" s="33" t="n">
        <v>49.946</v>
      </c>
      <c r="Q822" s="33" t="inlineStr">
        <is>
          <t>Baku, Azerbaijan</t>
        </is>
      </c>
      <c r="R822" s="33" t="inlineStr">
        <is>
          <t>Asia</t>
        </is>
      </c>
      <c r="S822" s="33" t="inlineStr">
        <is>
          <t>Azerbaijan</t>
        </is>
      </c>
      <c r="T822" s="36">
        <f>DATE(MID(C822,7,4),MID(C822,4,2),MID(C822,1,2))+TIME(MID(C822,12,2),MID(C822,15,2),0)</f>
        <v/>
      </c>
      <c r="U822" s="33">
        <f>IF(ISNUMBER(VALUE(MID(A822,7,1))),"Distance-prefix pattern","Named-region pattern")</f>
        <v/>
      </c>
      <c r="V822" s="33">
        <f>LOWER(M822)</f>
        <v/>
      </c>
      <c r="W822" s="33">
        <f>IF(COUNTIFS($A$2:$A$1001,A822,$C$2:$C$1001,C822)&gt;1,"Duplicate","Unique")</f>
        <v/>
      </c>
      <c r="X822" s="33">
        <f>YEAR(T822)</f>
        <v/>
      </c>
      <c r="Y822" s="33">
        <f>IF(B822&lt;6.5,"&lt;6.5",IF(B822&lt;7,"6.5–6.9",IF(B822&lt;7.5,"7.0–7.4",IF(B822&lt;8,"7.5–7.9","8.0+"))))</f>
        <v/>
      </c>
      <c r="Z822" s="33">
        <f>IF(F822="","Blank",F822)</f>
        <v/>
      </c>
    </row>
    <row r="823" ht="15" customHeight="1" s="34">
      <c r="A823" s="33" t="inlineStr">
        <is>
          <t>M 6.8 - 112 km SSW of Kokopo, Papua New Guinea</t>
        </is>
      </c>
      <c r="B823" s="33" t="n">
        <v>6.8</v>
      </c>
      <c r="C823" s="33" t="inlineStr">
        <is>
          <t>18/11/2000 06:54</t>
        </is>
      </c>
      <c r="D823" s="33" t="n">
        <v>0</v>
      </c>
      <c r="E823" s="33" t="n">
        <v>6</v>
      </c>
      <c r="G823" s="33" t="n">
        <v>0</v>
      </c>
      <c r="H823" s="33" t="n">
        <v>711</v>
      </c>
      <c r="I823" s="33" t="inlineStr">
        <is>
          <t>us</t>
        </is>
      </c>
      <c r="J823" s="33" t="n">
        <v>402</v>
      </c>
      <c r="K823" s="33" t="n">
        <v>0</v>
      </c>
      <c r="L823" s="33" t="n">
        <v>0</v>
      </c>
      <c r="M823" s="33" t="inlineStr">
        <is>
          <t>mwb</t>
        </is>
      </c>
      <c r="N823" s="33" t="n">
        <v>33</v>
      </c>
      <c r="O823" s="33" t="n">
        <v>-5.228</v>
      </c>
      <c r="P823" s="33" t="n">
        <v>151.771</v>
      </c>
      <c r="Q823" s="33" t="inlineStr">
        <is>
          <t>Kokopo, Papua New Guinea</t>
        </is>
      </c>
      <c r="S823" s="33" t="inlineStr">
        <is>
          <t>Papua New Guinea</t>
        </is>
      </c>
      <c r="T823" s="36">
        <f>DATE(MID(C823,7,4),MID(C823,4,2),MID(C823,1,2))+TIME(MID(C823,12,2),MID(C823,15,2),0)</f>
        <v/>
      </c>
      <c r="U823" s="33">
        <f>IF(ISNUMBER(VALUE(MID(A823,7,1))),"Distance-prefix pattern","Named-region pattern")</f>
        <v/>
      </c>
      <c r="V823" s="33">
        <f>LOWER(M823)</f>
        <v/>
      </c>
      <c r="W823" s="33">
        <f>IF(COUNTIFS($A$2:$A$1001,A823,$C$2:$C$1001,C823)&gt;1,"Duplicate","Unique")</f>
        <v/>
      </c>
      <c r="X823" s="33">
        <f>YEAR(T823)</f>
        <v/>
      </c>
      <c r="Y823" s="33">
        <f>IF(B823&lt;6.5,"&lt;6.5",IF(B823&lt;7,"6.5–6.9",IF(B823&lt;7.5,"7.0–7.4",IF(B823&lt;8,"7.5–7.9","8.0+"))))</f>
        <v/>
      </c>
      <c r="Z823" s="33">
        <f>IF(F823="","Blank",F823)</f>
        <v/>
      </c>
    </row>
    <row r="824" ht="15" customHeight="1" s="34">
      <c r="A824" s="33" t="inlineStr">
        <is>
          <t>M 6.6 - 131 km SE of Kokopo, Papua New Guinea</t>
        </is>
      </c>
      <c r="B824" s="33" t="n">
        <v>6.6</v>
      </c>
      <c r="C824" s="33" t="inlineStr">
        <is>
          <t>18/11/2000 02:05</t>
        </is>
      </c>
      <c r="D824" s="33" t="n">
        <v>0</v>
      </c>
      <c r="E824" s="33" t="n">
        <v>6</v>
      </c>
      <c r="G824" s="33" t="n">
        <v>0</v>
      </c>
      <c r="H824" s="33" t="n">
        <v>670</v>
      </c>
      <c r="I824" s="33" t="inlineStr">
        <is>
          <t>us</t>
        </is>
      </c>
      <c r="J824" s="33" t="n">
        <v>267</v>
      </c>
      <c r="K824" s="33" t="n">
        <v>0</v>
      </c>
      <c r="L824" s="33" t="n">
        <v>0</v>
      </c>
      <c r="M824" s="33" t="inlineStr">
        <is>
          <t>mwc</t>
        </is>
      </c>
      <c r="N824" s="33" t="n">
        <v>33</v>
      </c>
      <c r="O824" s="33" t="n">
        <v>-5.097</v>
      </c>
      <c r="P824" s="33" t="n">
        <v>153.181</v>
      </c>
      <c r="Q824" s="33" t="inlineStr">
        <is>
          <t>Kokopo, Papua New Guinea</t>
        </is>
      </c>
      <c r="S824" s="33" t="inlineStr">
        <is>
          <t>Papua New Guinea</t>
        </is>
      </c>
      <c r="T824" s="36">
        <f>DATE(MID(C824,7,4),MID(C824,4,2),MID(C824,1,2))+TIME(MID(C824,12,2),MID(C824,15,2),0)</f>
        <v/>
      </c>
      <c r="U824" s="33">
        <f>IF(ISNUMBER(VALUE(MID(A824,7,1))),"Distance-prefix pattern","Named-region pattern")</f>
        <v/>
      </c>
      <c r="V824" s="33">
        <f>LOWER(M824)</f>
        <v/>
      </c>
      <c r="W824" s="33">
        <f>IF(COUNTIFS($A$2:$A$1001,A824,$C$2:$C$1001,C824)&gt;1,"Duplicate","Unique")</f>
        <v/>
      </c>
      <c r="X824" s="33">
        <f>YEAR(T824)</f>
        <v/>
      </c>
      <c r="Y824" s="33">
        <f>IF(B824&lt;6.5,"&lt;6.5",IF(B824&lt;7,"6.5–6.9",IF(B824&lt;7.5,"7.0–7.4",IF(B824&lt;8,"7.5–7.9","8.0+"))))</f>
        <v/>
      </c>
      <c r="Z824" s="33">
        <f>IF(F824="","Blank",F824)</f>
        <v/>
      </c>
    </row>
    <row r="825" ht="15" customHeight="1" s="34">
      <c r="A825" s="33" t="inlineStr">
        <is>
          <t>M 7.8 - 138 km SSW of Kokopo, Papua New Guinea</t>
        </is>
      </c>
      <c r="B825" s="33" t="n">
        <v>7.8</v>
      </c>
      <c r="C825" s="33" t="inlineStr">
        <is>
          <t>17/11/2000 21:01</t>
        </is>
      </c>
      <c r="D825" s="33" t="n">
        <v>0</v>
      </c>
      <c r="E825" s="33" t="n">
        <v>7</v>
      </c>
      <c r="G825" s="33" t="n">
        <v>0</v>
      </c>
      <c r="H825" s="33" t="n">
        <v>936</v>
      </c>
      <c r="I825" s="33" t="inlineStr">
        <is>
          <t>us</t>
        </is>
      </c>
      <c r="J825" s="33" t="n">
        <v>346</v>
      </c>
      <c r="K825" s="33" t="n">
        <v>0</v>
      </c>
      <c r="L825" s="33" t="n">
        <v>0</v>
      </c>
      <c r="M825" s="33" t="inlineStr">
        <is>
          <t>mwc</t>
        </is>
      </c>
      <c r="N825" s="33" t="n">
        <v>33</v>
      </c>
      <c r="O825" s="33" t="n">
        <v>-5.496</v>
      </c>
      <c r="P825" s="33" t="n">
        <v>151.781</v>
      </c>
      <c r="Q825" s="33" t="inlineStr">
        <is>
          <t>Kokopo, Papua New Guinea</t>
        </is>
      </c>
      <c r="S825" s="33" t="inlineStr">
        <is>
          <t>Papua New Guinea</t>
        </is>
      </c>
      <c r="T825" s="36">
        <f>DATE(MID(C825,7,4),MID(C825,4,2),MID(C825,1,2))+TIME(MID(C825,12,2),MID(C825,15,2),0)</f>
        <v/>
      </c>
      <c r="U825" s="33">
        <f>IF(ISNUMBER(VALUE(MID(A825,7,1))),"Distance-prefix pattern","Named-region pattern")</f>
        <v/>
      </c>
      <c r="V825" s="33">
        <f>LOWER(M825)</f>
        <v/>
      </c>
      <c r="W825" s="33">
        <f>IF(COUNTIFS($A$2:$A$1001,A825,$C$2:$C$1001,C825)&gt;1,"Duplicate","Unique")</f>
        <v/>
      </c>
      <c r="X825" s="33">
        <f>YEAR(T825)</f>
        <v/>
      </c>
      <c r="Y825" s="33">
        <f>IF(B825&lt;6.5,"&lt;6.5",IF(B825&lt;7,"6.5–6.9",IF(B825&lt;7.5,"7.0–7.4",IF(B825&lt;8,"7.5–7.9","8.0+"))))</f>
        <v/>
      </c>
      <c r="Z825" s="33">
        <f>IF(F825="","Blank",F825)</f>
        <v/>
      </c>
    </row>
    <row r="826" ht="15" customHeight="1" s="34">
      <c r="A826" s="33" t="inlineStr">
        <is>
          <t>M 6.5 - 118 km ESE of Kokopo, Papua New Guinea</t>
        </is>
      </c>
      <c r="B826" s="33" t="n">
        <v>6.5</v>
      </c>
      <c r="C826" s="33" t="inlineStr">
        <is>
          <t>16/11/2000 07:45</t>
        </is>
      </c>
      <c r="D826" s="33" t="n">
        <v>0</v>
      </c>
      <c r="E826" s="33" t="n">
        <v>6</v>
      </c>
      <c r="G826" s="33" t="n">
        <v>0</v>
      </c>
      <c r="H826" s="33" t="n">
        <v>650</v>
      </c>
      <c r="I826" s="33" t="inlineStr">
        <is>
          <t>us</t>
        </is>
      </c>
      <c r="J826" s="33" t="n">
        <v>71</v>
      </c>
      <c r="K826" s="33" t="n">
        <v>0</v>
      </c>
      <c r="L826" s="33" t="n">
        <v>0</v>
      </c>
      <c r="M826" s="33" t="inlineStr">
        <is>
          <t>mb</t>
        </is>
      </c>
      <c r="N826" s="33" t="n">
        <v>33</v>
      </c>
      <c r="O826" s="33" t="n">
        <v>-4.827</v>
      </c>
      <c r="P826" s="33" t="n">
        <v>153.226</v>
      </c>
      <c r="Q826" s="33" t="inlineStr">
        <is>
          <t>Kokopo, Papua New Guinea</t>
        </is>
      </c>
      <c r="S826" s="33" t="inlineStr">
        <is>
          <t>Papua New Guinea</t>
        </is>
      </c>
      <c r="T826" s="36">
        <f>DATE(MID(C826,7,4),MID(C826,4,2),MID(C826,1,2))+TIME(MID(C826,12,2),MID(C826,15,2),0)</f>
        <v/>
      </c>
      <c r="U826" s="33">
        <f>IF(ISNUMBER(VALUE(MID(A826,7,1))),"Distance-prefix pattern","Named-region pattern")</f>
        <v/>
      </c>
      <c r="V826" s="33">
        <f>LOWER(M826)</f>
        <v/>
      </c>
      <c r="W826" s="33">
        <f>IF(COUNTIFS($A$2:$A$1001,A826,$C$2:$C$1001,C826)&gt;1,"Duplicate","Unique")</f>
        <v/>
      </c>
      <c r="X826" s="33">
        <f>YEAR(T826)</f>
        <v/>
      </c>
      <c r="Y826" s="33">
        <f>IF(B826&lt;6.5,"&lt;6.5",IF(B826&lt;7,"6.5–6.9",IF(B826&lt;7.5,"7.0–7.4",IF(B826&lt;8,"7.5–7.9","8.0+"))))</f>
        <v/>
      </c>
      <c r="Z826" s="33">
        <f>IF(F826="","Blank",F826)</f>
        <v/>
      </c>
    </row>
    <row r="827" ht="15" customHeight="1" s="34">
      <c r="A827" s="33" t="inlineStr">
        <is>
          <t>M 7.8 - 135 km SE of Kokopo, Papua New Guinea</t>
        </is>
      </c>
      <c r="B827" s="33" t="n">
        <v>7.8</v>
      </c>
      <c r="C827" s="33" t="inlineStr">
        <is>
          <t>16/11/2000 07:42</t>
        </is>
      </c>
      <c r="D827" s="33" t="n">
        <v>0</v>
      </c>
      <c r="E827" s="33" t="n">
        <v>7</v>
      </c>
      <c r="G827" s="33" t="n">
        <v>0</v>
      </c>
      <c r="H827" s="33" t="n">
        <v>936</v>
      </c>
      <c r="I827" s="33" t="inlineStr">
        <is>
          <t>us</t>
        </is>
      </c>
      <c r="J827" s="33" t="n">
        <v>294</v>
      </c>
      <c r="K827" s="33" t="n">
        <v>0</v>
      </c>
      <c r="L827" s="33" t="n">
        <v>0</v>
      </c>
      <c r="M827" s="33" t="inlineStr">
        <is>
          <t>mwc</t>
        </is>
      </c>
      <c r="N827" s="33" t="n">
        <v>30</v>
      </c>
      <c r="O827" s="33" t="n">
        <v>-5.233</v>
      </c>
      <c r="P827" s="33" t="n">
        <v>153.102</v>
      </c>
      <c r="Q827" s="33" t="inlineStr">
        <is>
          <t>Kokopo, Papua New Guinea</t>
        </is>
      </c>
      <c r="T827" s="36">
        <f>DATE(MID(C827,7,4),MID(C827,4,2),MID(C827,1,2))+TIME(MID(C827,12,2),MID(C827,15,2),0)</f>
        <v/>
      </c>
      <c r="U827" s="33">
        <f>IF(ISNUMBER(VALUE(MID(A827,7,1))),"Distance-prefix pattern","Named-region pattern")</f>
        <v/>
      </c>
      <c r="V827" s="33">
        <f>LOWER(M827)</f>
        <v/>
      </c>
      <c r="W827" s="33">
        <f>IF(COUNTIFS($A$2:$A$1001,A827,$C$2:$C$1001,C827)&gt;1,"Duplicate","Unique")</f>
        <v/>
      </c>
      <c r="X827" s="33">
        <f>YEAR(T827)</f>
        <v/>
      </c>
      <c r="Y827" s="33">
        <f>IF(B827&lt;6.5,"&lt;6.5",IF(B827&lt;7,"6.5–6.9",IF(B827&lt;7.5,"7.0–7.4",IF(B827&lt;8,"7.5–7.9","8.0+"))))</f>
        <v/>
      </c>
      <c r="Z827" s="33">
        <f>IF(F827="","Blank",F827)</f>
        <v/>
      </c>
    </row>
    <row r="828" ht="15" customHeight="1" s="34">
      <c r="A828" s="33" t="inlineStr">
        <is>
          <t>M 8.0 - 24 km N of Rabaul, Papua New Guinea</t>
        </is>
      </c>
      <c r="B828" s="33" t="n">
        <v>8</v>
      </c>
      <c r="C828" s="33" t="inlineStr">
        <is>
          <t>16/11/2000 04:54</t>
        </is>
      </c>
      <c r="D828" s="33" t="n">
        <v>0</v>
      </c>
      <c r="E828" s="33" t="n">
        <v>7</v>
      </c>
      <c r="G828" s="33" t="n">
        <v>0</v>
      </c>
      <c r="H828" s="33" t="n">
        <v>985</v>
      </c>
      <c r="I828" s="33" t="inlineStr">
        <is>
          <t>us</t>
        </is>
      </c>
      <c r="J828" s="33" t="n">
        <v>254</v>
      </c>
      <c r="K828" s="33" t="n">
        <v>0</v>
      </c>
      <c r="L828" s="33" t="n">
        <v>0</v>
      </c>
      <c r="M828" s="33" t="inlineStr">
        <is>
          <t>mwc</t>
        </is>
      </c>
      <c r="N828" s="33" t="n">
        <v>33</v>
      </c>
      <c r="O828" s="33" t="n">
        <v>-3.98</v>
      </c>
      <c r="P828" s="33" t="n">
        <v>152.169</v>
      </c>
      <c r="Q828" s="33" t="inlineStr">
        <is>
          <t>Rabaul, Papua New Guinea</t>
        </is>
      </c>
      <c r="S828" s="33" t="inlineStr">
        <is>
          <t>Papua New Guinea</t>
        </is>
      </c>
      <c r="T828" s="36">
        <f>DATE(MID(C828,7,4),MID(C828,4,2),MID(C828,1,2))+TIME(MID(C828,12,2),MID(C828,15,2),0)</f>
        <v/>
      </c>
      <c r="U828" s="33">
        <f>IF(ISNUMBER(VALUE(MID(A828,7,1))),"Distance-prefix pattern","Named-region pattern")</f>
        <v/>
      </c>
      <c r="V828" s="33">
        <f>LOWER(M828)</f>
        <v/>
      </c>
      <c r="W828" s="33">
        <f>IF(COUNTIFS($A$2:$A$1001,A828,$C$2:$C$1001,C828)&gt;1,"Duplicate","Unique")</f>
        <v/>
      </c>
      <c r="X828" s="33">
        <f>YEAR(T828)</f>
        <v/>
      </c>
      <c r="Y828" s="33">
        <f>IF(B828&lt;6.5,"&lt;6.5",IF(B828&lt;7,"6.5–6.9",IF(B828&lt;7.5,"7.0–7.4",IF(B828&lt;8,"7.5–7.9","8.0+"))))</f>
        <v/>
      </c>
      <c r="Z828" s="33">
        <f>IF(F828="","Blank",F828)</f>
        <v/>
      </c>
    </row>
    <row r="829" ht="15" customHeight="1" s="34">
      <c r="A829" s="33" t="inlineStr">
        <is>
          <t>M 6.5 - 10 km SW of Juradó, Colombia</t>
        </is>
      </c>
      <c r="B829" s="33" t="n">
        <v>6.5</v>
      </c>
      <c r="C829" s="33" t="inlineStr">
        <is>
          <t>08/11/2000 06:59</t>
        </is>
      </c>
      <c r="D829" s="33" t="n">
        <v>0</v>
      </c>
      <c r="E829" s="33" t="n">
        <v>7</v>
      </c>
      <c r="G829" s="33" t="n">
        <v>0</v>
      </c>
      <c r="H829" s="33" t="n">
        <v>650</v>
      </c>
      <c r="I829" s="33" t="inlineStr">
        <is>
          <t>us</t>
        </is>
      </c>
      <c r="J829" s="33" t="n">
        <v>462</v>
      </c>
      <c r="K829" s="33" t="n">
        <v>0</v>
      </c>
      <c r="L829" s="33" t="n">
        <v>0</v>
      </c>
      <c r="M829" s="33" t="inlineStr">
        <is>
          <t>mwc</t>
        </is>
      </c>
      <c r="N829" s="33" t="n">
        <v>17</v>
      </c>
      <c r="O829" s="33" t="n">
        <v>7.042</v>
      </c>
      <c r="P829" s="33" t="n">
        <v>-77.82899999999999</v>
      </c>
      <c r="Q829" s="33" t="inlineStr">
        <is>
          <t>Juradó, Colombia</t>
        </is>
      </c>
      <c r="S829" s="33" t="inlineStr">
        <is>
          <t>Colombia</t>
        </is>
      </c>
      <c r="T829" s="36">
        <f>DATE(MID(C829,7,4),MID(C829,4,2),MID(C829,1,2))+TIME(MID(C829,12,2),MID(C829,15,2),0)</f>
        <v/>
      </c>
      <c r="U829" s="33">
        <f>IF(ISNUMBER(VALUE(MID(A829,7,1))),"Distance-prefix pattern","Named-region pattern")</f>
        <v/>
      </c>
      <c r="V829" s="33">
        <f>LOWER(M829)</f>
        <v/>
      </c>
      <c r="W829" s="33">
        <f>IF(COUNTIFS($A$2:$A$1001,A829,$C$2:$C$1001,C829)&gt;1,"Duplicate","Unique")</f>
        <v/>
      </c>
      <c r="X829" s="33">
        <f>YEAR(T829)</f>
        <v/>
      </c>
      <c r="Y829" s="33">
        <f>IF(B829&lt;6.5,"&lt;6.5",IF(B829&lt;7,"6.5–6.9",IF(B829&lt;7.5,"7.0–7.4",IF(B829&lt;8,"7.5–7.9","8.0+"))))</f>
        <v/>
      </c>
      <c r="Z829" s="33">
        <f>IF(F829="","Blank",F829)</f>
        <v/>
      </c>
    </row>
    <row r="830" ht="15" customHeight="1" s="34">
      <c r="A830" s="33" t="inlineStr">
        <is>
          <t>M 7.0 - 191 km ESE of Kokopo, Papua New Guinea</t>
        </is>
      </c>
      <c r="B830" s="33" t="n">
        <v>7</v>
      </c>
      <c r="C830" s="33" t="inlineStr">
        <is>
          <t>29/10/2000 08:37</t>
        </is>
      </c>
      <c r="D830" s="33" t="n">
        <v>0</v>
      </c>
      <c r="E830" s="33" t="n">
        <v>7</v>
      </c>
      <c r="G830" s="33" t="n">
        <v>0</v>
      </c>
      <c r="H830" s="33" t="n">
        <v>754</v>
      </c>
      <c r="I830" s="33" t="inlineStr">
        <is>
          <t>us</t>
        </is>
      </c>
      <c r="J830" s="33" t="n">
        <v>60</v>
      </c>
      <c r="K830" s="33" t="n">
        <v>0</v>
      </c>
      <c r="L830" s="33" t="n">
        <v>0</v>
      </c>
      <c r="M830" s="33" t="inlineStr">
        <is>
          <t>mwc</t>
        </is>
      </c>
      <c r="N830" s="33" t="n">
        <v>50</v>
      </c>
      <c r="O830" s="33" t="n">
        <v>-4.766</v>
      </c>
      <c r="P830" s="33" t="n">
        <v>153.945</v>
      </c>
      <c r="Q830" s="33" t="inlineStr">
        <is>
          <t>Kokopo, Papua New Guinea</t>
        </is>
      </c>
      <c r="S830" s="33" t="inlineStr">
        <is>
          <t>Papua New Guinea</t>
        </is>
      </c>
      <c r="T830" s="36">
        <f>DATE(MID(C830,7,4),MID(C830,4,2),MID(C830,1,2))+TIME(MID(C830,12,2),MID(C830,15,2),0)</f>
        <v/>
      </c>
      <c r="U830" s="33">
        <f>IF(ISNUMBER(VALUE(MID(A830,7,1))),"Distance-prefix pattern","Named-region pattern")</f>
        <v/>
      </c>
      <c r="V830" s="33">
        <f>LOWER(M830)</f>
        <v/>
      </c>
      <c r="W830" s="33">
        <f>IF(COUNTIFS($A$2:$A$1001,A830,$C$2:$C$1001,C830)&gt;1,"Duplicate","Unique")</f>
        <v/>
      </c>
      <c r="X830" s="33">
        <f>YEAR(T830)</f>
        <v/>
      </c>
      <c r="Y830" s="33">
        <f>IF(B830&lt;6.5,"&lt;6.5",IF(B830&lt;7,"6.5–6.9",IF(B830&lt;7.5,"7.0–7.4",IF(B830&lt;8,"7.5–7.9","8.0+"))))</f>
        <v/>
      </c>
      <c r="Z830" s="33">
        <f>IF(F830="","Blank",F830)</f>
        <v/>
      </c>
    </row>
    <row r="831" ht="15" customHeight="1" s="34">
      <c r="A831" s="33" t="inlineStr">
        <is>
          <t>M 6.8 - 29 km SW of Labuan, Indonesia</t>
        </is>
      </c>
      <c r="B831" s="33" t="n">
        <v>6.8</v>
      </c>
      <c r="C831" s="33" t="inlineStr">
        <is>
          <t>25/10/2000 09:32</t>
        </is>
      </c>
      <c r="D831" s="33" t="n">
        <v>0</v>
      </c>
      <c r="E831" s="33" t="n">
        <v>6</v>
      </c>
      <c r="G831" s="33" t="n">
        <v>0</v>
      </c>
      <c r="H831" s="33" t="n">
        <v>711</v>
      </c>
      <c r="I831" s="33" t="inlineStr">
        <is>
          <t>us</t>
        </is>
      </c>
      <c r="J831" s="33" t="n">
        <v>415</v>
      </c>
      <c r="K831" s="33" t="n">
        <v>0</v>
      </c>
      <c r="L831" s="33" t="n">
        <v>0</v>
      </c>
      <c r="M831" s="33" t="inlineStr">
        <is>
          <t>mwc</t>
        </is>
      </c>
      <c r="N831" s="33" t="n">
        <v>38</v>
      </c>
      <c r="O831" s="33" t="n">
        <v>-6.549</v>
      </c>
      <c r="P831" s="33" t="n">
        <v>105.63</v>
      </c>
      <c r="Q831" s="33" t="inlineStr">
        <is>
          <t>Labuan, Indonesia</t>
        </is>
      </c>
      <c r="S831" s="33" t="inlineStr">
        <is>
          <t>Indonesia</t>
        </is>
      </c>
      <c r="T831" s="36">
        <f>DATE(MID(C831,7,4),MID(C831,4,2),MID(C831,1,2))+TIME(MID(C831,12,2),MID(C831,15,2),0)</f>
        <v/>
      </c>
      <c r="U831" s="33">
        <f>IF(ISNUMBER(VALUE(MID(A831,7,1))),"Distance-prefix pattern","Named-region pattern")</f>
        <v/>
      </c>
      <c r="V831" s="33">
        <f>LOWER(M831)</f>
        <v/>
      </c>
      <c r="W831" s="33">
        <f>IF(COUNTIFS($A$2:$A$1001,A831,$C$2:$C$1001,C831)&gt;1,"Duplicate","Unique")</f>
        <v/>
      </c>
      <c r="X831" s="33">
        <f>YEAR(T831)</f>
        <v/>
      </c>
      <c r="Y831" s="33">
        <f>IF(B831&lt;6.5,"&lt;6.5",IF(B831&lt;7,"6.5–6.9",IF(B831&lt;7.5,"7.0–7.4",IF(B831&lt;8,"7.5–7.9","8.0+"))))</f>
        <v/>
      </c>
      <c r="Z831" s="33">
        <f>IF(F831="","Blank",F831)</f>
        <v/>
      </c>
    </row>
    <row r="832" ht="15" customHeight="1" s="34">
      <c r="A832" s="33" t="inlineStr">
        <is>
          <t>M 6.7 - 8 km ESE of Matsue, Japan</t>
        </is>
      </c>
      <c r="B832" s="33" t="n">
        <v>6.7</v>
      </c>
      <c r="C832" s="33" t="inlineStr">
        <is>
          <t>06/10/2000 04:30</t>
        </is>
      </c>
      <c r="D832" s="33" t="n">
        <v>0</v>
      </c>
      <c r="E832" s="33" t="n">
        <v>8</v>
      </c>
      <c r="G832" s="33" t="n">
        <v>0</v>
      </c>
      <c r="H832" s="33" t="n">
        <v>691</v>
      </c>
      <c r="I832" s="33" t="inlineStr">
        <is>
          <t>us</t>
        </is>
      </c>
      <c r="J832" s="33" t="n">
        <v>390</v>
      </c>
      <c r="K832" s="33" t="n">
        <v>0</v>
      </c>
      <c r="L832" s="33" t="n">
        <v>0</v>
      </c>
      <c r="M832" s="33" t="inlineStr">
        <is>
          <t>mwc</t>
        </is>
      </c>
      <c r="N832" s="33" t="n">
        <v>10</v>
      </c>
      <c r="O832" s="33" t="n">
        <v>35.456</v>
      </c>
      <c r="P832" s="33" t="n">
        <v>133.134</v>
      </c>
      <c r="Q832" s="33" t="inlineStr">
        <is>
          <t>Matsue, Japan</t>
        </is>
      </c>
      <c r="R832" s="33" t="inlineStr">
        <is>
          <t>Asia</t>
        </is>
      </c>
      <c r="S832" s="33" t="inlineStr">
        <is>
          <t>Japan</t>
        </is>
      </c>
      <c r="T832" s="36">
        <f>DATE(MID(C832,7,4),MID(C832,4,2),MID(C832,1,2))+TIME(MID(C832,12,2),MID(C832,15,2),0)</f>
        <v/>
      </c>
      <c r="U832" s="33">
        <f>IF(ISNUMBER(VALUE(MID(A832,7,1))),"Distance-prefix pattern","Named-region pattern")</f>
        <v/>
      </c>
      <c r="V832" s="33">
        <f>LOWER(M832)</f>
        <v/>
      </c>
      <c r="W832" s="33">
        <f>IF(COUNTIFS($A$2:$A$1001,A832,$C$2:$C$1001,C832)&gt;1,"Duplicate","Unique")</f>
        <v/>
      </c>
      <c r="X832" s="33">
        <f>YEAR(T832)</f>
        <v/>
      </c>
      <c r="Y832" s="33">
        <f>IF(B832&lt;6.5,"&lt;6.5",IF(B832&lt;7,"6.5–6.9",IF(B832&lt;7.5,"7.0–7.4",IF(B832&lt;8,"7.5–7.9","8.0+"))))</f>
        <v/>
      </c>
      <c r="Z832" s="33">
        <f>IF(F832="","Blank",F832)</f>
        <v/>
      </c>
    </row>
    <row r="833" ht="15" customHeight="1" s="34">
      <c r="A833" s="33" t="inlineStr">
        <is>
          <t>M 7.0 - 29 km WNW of Luganville, Vanuatu</t>
        </is>
      </c>
      <c r="B833" s="33" t="n">
        <v>7</v>
      </c>
      <c r="C833" s="33" t="inlineStr">
        <is>
          <t>04/10/2000 16:58</t>
        </is>
      </c>
      <c r="D833" s="33" t="n">
        <v>0</v>
      </c>
      <c r="E833" s="33" t="n">
        <v>7</v>
      </c>
      <c r="G833" s="33" t="n">
        <v>0</v>
      </c>
      <c r="H833" s="33" t="n">
        <v>754</v>
      </c>
      <c r="I833" s="33" t="inlineStr">
        <is>
          <t>us</t>
        </is>
      </c>
      <c r="J833" s="33" t="n">
        <v>357</v>
      </c>
      <c r="K833" s="33" t="n">
        <v>0</v>
      </c>
      <c r="L833" s="33" t="n">
        <v>0</v>
      </c>
      <c r="M833" s="33" t="inlineStr">
        <is>
          <t>mwc</t>
        </is>
      </c>
      <c r="N833" s="33" t="n">
        <v>23</v>
      </c>
      <c r="O833" s="33" t="n">
        <v>-15.421</v>
      </c>
      <c r="P833" s="33" t="n">
        <v>166.91</v>
      </c>
      <c r="Q833" s="33" t="inlineStr">
        <is>
          <t>Luganville, Vanuatu</t>
        </is>
      </c>
      <c r="S833" s="33" t="inlineStr">
        <is>
          <t>Vanuatu</t>
        </is>
      </c>
      <c r="T833" s="36">
        <f>DATE(MID(C833,7,4),MID(C833,4,2),MID(C833,1,2))+TIME(MID(C833,12,2),MID(C833,15,2),0)</f>
        <v/>
      </c>
      <c r="U833" s="33">
        <f>IF(ISNUMBER(VALUE(MID(A833,7,1))),"Distance-prefix pattern","Named-region pattern")</f>
        <v/>
      </c>
      <c r="V833" s="33">
        <f>LOWER(M833)</f>
        <v/>
      </c>
      <c r="W833" s="33">
        <f>IF(COUNTIFS($A$2:$A$1001,A833,$C$2:$C$1001,C833)&gt;1,"Duplicate","Unique")</f>
        <v/>
      </c>
      <c r="X833" s="33">
        <f>YEAR(T833)</f>
        <v/>
      </c>
      <c r="Y833" s="33">
        <f>IF(B833&lt;6.5,"&lt;6.5",IF(B833&lt;7,"6.5–6.9",IF(B833&lt;7.5,"7.0–7.4",IF(B833&lt;8,"7.5–7.9","8.0+"))))</f>
        <v/>
      </c>
      <c r="Z833" s="33">
        <f>IF(F833="","Blank",F833)</f>
        <v/>
      </c>
    </row>
    <row r="834" ht="15" customHeight="1" s="34">
      <c r="A834" s="33" t="inlineStr">
        <is>
          <t>M 6.5 - 15 km W of Nkove, Tanzania</t>
        </is>
      </c>
      <c r="B834" s="33" t="n">
        <v>6.5</v>
      </c>
      <c r="C834" s="33" t="inlineStr">
        <is>
          <t>02/10/2000 02:25</t>
        </is>
      </c>
      <c r="D834" s="33" t="n">
        <v>0</v>
      </c>
      <c r="E834" s="33" t="n">
        <v>6</v>
      </c>
      <c r="G834" s="33" t="n">
        <v>0</v>
      </c>
      <c r="H834" s="33" t="n">
        <v>650</v>
      </c>
      <c r="I834" s="33" t="inlineStr">
        <is>
          <t>us</t>
        </is>
      </c>
      <c r="J834" s="33" t="n">
        <v>415</v>
      </c>
      <c r="K834" s="33" t="n">
        <v>0</v>
      </c>
      <c r="L834" s="33" t="n">
        <v>0</v>
      </c>
      <c r="M834" s="33" t="inlineStr">
        <is>
          <t>mwb</t>
        </is>
      </c>
      <c r="N834" s="33" t="n">
        <v>34</v>
      </c>
      <c r="O834" s="33" t="n">
        <v>-7.977</v>
      </c>
      <c r="P834" s="33" t="n">
        <v>30.709</v>
      </c>
      <c r="Q834" s="33" t="inlineStr">
        <is>
          <t>Nkove, Tanzania</t>
        </is>
      </c>
      <c r="R834" s="33" t="inlineStr">
        <is>
          <t>Africa</t>
        </is>
      </c>
      <c r="S834" s="33" t="inlineStr">
        <is>
          <t>Tanzania</t>
        </is>
      </c>
      <c r="T834" s="36">
        <f>DATE(MID(C834,7,4),MID(C834,4,2),MID(C834,1,2))+TIME(MID(C834,12,2),MID(C834,15,2),0)</f>
        <v/>
      </c>
      <c r="U834" s="33">
        <f>IF(ISNUMBER(VALUE(MID(A834,7,1))),"Distance-prefix pattern","Named-region pattern")</f>
        <v/>
      </c>
      <c r="V834" s="33">
        <f>LOWER(M834)</f>
        <v/>
      </c>
      <c r="W834" s="33">
        <f>IF(COUNTIFS($A$2:$A$1001,A834,$C$2:$C$1001,C834)&gt;1,"Duplicate","Unique")</f>
        <v/>
      </c>
      <c r="X834" s="33">
        <f>YEAR(T834)</f>
        <v/>
      </c>
      <c r="Y834" s="33">
        <f>IF(B834&lt;6.5,"&lt;6.5",IF(B834&lt;7,"6.5–6.9",IF(B834&lt;7.5,"7.0–7.4",IF(B834&lt;8,"7.5–7.9","8.0+"))))</f>
        <v/>
      </c>
      <c r="Z834" s="33">
        <f>IF(F834="","Blank",F834)</f>
        <v/>
      </c>
    </row>
    <row r="835" ht="15" customHeight="1" s="34">
      <c r="A835" s="33" t="inlineStr">
        <is>
          <t>M 6.8 - 98 km WSW of Ambon, Indonesia</t>
        </is>
      </c>
      <c r="B835" s="33" t="n">
        <v>6.8</v>
      </c>
      <c r="C835" s="33" t="inlineStr">
        <is>
          <t>28/08/2000 15:05</t>
        </is>
      </c>
      <c r="D835" s="33" t="n">
        <v>0</v>
      </c>
      <c r="E835" s="33" t="n">
        <v>6</v>
      </c>
      <c r="G835" s="33" t="n">
        <v>0</v>
      </c>
      <c r="H835" s="33" t="n">
        <v>711</v>
      </c>
      <c r="I835" s="33" t="inlineStr">
        <is>
          <t>us</t>
        </is>
      </c>
      <c r="J835" s="33" t="n">
        <v>336</v>
      </c>
      <c r="K835" s="33" t="n">
        <v>0</v>
      </c>
      <c r="L835" s="33" t="n">
        <v>0</v>
      </c>
      <c r="M835" s="33" t="inlineStr">
        <is>
          <t>mwc</t>
        </is>
      </c>
      <c r="N835" s="33" t="n">
        <v>16</v>
      </c>
      <c r="O835" s="33" t="n">
        <v>-4.11</v>
      </c>
      <c r="P835" s="33" t="n">
        <v>127.394</v>
      </c>
      <c r="Q835" s="33" t="inlineStr">
        <is>
          <t>Ambon, Indonesia</t>
        </is>
      </c>
      <c r="S835" s="33" t="inlineStr">
        <is>
          <t>Indonesia</t>
        </is>
      </c>
      <c r="T835" s="36">
        <f>DATE(MID(C835,7,4),MID(C835,4,2),MID(C835,1,2))+TIME(MID(C835,12,2),MID(C835,15,2),0)</f>
        <v/>
      </c>
      <c r="U835" s="33">
        <f>IF(ISNUMBER(VALUE(MID(A835,7,1))),"Distance-prefix pattern","Named-region pattern")</f>
        <v/>
      </c>
      <c r="V835" s="33">
        <f>LOWER(M835)</f>
        <v/>
      </c>
      <c r="W835" s="33">
        <f>IF(COUNTIFS($A$2:$A$1001,A835,$C$2:$C$1001,C835)&gt;1,"Duplicate","Unique")</f>
        <v/>
      </c>
      <c r="X835" s="33">
        <f>YEAR(T835)</f>
        <v/>
      </c>
      <c r="Y835" s="33">
        <f>IF(B835&lt;6.5,"&lt;6.5",IF(B835&lt;7,"6.5–6.9",IF(B835&lt;7.5,"7.0–7.4",IF(B835&lt;8,"7.5–7.9","8.0+"))))</f>
        <v/>
      </c>
      <c r="Z835" s="33">
        <f>IF(F835="","Blank",F835)</f>
        <v/>
      </c>
    </row>
    <row r="836" ht="15" customHeight="1" s="34">
      <c r="A836" s="33" t="inlineStr">
        <is>
          <t>M 6.5 - 24 km NNW of El Habillal, Mexico</t>
        </is>
      </c>
      <c r="B836" s="33" t="n">
        <v>6.5</v>
      </c>
      <c r="C836" s="33" t="inlineStr">
        <is>
          <t>09/08/2000 11:41</t>
        </is>
      </c>
      <c r="D836" s="33" t="n">
        <v>0</v>
      </c>
      <c r="E836" s="33" t="n">
        <v>6</v>
      </c>
      <c r="G836" s="33" t="n">
        <v>0</v>
      </c>
      <c r="H836" s="33" t="n">
        <v>650</v>
      </c>
      <c r="I836" s="33" t="inlineStr">
        <is>
          <t>us</t>
        </is>
      </c>
      <c r="J836" s="33" t="n">
        <v>481</v>
      </c>
      <c r="K836" s="33" t="n">
        <v>0</v>
      </c>
      <c r="L836" s="33" t="n">
        <v>0</v>
      </c>
      <c r="M836" s="33" t="inlineStr">
        <is>
          <t>mwc</t>
        </is>
      </c>
      <c r="N836" s="33" t="n">
        <v>45.8</v>
      </c>
      <c r="O836" s="33" t="n">
        <v>18.198</v>
      </c>
      <c r="P836" s="33" t="n">
        <v>-102.48</v>
      </c>
      <c r="Q836" s="33" t="inlineStr">
        <is>
          <t>El Habillal, Mexico</t>
        </is>
      </c>
      <c r="R836" s="33" t="inlineStr">
        <is>
          <t>North America</t>
        </is>
      </c>
      <c r="S836" s="33" t="inlineStr">
        <is>
          <t>Mexico</t>
        </is>
      </c>
      <c r="T836" s="36">
        <f>DATE(MID(C836,7,4),MID(C836,4,2),MID(C836,1,2))+TIME(MID(C836,12,2),MID(C836,15,2),0)</f>
        <v/>
      </c>
      <c r="U836" s="33">
        <f>IF(ISNUMBER(VALUE(MID(A836,7,1))),"Distance-prefix pattern","Named-region pattern")</f>
        <v/>
      </c>
      <c r="V836" s="33">
        <f>LOWER(M836)</f>
        <v/>
      </c>
      <c r="W836" s="33">
        <f>IF(COUNTIFS($A$2:$A$1001,A836,$C$2:$C$1001,C836)&gt;1,"Duplicate","Unique")</f>
        <v/>
      </c>
      <c r="X836" s="33">
        <f>YEAR(T836)</f>
        <v/>
      </c>
      <c r="Y836" s="33">
        <f>IF(B836&lt;6.5,"&lt;6.5",IF(B836&lt;7,"6.5–6.9",IF(B836&lt;7.5,"7.0–7.4",IF(B836&lt;8,"7.5–7.9","8.0+"))))</f>
        <v/>
      </c>
      <c r="Z836" s="33">
        <f>IF(F836="","Blank",F836)</f>
        <v/>
      </c>
    </row>
    <row r="837" ht="15" customHeight="1" s="34">
      <c r="A837" s="33" t="inlineStr">
        <is>
          <t>M 6.8 - 35 km SSE of Uglegorsk, Russia</t>
        </is>
      </c>
      <c r="B837" s="33" t="n">
        <v>6.8</v>
      </c>
      <c r="C837" s="33" t="inlineStr">
        <is>
          <t>04/08/2000 21:13</t>
        </is>
      </c>
      <c r="D837" s="33" t="n">
        <v>0</v>
      </c>
      <c r="E837" s="33" t="n">
        <v>7</v>
      </c>
      <c r="G837" s="33" t="n">
        <v>0</v>
      </c>
      <c r="H837" s="33" t="n">
        <v>711</v>
      </c>
      <c r="I837" s="33" t="inlineStr">
        <is>
          <t>us</t>
        </is>
      </c>
      <c r="J837" s="33" t="n">
        <v>593</v>
      </c>
      <c r="K837" s="33" t="n">
        <v>0</v>
      </c>
      <c r="L837" s="33" t="n">
        <v>0</v>
      </c>
      <c r="M837" s="33" t="inlineStr">
        <is>
          <t>mwc</t>
        </is>
      </c>
      <c r="N837" s="33" t="n">
        <v>10</v>
      </c>
      <c r="O837" s="33" t="n">
        <v>48.786</v>
      </c>
      <c r="P837" s="33" t="n">
        <v>142.246</v>
      </c>
      <c r="Q837" s="33" t="inlineStr">
        <is>
          <t>Uglegorsk, Russia</t>
        </is>
      </c>
      <c r="R837" s="33" t="inlineStr">
        <is>
          <t>Asia</t>
        </is>
      </c>
      <c r="S837" s="33" t="inlineStr">
        <is>
          <t>Russia</t>
        </is>
      </c>
      <c r="T837" s="36">
        <f>DATE(MID(C837,7,4),MID(C837,4,2),MID(C837,1,2))+TIME(MID(C837,12,2),MID(C837,15,2),0)</f>
        <v/>
      </c>
      <c r="U837" s="33">
        <f>IF(ISNUMBER(VALUE(MID(A837,7,1))),"Distance-prefix pattern","Named-region pattern")</f>
        <v/>
      </c>
      <c r="V837" s="33">
        <f>LOWER(M837)</f>
        <v/>
      </c>
      <c r="W837" s="33">
        <f>IF(COUNTIFS($A$2:$A$1001,A837,$C$2:$C$1001,C837)&gt;1,"Duplicate","Unique")</f>
        <v/>
      </c>
      <c r="X837" s="33">
        <f>YEAR(T837)</f>
        <v/>
      </c>
      <c r="Y837" s="33">
        <f>IF(B837&lt;6.5,"&lt;6.5",IF(B837&lt;7,"6.5–6.9",IF(B837&lt;7.5,"7.0–7.4",IF(B837&lt;8,"7.5–7.9","8.0+"))))</f>
        <v/>
      </c>
      <c r="Z837" s="33">
        <f>IF(F837="","Blank",F837)</f>
        <v/>
      </c>
    </row>
    <row r="838" ht="15" customHeight="1" s="34">
      <c r="A838" s="33" t="inlineStr">
        <is>
          <t>M 6.6 - 161 km SSE of Lata, Solomon Islands</t>
        </is>
      </c>
      <c r="B838" s="33" t="n">
        <v>6.6</v>
      </c>
      <c r="C838" s="33" t="inlineStr">
        <is>
          <t>03/08/2000 01:09</t>
        </is>
      </c>
      <c r="D838" s="33" t="n">
        <v>0</v>
      </c>
      <c r="E838" s="33" t="n">
        <v>6</v>
      </c>
      <c r="G838" s="33" t="n">
        <v>0</v>
      </c>
      <c r="H838" s="33" t="n">
        <v>670</v>
      </c>
      <c r="I838" s="33" t="inlineStr">
        <is>
          <t>us</t>
        </is>
      </c>
      <c r="J838" s="33" t="n">
        <v>218</v>
      </c>
      <c r="K838" s="33" t="n">
        <v>0</v>
      </c>
      <c r="L838" s="33" t="n">
        <v>0</v>
      </c>
      <c r="M838" s="33" t="inlineStr">
        <is>
          <t>mwc</t>
        </is>
      </c>
      <c r="N838" s="33" t="n">
        <v>33</v>
      </c>
      <c r="O838" s="33" t="n">
        <v>-12.037</v>
      </c>
      <c r="P838" s="33" t="n">
        <v>166.448</v>
      </c>
      <c r="Q838" s="33" t="inlineStr">
        <is>
          <t>Lata, Solomon Islands</t>
        </is>
      </c>
      <c r="T838" s="36">
        <f>DATE(MID(C838,7,4),MID(C838,4,2),MID(C838,1,2))+TIME(MID(C838,12,2),MID(C838,15,2),0)</f>
        <v/>
      </c>
      <c r="U838" s="33">
        <f>IF(ISNUMBER(VALUE(MID(A838,7,1))),"Distance-prefix pattern","Named-region pattern")</f>
        <v/>
      </c>
      <c r="V838" s="33">
        <f>LOWER(M838)</f>
        <v/>
      </c>
      <c r="W838" s="33">
        <f>IF(COUNTIFS($A$2:$A$1001,A838,$C$2:$C$1001,C838)&gt;1,"Duplicate","Unique")</f>
        <v/>
      </c>
      <c r="X838" s="33">
        <f>YEAR(T838)</f>
        <v/>
      </c>
      <c r="Y838" s="33">
        <f>IF(B838&lt;6.5,"&lt;6.5",IF(B838&lt;7,"6.5–6.9",IF(B838&lt;7.5,"7.0–7.4",IF(B838&lt;8,"7.5–7.9","8.0+"))))</f>
        <v/>
      </c>
      <c r="Z838" s="33">
        <f>IF(F838="","Blank",F838)</f>
        <v/>
      </c>
    </row>
    <row r="839" ht="15" customHeight="1" s="34">
      <c r="A839" s="33" t="inlineStr">
        <is>
          <t>M 6.5 - 94 km SSE of Shimoda, Japan</t>
        </is>
      </c>
      <c r="B839" s="33" t="n">
        <v>6.5</v>
      </c>
      <c r="C839" s="33" t="inlineStr">
        <is>
          <t>30/07/2000 12:25</t>
        </is>
      </c>
      <c r="D839" s="33" t="n">
        <v>0</v>
      </c>
      <c r="E839" s="33" t="n">
        <v>7</v>
      </c>
      <c r="G839" s="33" t="n">
        <v>0</v>
      </c>
      <c r="H839" s="33" t="n">
        <v>650</v>
      </c>
      <c r="I839" s="33" t="inlineStr">
        <is>
          <t>us</t>
        </is>
      </c>
      <c r="J839" s="33" t="n">
        <v>428</v>
      </c>
      <c r="K839" s="33" t="n">
        <v>0</v>
      </c>
      <c r="L839" s="33" t="n">
        <v>0</v>
      </c>
      <c r="M839" s="33" t="inlineStr">
        <is>
          <t>mwc</t>
        </is>
      </c>
      <c r="N839" s="33" t="n">
        <v>10</v>
      </c>
      <c r="O839" s="33" t="n">
        <v>33.901</v>
      </c>
      <c r="P839" s="33" t="n">
        <v>139.376</v>
      </c>
      <c r="Q839" s="33" t="inlineStr">
        <is>
          <t>Shimoda, Japan</t>
        </is>
      </c>
      <c r="S839" s="33" t="inlineStr">
        <is>
          <t>Japan</t>
        </is>
      </c>
      <c r="T839" s="36">
        <f>DATE(MID(C839,7,4),MID(C839,4,2),MID(C839,1,2))+TIME(MID(C839,12,2),MID(C839,15,2),0)</f>
        <v/>
      </c>
      <c r="U839" s="33">
        <f>IF(ISNUMBER(VALUE(MID(A839,7,1))),"Distance-prefix pattern","Named-region pattern")</f>
        <v/>
      </c>
      <c r="V839" s="33">
        <f>LOWER(M839)</f>
        <v/>
      </c>
      <c r="W839" s="33">
        <f>IF(COUNTIFS($A$2:$A$1001,A839,$C$2:$C$1001,C839)&gt;1,"Duplicate","Unique")</f>
        <v/>
      </c>
      <c r="X839" s="33">
        <f>YEAR(T839)</f>
        <v/>
      </c>
      <c r="Y839" s="33">
        <f>IF(B839&lt;6.5,"&lt;6.5",IF(B839&lt;7,"6.5–6.9",IF(B839&lt;7.5,"7.0–7.4",IF(B839&lt;8,"7.5–7.9","8.0+"))))</f>
        <v/>
      </c>
      <c r="Z839" s="33">
        <f>IF(F839="","Blank",F839)</f>
        <v/>
      </c>
    </row>
    <row r="840" ht="15" customHeight="1" s="34">
      <c r="A840" s="33" t="inlineStr">
        <is>
          <t>M 6.6 - 227 km SE of Kandrian, Papua New Guinea</t>
        </is>
      </c>
      <c r="B840" s="33" t="n">
        <v>6.6</v>
      </c>
      <c r="C840" s="33" t="inlineStr">
        <is>
          <t>16/07/2000 03:57</t>
        </is>
      </c>
      <c r="D840" s="33" t="n">
        <v>0</v>
      </c>
      <c r="E840" s="33" t="n">
        <v>5</v>
      </c>
      <c r="G840" s="33" t="n">
        <v>0</v>
      </c>
      <c r="H840" s="33" t="n">
        <v>670</v>
      </c>
      <c r="I840" s="33" t="inlineStr">
        <is>
          <t>us</t>
        </is>
      </c>
      <c r="J840" s="33" t="n">
        <v>367</v>
      </c>
      <c r="K840" s="33" t="n">
        <v>0</v>
      </c>
      <c r="L840" s="33" t="n">
        <v>0</v>
      </c>
      <c r="M840" s="33" t="inlineStr">
        <is>
          <t>mwc</t>
        </is>
      </c>
      <c r="N840" s="33" t="n">
        <v>10</v>
      </c>
      <c r="O840" s="33" t="n">
        <v>-7.747</v>
      </c>
      <c r="P840" s="33" t="n">
        <v>150.917</v>
      </c>
      <c r="Q840" s="33" t="inlineStr">
        <is>
          <t>Kandrian, Papua New Guinea</t>
        </is>
      </c>
      <c r="T840" s="36">
        <f>DATE(MID(C840,7,4),MID(C840,4,2),MID(C840,1,2))+TIME(MID(C840,12,2),MID(C840,15,2),0)</f>
        <v/>
      </c>
      <c r="U840" s="33">
        <f>IF(ISNUMBER(VALUE(MID(A840,7,1))),"Distance-prefix pattern","Named-region pattern")</f>
        <v/>
      </c>
      <c r="V840" s="33">
        <f>LOWER(M840)</f>
        <v/>
      </c>
      <c r="W840" s="33">
        <f>IF(COUNTIFS($A$2:$A$1001,A840,$C$2:$C$1001,C840)&gt;1,"Duplicate","Unique")</f>
        <v/>
      </c>
      <c r="X840" s="33">
        <f>YEAR(T840)</f>
        <v/>
      </c>
      <c r="Y840" s="33">
        <f>IF(B840&lt;6.5,"&lt;6.5",IF(B840&lt;7,"6.5–6.9",IF(B840&lt;7.5,"7.0–7.4",IF(B840&lt;8,"7.5–7.9","8.0+"))))</f>
        <v/>
      </c>
      <c r="Z840" s="33">
        <f>IF(F840="","Blank",F840)</f>
        <v/>
      </c>
    </row>
    <row r="841" ht="15" customHeight="1" s="34">
      <c r="A841" s="33" t="inlineStr">
        <is>
          <t>M 6.5 - 24 km SSW of Larsen Bay, Alaska</t>
        </is>
      </c>
      <c r="B841" s="33" t="n">
        <v>6.5</v>
      </c>
      <c r="C841" s="33" t="inlineStr">
        <is>
          <t>11/07/2000 01:32</t>
        </is>
      </c>
      <c r="D841" s="33" t="n">
        <v>0</v>
      </c>
      <c r="E841" s="33" t="n">
        <v>6</v>
      </c>
      <c r="G841" s="33" t="n">
        <v>0</v>
      </c>
      <c r="H841" s="33" t="n">
        <v>650</v>
      </c>
      <c r="I841" s="33" t="inlineStr">
        <is>
          <t>ak</t>
        </is>
      </c>
      <c r="J841" s="33" t="n">
        <v>0</v>
      </c>
      <c r="K841" s="33" t="n">
        <v>0</v>
      </c>
      <c r="L841" s="33" t="n">
        <v>0</v>
      </c>
      <c r="M841" s="33" t="inlineStr">
        <is>
          <t>mw</t>
        </is>
      </c>
      <c r="N841" s="33" t="n">
        <v>42.9</v>
      </c>
      <c r="O841" s="33" t="n">
        <v>57.3546</v>
      </c>
      <c r="P841" s="33" t="n">
        <v>-154.198</v>
      </c>
      <c r="Q841" s="33" t="inlineStr">
        <is>
          <t>Larsen Bay, Alaska</t>
        </is>
      </c>
      <c r="R841" s="33" t="inlineStr">
        <is>
          <t>North America</t>
        </is>
      </c>
      <c r="S841" s="33" t="inlineStr">
        <is>
          <t>United States of America</t>
        </is>
      </c>
      <c r="T841" s="36">
        <f>DATE(MID(C841,7,4),MID(C841,4,2),MID(C841,1,2))+TIME(MID(C841,12,2),MID(C841,15,2),0)</f>
        <v/>
      </c>
      <c r="U841" s="33">
        <f>IF(ISNUMBER(VALUE(MID(A841,7,1))),"Distance-prefix pattern","Named-region pattern")</f>
        <v/>
      </c>
      <c r="V841" s="33">
        <f>LOWER(M841)</f>
        <v/>
      </c>
      <c r="W841" s="33">
        <f>IF(COUNTIFS($A$2:$A$1001,A841,$C$2:$C$1001,C841)&gt;1,"Duplicate","Unique")</f>
        <v/>
      </c>
      <c r="X841" s="33">
        <f>YEAR(T841)</f>
        <v/>
      </c>
      <c r="Y841" s="33">
        <f>IF(B841&lt;6.5,"&lt;6.5",IF(B841&lt;7,"6.5–6.9",IF(B841&lt;7.5,"7.0–7.4",IF(B841&lt;8,"7.5–7.9","8.0+"))))</f>
        <v/>
      </c>
      <c r="Z841" s="33">
        <f>IF(F841="","Blank",F841)</f>
        <v/>
      </c>
    </row>
    <row r="842" ht="15" customHeight="1" s="34">
      <c r="A842" s="33" t="inlineStr">
        <is>
          <t>M 6.5 - 12 km ENE of Selfoss, Iceland</t>
        </is>
      </c>
      <c r="B842" s="33" t="n">
        <v>6.5</v>
      </c>
      <c r="C842" s="33" t="inlineStr">
        <is>
          <t>21/06/2000 00:51</t>
        </is>
      </c>
      <c r="D842" s="33" t="n">
        <v>0</v>
      </c>
      <c r="E842" s="33" t="n">
        <v>9</v>
      </c>
      <c r="G842" s="33" t="n">
        <v>0</v>
      </c>
      <c r="H842" s="33" t="n">
        <v>650</v>
      </c>
      <c r="I842" s="33" t="inlineStr">
        <is>
          <t>us</t>
        </is>
      </c>
      <c r="J842" s="33" t="n">
        <v>351</v>
      </c>
      <c r="K842" s="33" t="n">
        <v>0</v>
      </c>
      <c r="L842" s="33" t="n">
        <v>0</v>
      </c>
      <c r="M842" s="33" t="inlineStr">
        <is>
          <t>mwc</t>
        </is>
      </c>
      <c r="N842" s="33" t="n">
        <v>10</v>
      </c>
      <c r="O842" s="33" t="n">
        <v>63.98</v>
      </c>
      <c r="P842" s="33" t="n">
        <v>-20.758</v>
      </c>
      <c r="Q842" s="33" t="inlineStr">
        <is>
          <t>Selfoss, Iceland</t>
        </is>
      </c>
      <c r="S842" s="33" t="inlineStr">
        <is>
          <t>Iceland</t>
        </is>
      </c>
      <c r="T842" s="36">
        <f>DATE(MID(C842,7,4),MID(C842,4,2),MID(C842,1,2))+TIME(MID(C842,12,2),MID(C842,15,2),0)</f>
        <v/>
      </c>
      <c r="U842" s="33">
        <f>IF(ISNUMBER(VALUE(MID(A842,7,1))),"Distance-prefix pattern","Named-region pattern")</f>
        <v/>
      </c>
      <c r="V842" s="33">
        <f>LOWER(M842)</f>
        <v/>
      </c>
      <c r="W842" s="33">
        <f>IF(COUNTIFS($A$2:$A$1001,A842,$C$2:$C$1001,C842)&gt;1,"Duplicate","Unique")</f>
        <v/>
      </c>
      <c r="X842" s="33">
        <f>YEAR(T842)</f>
        <v/>
      </c>
      <c r="Y842" s="33">
        <f>IF(B842&lt;6.5,"&lt;6.5",IF(B842&lt;7,"6.5–6.9",IF(B842&lt;7.5,"7.0–7.4",IF(B842&lt;8,"7.5–7.9","8.0+"))))</f>
        <v/>
      </c>
      <c r="Z842" s="33">
        <f>IF(F842="","Blank",F842)</f>
        <v/>
      </c>
    </row>
    <row r="843" ht="15" customHeight="1" s="34">
      <c r="A843" s="33" t="inlineStr">
        <is>
          <t>M 7.9 - South Indian Ocean</t>
        </is>
      </c>
      <c r="B843" s="33" t="n">
        <v>7.9</v>
      </c>
      <c r="C843" s="33" t="inlineStr">
        <is>
          <t>18/06/2000 14:44</t>
        </is>
      </c>
      <c r="D843" s="33" t="n">
        <v>0</v>
      </c>
      <c r="E843" s="33" t="n">
        <v>5</v>
      </c>
      <c r="G843" s="33" t="n">
        <v>0</v>
      </c>
      <c r="H843" s="33" t="n">
        <v>960</v>
      </c>
      <c r="I843" s="33" t="inlineStr">
        <is>
          <t>us</t>
        </is>
      </c>
      <c r="J843" s="33" t="n">
        <v>405</v>
      </c>
      <c r="K843" s="33" t="n">
        <v>0</v>
      </c>
      <c r="L843" s="33" t="n">
        <v>0</v>
      </c>
      <c r="M843" s="33" t="inlineStr">
        <is>
          <t>mwc</t>
        </is>
      </c>
      <c r="N843" s="33" t="n">
        <v>10</v>
      </c>
      <c r="O843" s="33" t="n">
        <v>-13.802</v>
      </c>
      <c r="P843" s="33" t="n">
        <v>97.453</v>
      </c>
      <c r="Q843" s="33" t="inlineStr">
        <is>
          <t>South Indian Ocean</t>
        </is>
      </c>
      <c r="T843" s="36">
        <f>DATE(MID(C843,7,4),MID(C843,4,2),MID(C843,1,2))+TIME(MID(C843,12,2),MID(C843,15,2),0)</f>
        <v/>
      </c>
      <c r="U843" s="33">
        <f>IF(ISNUMBER(VALUE(MID(A843,7,1))),"Distance-prefix pattern","Named-region pattern")</f>
        <v/>
      </c>
      <c r="V843" s="33">
        <f>LOWER(M843)</f>
        <v/>
      </c>
      <c r="W843" s="33">
        <f>IF(COUNTIFS($A$2:$A$1001,A843,$C$2:$C$1001,C843)&gt;1,"Duplicate","Unique")</f>
        <v/>
      </c>
      <c r="X843" s="33">
        <f>YEAR(T843)</f>
        <v/>
      </c>
      <c r="Y843" s="33">
        <f>IF(B843&lt;6.5,"&lt;6.5",IF(B843&lt;7,"6.5–6.9",IF(B843&lt;7.5,"7.0–7.4",IF(B843&lt;8,"7.5–7.9","8.0+"))))</f>
        <v/>
      </c>
      <c r="Z843" s="33">
        <f>IF(F843="","Blank",F843)</f>
        <v/>
      </c>
    </row>
    <row r="844" ht="15" customHeight="1" s="34">
      <c r="A844" s="33" t="inlineStr">
        <is>
          <t>M 6.5 - 25 km E of Selfoss, Iceland</t>
        </is>
      </c>
      <c r="B844" s="33" t="n">
        <v>6.5</v>
      </c>
      <c r="C844" s="33" t="inlineStr">
        <is>
          <t>17/06/2000 15:40</t>
        </is>
      </c>
      <c r="D844" s="33" t="n">
        <v>0</v>
      </c>
      <c r="E844" s="33" t="n">
        <v>8</v>
      </c>
      <c r="G844" s="33" t="n">
        <v>0</v>
      </c>
      <c r="H844" s="33" t="n">
        <v>650</v>
      </c>
      <c r="I844" s="33" t="inlineStr">
        <is>
          <t>us</t>
        </is>
      </c>
      <c r="J844" s="33" t="n">
        <v>406</v>
      </c>
      <c r="K844" s="33" t="n">
        <v>0</v>
      </c>
      <c r="L844" s="33" t="n">
        <v>0</v>
      </c>
      <c r="M844" s="33" t="inlineStr">
        <is>
          <t>mwc</t>
        </is>
      </c>
      <c r="N844" s="33" t="n">
        <v>10</v>
      </c>
      <c r="O844" s="33" t="n">
        <v>63.966</v>
      </c>
      <c r="P844" s="33" t="n">
        <v>-20.487</v>
      </c>
      <c r="Q844" s="33" t="inlineStr">
        <is>
          <t>Selfoss, Iceland</t>
        </is>
      </c>
      <c r="S844" s="33" t="inlineStr">
        <is>
          <t>Iceland</t>
        </is>
      </c>
      <c r="T844" s="36">
        <f>DATE(MID(C844,7,4),MID(C844,4,2),MID(C844,1,2))+TIME(MID(C844,12,2),MID(C844,15,2),0)</f>
        <v/>
      </c>
      <c r="U844" s="33">
        <f>IF(ISNUMBER(VALUE(MID(A844,7,1))),"Distance-prefix pattern","Named-region pattern")</f>
        <v/>
      </c>
      <c r="V844" s="33">
        <f>LOWER(M844)</f>
        <v/>
      </c>
      <c r="W844" s="33">
        <f>IF(COUNTIFS($A$2:$A$1001,A844,$C$2:$C$1001,C844)&gt;1,"Duplicate","Unique")</f>
        <v/>
      </c>
      <c r="X844" s="33">
        <f>YEAR(T844)</f>
        <v/>
      </c>
      <c r="Y844" s="33">
        <f>IF(B844&lt;6.5,"&lt;6.5",IF(B844&lt;7,"6.5–6.9",IF(B844&lt;7.5,"7.0–7.4",IF(B844&lt;8,"7.5–7.9","8.0+"))))</f>
        <v/>
      </c>
      <c r="Z844" s="33">
        <f>IF(F844="","Blank",F844)</f>
        <v/>
      </c>
    </row>
    <row r="845" ht="15" customHeight="1" s="34">
      <c r="A845" s="33" t="inlineStr">
        <is>
          <t>M 6.7 - 98 km SSW of Bengkulu, Indonesia</t>
        </is>
      </c>
      <c r="B845" s="33" t="n">
        <v>6.7</v>
      </c>
      <c r="C845" s="33" t="inlineStr">
        <is>
          <t>07/06/2000 23:45</t>
        </is>
      </c>
      <c r="D845" s="33" t="n">
        <v>0</v>
      </c>
      <c r="E845" s="33" t="n">
        <v>5</v>
      </c>
      <c r="G845" s="33" t="n">
        <v>0</v>
      </c>
      <c r="H845" s="33" t="n">
        <v>691</v>
      </c>
      <c r="I845" s="33" t="inlineStr">
        <is>
          <t>us</t>
        </is>
      </c>
      <c r="J845" s="33" t="n">
        <v>352</v>
      </c>
      <c r="K845" s="33" t="n">
        <v>0</v>
      </c>
      <c r="L845" s="33" t="n">
        <v>0</v>
      </c>
      <c r="M845" s="33" t="inlineStr">
        <is>
          <t>mwc</t>
        </is>
      </c>
      <c r="N845" s="33" t="n">
        <v>33</v>
      </c>
      <c r="O845" s="33" t="n">
        <v>-4.612</v>
      </c>
      <c r="P845" s="33" t="n">
        <v>101.905</v>
      </c>
      <c r="Q845" s="33" t="inlineStr">
        <is>
          <t>Bengkulu, Indonesia</t>
        </is>
      </c>
      <c r="S845" s="33" t="inlineStr">
        <is>
          <t>Indonesia</t>
        </is>
      </c>
      <c r="T845" s="36">
        <f>DATE(MID(C845,7,4),MID(C845,4,2),MID(C845,1,2))+TIME(MID(C845,12,2),MID(C845,15,2),0)</f>
        <v/>
      </c>
      <c r="U845" s="33">
        <f>IF(ISNUMBER(VALUE(MID(A845,7,1))),"Distance-prefix pattern","Named-region pattern")</f>
        <v/>
      </c>
      <c r="V845" s="33">
        <f>LOWER(M845)</f>
        <v/>
      </c>
      <c r="W845" s="33">
        <f>IF(COUNTIFS($A$2:$A$1001,A845,$C$2:$C$1001,C845)&gt;1,"Duplicate","Unique")</f>
        <v/>
      </c>
      <c r="X845" s="33">
        <f>YEAR(T845)</f>
        <v/>
      </c>
      <c r="Y845" s="33">
        <f>IF(B845&lt;6.5,"&lt;6.5",IF(B845&lt;7,"6.5–6.9",IF(B845&lt;7.5,"7.0–7.4",IF(B845&lt;8,"7.5–7.9","8.0+"))))</f>
        <v/>
      </c>
      <c r="Z845" s="33">
        <f>IF(F845="","Blank",F845)</f>
        <v/>
      </c>
    </row>
    <row r="846" ht="15" customHeight="1" s="34">
      <c r="A846" s="33" t="inlineStr">
        <is>
          <t>M 6.7 - 95 km S of Bengkulu, Indonesia</t>
        </is>
      </c>
      <c r="B846" s="33" t="n">
        <v>6.7</v>
      </c>
      <c r="C846" s="33" t="inlineStr">
        <is>
          <t>04/06/2000 16:39</t>
        </is>
      </c>
      <c r="D846" s="33" t="n">
        <v>0</v>
      </c>
      <c r="E846" s="33" t="n">
        <v>5</v>
      </c>
      <c r="G846" s="33" t="n">
        <v>0</v>
      </c>
      <c r="H846" s="33" t="n">
        <v>691</v>
      </c>
      <c r="I846" s="33" t="inlineStr">
        <is>
          <t>us</t>
        </is>
      </c>
      <c r="J846" s="33" t="n">
        <v>147</v>
      </c>
      <c r="K846" s="33" t="n">
        <v>0</v>
      </c>
      <c r="L846" s="33" t="n">
        <v>0</v>
      </c>
      <c r="M846" s="33" t="inlineStr">
        <is>
          <t>mb</t>
        </is>
      </c>
      <c r="N846" s="33" t="n">
        <v>33</v>
      </c>
      <c r="O846" s="33" t="n">
        <v>-4.646</v>
      </c>
      <c r="P846" s="33" t="n">
        <v>102.102</v>
      </c>
      <c r="Q846" s="33" t="inlineStr">
        <is>
          <t>Bengkulu, Indonesia</t>
        </is>
      </c>
      <c r="S846" s="33" t="inlineStr">
        <is>
          <t>Indonesia</t>
        </is>
      </c>
      <c r="T846" s="36">
        <f>DATE(MID(C846,7,4),MID(C846,4,2),MID(C846,1,2))+TIME(MID(C846,12,2),MID(C846,15,2),0)</f>
        <v/>
      </c>
      <c r="U846" s="33">
        <f>IF(ISNUMBER(VALUE(MID(A846,7,1))),"Distance-prefix pattern","Named-region pattern")</f>
        <v/>
      </c>
      <c r="V846" s="33">
        <f>LOWER(M846)</f>
        <v/>
      </c>
      <c r="W846" s="33">
        <f>IF(COUNTIFS($A$2:$A$1001,A846,$C$2:$C$1001,C846)&gt;1,"Duplicate","Unique")</f>
        <v/>
      </c>
      <c r="X846" s="33">
        <f>YEAR(T846)</f>
        <v/>
      </c>
      <c r="Y846" s="33">
        <f>IF(B846&lt;6.5,"&lt;6.5",IF(B846&lt;7,"6.5–6.9",IF(B846&lt;7.5,"7.0–7.4",IF(B846&lt;8,"7.5–7.9","8.0+"))))</f>
        <v/>
      </c>
      <c r="Z846" s="33">
        <f>IF(F846="","Blank",F846)</f>
        <v/>
      </c>
    </row>
    <row r="847" ht="15" customHeight="1" s="34">
      <c r="A847" s="33" t="inlineStr">
        <is>
          <t>M 7.9 - 103 km S of Bengkulu, Indonesia</t>
        </is>
      </c>
      <c r="B847" s="33" t="n">
        <v>7.9</v>
      </c>
      <c r="C847" s="33" t="inlineStr">
        <is>
          <t>04/06/2000 16:28</t>
        </is>
      </c>
      <c r="D847" s="33" t="n">
        <v>0</v>
      </c>
      <c r="E847" s="33" t="n">
        <v>8</v>
      </c>
      <c r="G847" s="33" t="n">
        <v>0</v>
      </c>
      <c r="H847" s="33" t="n">
        <v>960</v>
      </c>
      <c r="I847" s="33" t="inlineStr">
        <is>
          <t>us</t>
        </is>
      </c>
      <c r="J847" s="33" t="n">
        <v>379</v>
      </c>
      <c r="K847" s="33" t="n">
        <v>0</v>
      </c>
      <c r="L847" s="33" t="n">
        <v>0</v>
      </c>
      <c r="M847" s="33" t="inlineStr">
        <is>
          <t>mwc</t>
        </is>
      </c>
      <c r="N847" s="33" t="n">
        <v>33</v>
      </c>
      <c r="O847" s="33" t="n">
        <v>-4.721</v>
      </c>
      <c r="P847" s="33" t="n">
        <v>102.087</v>
      </c>
      <c r="Q847" s="33" t="inlineStr">
        <is>
          <t>Bengkulu, Indonesia</t>
        </is>
      </c>
      <c r="S847" s="33" t="inlineStr">
        <is>
          <t>Indonesia</t>
        </is>
      </c>
      <c r="T847" s="36">
        <f>DATE(MID(C847,7,4),MID(C847,4,2),MID(C847,1,2))+TIME(MID(C847,12,2),MID(C847,15,2),0)</f>
        <v/>
      </c>
      <c r="U847" s="33">
        <f>IF(ISNUMBER(VALUE(MID(A847,7,1))),"Distance-prefix pattern","Named-region pattern")</f>
        <v/>
      </c>
      <c r="V847" s="33">
        <f>LOWER(M847)</f>
        <v/>
      </c>
      <c r="W847" s="33">
        <f>IF(COUNTIFS($A$2:$A$1001,A847,$C$2:$C$1001,C847)&gt;1,"Duplicate","Unique")</f>
        <v/>
      </c>
      <c r="X847" s="33">
        <f>YEAR(T847)</f>
        <v/>
      </c>
      <c r="Y847" s="33">
        <f>IF(B847&lt;6.5,"&lt;6.5",IF(B847&lt;7,"6.5–6.9",IF(B847&lt;7.5,"7.0–7.4",IF(B847&lt;8,"7.5–7.9","8.0+"))))</f>
        <v/>
      </c>
      <c r="Z847" s="33">
        <f>IF(F847="","Blank",F847)</f>
        <v/>
      </c>
    </row>
    <row r="848" ht="15" customHeight="1" s="34">
      <c r="A848" s="33" t="inlineStr">
        <is>
          <t>M 7.2 - 75 km N of San Antonio de los Cobres, Argentina</t>
        </is>
      </c>
      <c r="B848" s="33" t="n">
        <v>7.2</v>
      </c>
      <c r="C848" s="33" t="inlineStr">
        <is>
          <t>12/05/2000 18:43</t>
        </is>
      </c>
      <c r="D848" s="33" t="n">
        <v>0</v>
      </c>
      <c r="E848" s="33" t="n">
        <v>5</v>
      </c>
      <c r="G848" s="33" t="n">
        <v>0</v>
      </c>
      <c r="H848" s="33" t="n">
        <v>798</v>
      </c>
      <c r="I848" s="33" t="inlineStr">
        <is>
          <t>us</t>
        </is>
      </c>
      <c r="J848" s="33" t="n">
        <v>0</v>
      </c>
      <c r="K848" s="33" t="n">
        <v>0</v>
      </c>
      <c r="L848" s="33" t="n">
        <v>0</v>
      </c>
      <c r="M848" s="33" t="inlineStr">
        <is>
          <t>mwc</t>
        </is>
      </c>
      <c r="N848" s="33" t="n">
        <v>225</v>
      </c>
      <c r="O848" s="33" t="n">
        <v>-23.548</v>
      </c>
      <c r="P848" s="33" t="n">
        <v>-66.452</v>
      </c>
      <c r="Q848" s="33" t="inlineStr">
        <is>
          <t>San Antonio de los Cobres, Argentina</t>
        </is>
      </c>
      <c r="R848" s="33" t="inlineStr">
        <is>
          <t>South America</t>
        </is>
      </c>
      <c r="S848" s="33" t="inlineStr">
        <is>
          <t>Argentina</t>
        </is>
      </c>
      <c r="T848" s="36">
        <f>DATE(MID(C848,7,4),MID(C848,4,2),MID(C848,1,2))+TIME(MID(C848,12,2),MID(C848,15,2),0)</f>
        <v/>
      </c>
      <c r="U848" s="33">
        <f>IF(ISNUMBER(VALUE(MID(A848,7,1))),"Distance-prefix pattern","Named-region pattern")</f>
        <v/>
      </c>
      <c r="V848" s="33">
        <f>LOWER(M848)</f>
        <v/>
      </c>
      <c r="W848" s="33">
        <f>IF(COUNTIFS($A$2:$A$1001,A848,$C$2:$C$1001,C848)&gt;1,"Duplicate","Unique")</f>
        <v/>
      </c>
      <c r="X848" s="33">
        <f>YEAR(T848)</f>
        <v/>
      </c>
      <c r="Y848" s="33">
        <f>IF(B848&lt;6.5,"&lt;6.5",IF(B848&lt;7,"6.5–6.9",IF(B848&lt;7.5,"7.0–7.4",IF(B848&lt;8,"7.5–7.9","8.0+"))))</f>
        <v/>
      </c>
      <c r="Z848" s="33">
        <f>IF(F848="","Blank",F848)</f>
        <v/>
      </c>
    </row>
    <row r="849" ht="15" customHeight="1" s="34">
      <c r="A849" s="33" t="inlineStr">
        <is>
          <t>M 7.6 - 89 km E of Luwuk, Indonesia</t>
        </is>
      </c>
      <c r="B849" s="33" t="n">
        <v>7.6</v>
      </c>
      <c r="C849" s="33" t="inlineStr">
        <is>
          <t>04/05/2000 04:21</t>
        </is>
      </c>
      <c r="D849" s="33" t="n">
        <v>0</v>
      </c>
      <c r="E849" s="33" t="n">
        <v>7</v>
      </c>
      <c r="G849" s="33" t="n">
        <v>0</v>
      </c>
      <c r="H849" s="33" t="n">
        <v>889</v>
      </c>
      <c r="I849" s="33" t="inlineStr">
        <is>
          <t>us</t>
        </is>
      </c>
      <c r="J849" s="33" t="n">
        <v>0</v>
      </c>
      <c r="K849" s="33" t="n">
        <v>0</v>
      </c>
      <c r="L849" s="33" t="n">
        <v>0</v>
      </c>
      <c r="M849" s="33" t="inlineStr">
        <is>
          <t>mwc</t>
        </is>
      </c>
      <c r="N849" s="33" t="n">
        <v>26</v>
      </c>
      <c r="O849" s="33" t="n">
        <v>-1.105</v>
      </c>
      <c r="P849" s="33" t="n">
        <v>123.573</v>
      </c>
      <c r="Q849" s="33" t="inlineStr">
        <is>
          <t>Luwuk, Indonesia</t>
        </is>
      </c>
      <c r="S849" s="33" t="inlineStr">
        <is>
          <t>Indonesia</t>
        </is>
      </c>
      <c r="T849" s="36">
        <f>DATE(MID(C849,7,4),MID(C849,4,2),MID(C849,1,2))+TIME(MID(C849,12,2),MID(C849,15,2),0)</f>
        <v/>
      </c>
      <c r="U849" s="33">
        <f>IF(ISNUMBER(VALUE(MID(A849,7,1))),"Distance-prefix pattern","Named-region pattern")</f>
        <v/>
      </c>
      <c r="V849" s="33">
        <f>LOWER(M849)</f>
        <v/>
      </c>
      <c r="W849" s="33">
        <f>IF(COUNTIFS($A$2:$A$1001,A849,$C$2:$C$1001,C849)&gt;1,"Duplicate","Unique")</f>
        <v/>
      </c>
      <c r="X849" s="33">
        <f>YEAR(T849)</f>
        <v/>
      </c>
      <c r="Y849" s="33">
        <f>IF(B849&lt;6.5,"&lt;6.5",IF(B849&lt;7,"6.5–6.9",IF(B849&lt;7.5,"7.0–7.4",IF(B849&lt;8,"7.5–7.9","8.0+"))))</f>
        <v/>
      </c>
      <c r="Z849" s="33">
        <f>IF(F849="","Blank",F849)</f>
        <v/>
      </c>
    </row>
    <row r="850" ht="15" customHeight="1" s="34">
      <c r="A850" s="33" t="inlineStr">
        <is>
          <t>M 6.6 - 62 km SSW of Ialibu, Papua New Guinea</t>
        </is>
      </c>
      <c r="B850" s="33" t="n">
        <v>6.6</v>
      </c>
      <c r="C850" s="33" t="inlineStr">
        <is>
          <t>03/03/2000 22:22</t>
        </is>
      </c>
      <c r="D850" s="33" t="n">
        <v>0</v>
      </c>
      <c r="E850" s="33" t="n">
        <v>8</v>
      </c>
      <c r="G850" s="33" t="n">
        <v>0</v>
      </c>
      <c r="H850" s="33" t="n">
        <v>670</v>
      </c>
      <c r="I850" s="33" t="inlineStr">
        <is>
          <t>us</t>
        </is>
      </c>
      <c r="J850" s="33" t="n">
        <v>0</v>
      </c>
      <c r="K850" s="33" t="n">
        <v>0</v>
      </c>
      <c r="L850" s="33" t="n">
        <v>0</v>
      </c>
      <c r="M850" s="33" t="inlineStr">
        <is>
          <t>mwc</t>
        </is>
      </c>
      <c r="N850" s="33" t="n">
        <v>10</v>
      </c>
      <c r="O850" s="33" t="n">
        <v>-6.817</v>
      </c>
      <c r="P850" s="33" t="n">
        <v>143.807</v>
      </c>
      <c r="Q850" s="33" t="inlineStr">
        <is>
          <t>Ialibu, Papua New Guinea</t>
        </is>
      </c>
      <c r="S850" s="33" t="inlineStr">
        <is>
          <t>Papua New Guinea</t>
        </is>
      </c>
      <c r="T850" s="36">
        <f>DATE(MID(C850,7,4),MID(C850,4,2),MID(C850,1,2))+TIME(MID(C850,12,2),MID(C850,15,2),0)</f>
        <v/>
      </c>
      <c r="U850" s="33">
        <f>IF(ISNUMBER(VALUE(MID(A850,7,1))),"Distance-prefix pattern","Named-region pattern")</f>
        <v/>
      </c>
      <c r="V850" s="33">
        <f>LOWER(M850)</f>
        <v/>
      </c>
      <c r="W850" s="33">
        <f>IF(COUNTIFS($A$2:$A$1001,A850,$C$2:$C$1001,C850)&gt;1,"Duplicate","Unique")</f>
        <v/>
      </c>
      <c r="X850" s="33">
        <f>YEAR(T850)</f>
        <v/>
      </c>
      <c r="Y850" s="33">
        <f>IF(B850&lt;6.5,"&lt;6.5",IF(B850&lt;7,"6.5–6.9",IF(B850&lt;7.5,"7.0–7.4",IF(B850&lt;8,"7.5–7.9","8.0+"))))</f>
        <v/>
      </c>
      <c r="Z850" s="33">
        <f>IF(F850="","Blank",F850)</f>
        <v/>
      </c>
    </row>
    <row r="851" ht="15" customHeight="1" s="34">
      <c r="A851" s="33" t="inlineStr">
        <is>
          <t>M 6.6 - 87 km ESE of Kimbe, Papua New Guinea</t>
        </is>
      </c>
      <c r="B851" s="33" t="n">
        <v>6.6</v>
      </c>
      <c r="C851" s="33" t="inlineStr">
        <is>
          <t>06/02/2000 11:33</t>
        </is>
      </c>
      <c r="D851" s="33" t="n">
        <v>0</v>
      </c>
      <c r="E851" s="33" t="n">
        <v>6</v>
      </c>
      <c r="G851" s="33" t="n">
        <v>0</v>
      </c>
      <c r="H851" s="33" t="n">
        <v>670</v>
      </c>
      <c r="I851" s="33" t="inlineStr">
        <is>
          <t>us</t>
        </is>
      </c>
      <c r="J851" s="33" t="n">
        <v>0</v>
      </c>
      <c r="K851" s="33" t="n">
        <v>0</v>
      </c>
      <c r="L851" s="33" t="n">
        <v>0</v>
      </c>
      <c r="M851" s="33" t="inlineStr">
        <is>
          <t>mwc</t>
        </is>
      </c>
      <c r="N851" s="33" t="n">
        <v>33</v>
      </c>
      <c r="O851" s="33" t="n">
        <v>-5.844</v>
      </c>
      <c r="P851" s="33" t="n">
        <v>150.876</v>
      </c>
      <c r="Q851" s="33" t="inlineStr">
        <is>
          <t>Kimbe, Papua New Guinea</t>
        </is>
      </c>
      <c r="S851" s="33" t="inlineStr">
        <is>
          <t>Papua New Guinea</t>
        </is>
      </c>
      <c r="T851" s="36">
        <f>DATE(MID(C851,7,4),MID(C851,4,2),MID(C851,1,2))+TIME(MID(C851,12,2),MID(C851,15,2),0)</f>
        <v/>
      </c>
      <c r="U851" s="33">
        <f>IF(ISNUMBER(VALUE(MID(A851,7,1))),"Distance-prefix pattern","Named-region pattern")</f>
        <v/>
      </c>
      <c r="V851" s="33">
        <f>LOWER(M851)</f>
        <v/>
      </c>
      <c r="W851" s="33">
        <f>IF(COUNTIFS($A$2:$A$1001,A851,$C$2:$C$1001,C851)&gt;1,"Duplicate","Unique")</f>
        <v/>
      </c>
      <c r="X851" s="33">
        <f>YEAR(T851)</f>
        <v/>
      </c>
      <c r="Y851" s="33">
        <f>IF(B851&lt;6.5,"&lt;6.5",IF(B851&lt;7,"6.5–6.9",IF(B851&lt;7.5,"7.0–7.4",IF(B851&lt;8,"7.5–7.9","8.0+"))))</f>
        <v/>
      </c>
      <c r="Z851" s="33">
        <f>IF(F851="","Blank",F851)</f>
        <v/>
      </c>
    </row>
    <row r="852" ht="15" customHeight="1" s="34">
      <c r="A852" s="33" t="inlineStr">
        <is>
          <t>M 6.8 - 84 km S of Shikotan, Russia</t>
        </is>
      </c>
      <c r="B852" s="33" t="n">
        <v>6.8</v>
      </c>
      <c r="C852" s="33" t="inlineStr">
        <is>
          <t>28/01/2000 14:21</t>
        </is>
      </c>
      <c r="D852" s="33" t="n">
        <v>0</v>
      </c>
      <c r="E852" s="33" t="n">
        <v>6</v>
      </c>
      <c r="G852" s="33" t="n">
        <v>0</v>
      </c>
      <c r="H852" s="33" t="n">
        <v>711</v>
      </c>
      <c r="I852" s="33" t="inlineStr">
        <is>
          <t>us</t>
        </is>
      </c>
      <c r="J852" s="33" t="n">
        <v>0</v>
      </c>
      <c r="K852" s="33" t="n">
        <v>0</v>
      </c>
      <c r="L852" s="33" t="n">
        <v>0</v>
      </c>
      <c r="M852" s="33" t="inlineStr">
        <is>
          <t>mwc</t>
        </is>
      </c>
      <c r="N852" s="33" t="n">
        <v>61.1</v>
      </c>
      <c r="O852" s="33" t="n">
        <v>43.046</v>
      </c>
      <c r="P852" s="33" t="n">
        <v>146.837</v>
      </c>
      <c r="Q852" s="33" t="inlineStr">
        <is>
          <t>Shikotan, Russia</t>
        </is>
      </c>
      <c r="T852" s="36">
        <f>DATE(MID(C852,7,4),MID(C852,4,2),MID(C852,1,2))+TIME(MID(C852,12,2),MID(C852,15,2),0)</f>
        <v/>
      </c>
      <c r="U852" s="33">
        <f>IF(ISNUMBER(VALUE(MID(A852,7,1))),"Distance-prefix pattern","Named-region pattern")</f>
        <v/>
      </c>
      <c r="V852" s="33">
        <f>LOWER(M852)</f>
        <v/>
      </c>
      <c r="W852" s="33">
        <f>IF(COUNTIFS($A$2:$A$1001,A852,$C$2:$C$1001,C852)&gt;1,"Duplicate","Unique")</f>
        <v/>
      </c>
      <c r="X852" s="33">
        <f>YEAR(T852)</f>
        <v/>
      </c>
      <c r="Y852" s="33">
        <f>IF(B852&lt;6.5,"&lt;6.5",IF(B852&lt;7,"6.5–6.9",IF(B852&lt;7.5,"7.0–7.4",IF(B852&lt;8,"7.5–7.9","8.0+"))))</f>
        <v/>
      </c>
      <c r="Z852" s="33">
        <f>IF(F852="","Blank",F852)</f>
        <v/>
      </c>
    </row>
    <row r="853" ht="15" customHeight="1" s="34">
      <c r="A853" s="33" t="inlineStr">
        <is>
          <t>M 7.2 - 117 km SSW of Hihifo, Tonga</t>
        </is>
      </c>
      <c r="B853" s="33" t="n">
        <v>7.2</v>
      </c>
      <c r="C853" s="33" t="inlineStr">
        <is>
          <t>08/01/2000 16:47</t>
        </is>
      </c>
      <c r="D853" s="33" t="n">
        <v>0</v>
      </c>
      <c r="E853" s="33" t="n">
        <v>6</v>
      </c>
      <c r="G853" s="33" t="n">
        <v>0</v>
      </c>
      <c r="H853" s="33" t="n">
        <v>798</v>
      </c>
      <c r="I853" s="33" t="inlineStr">
        <is>
          <t>us</t>
        </is>
      </c>
      <c r="J853" s="33" t="n">
        <v>0</v>
      </c>
      <c r="K853" s="33" t="n">
        <v>0</v>
      </c>
      <c r="L853" s="33" t="n">
        <v>0</v>
      </c>
      <c r="M853" s="33" t="inlineStr">
        <is>
          <t>mwc</t>
        </is>
      </c>
      <c r="N853" s="33" t="n">
        <v>183.4</v>
      </c>
      <c r="O853" s="33" t="n">
        <v>-16.925</v>
      </c>
      <c r="P853" s="33" t="n">
        <v>-174.248</v>
      </c>
      <c r="Q853" s="33" t="inlineStr">
        <is>
          <t>Hihifo, Tonga</t>
        </is>
      </c>
      <c r="T853" s="36">
        <f>DATE(MID(C853,7,4),MID(C853,4,2),MID(C853,1,2))+TIME(MID(C853,12,2),MID(C853,15,2),0)</f>
        <v/>
      </c>
      <c r="U853" s="33">
        <f>IF(ISNUMBER(VALUE(MID(A853,7,1))),"Distance-prefix pattern","Named-region pattern")</f>
        <v/>
      </c>
      <c r="V853" s="33">
        <f>LOWER(M853)</f>
        <v/>
      </c>
      <c r="W853" s="33">
        <f>IF(COUNTIFS($A$2:$A$1001,A853,$C$2:$C$1001,C853)&gt;1,"Duplicate","Unique")</f>
        <v/>
      </c>
      <c r="X853" s="33">
        <f>YEAR(T853)</f>
        <v/>
      </c>
      <c r="Y853" s="33">
        <f>IF(B853&lt;6.5,"&lt;6.5",IF(B853&lt;7,"6.5–6.9",IF(B853&lt;7.5,"7.0–7.4",IF(B853&lt;8,"7.5–7.9","8.0+"))))</f>
        <v/>
      </c>
      <c r="Z853" s="33">
        <f>IF(F853="","Blank",F853)</f>
        <v/>
      </c>
    </row>
    <row r="854" ht="15" customHeight="1" s="34">
      <c r="A854" s="33" t="inlineStr">
        <is>
          <t>M 6.9 - 50 km WSW of Lata, Solomon Islands</t>
        </is>
      </c>
      <c r="B854" s="33" t="n">
        <v>6.9</v>
      </c>
      <c r="C854" s="33" t="inlineStr">
        <is>
          <t>29/12/1999 13:29</t>
        </is>
      </c>
      <c r="D854" s="33" t="n">
        <v>0</v>
      </c>
      <c r="E854" s="33" t="n">
        <v>6</v>
      </c>
      <c r="G854" s="33" t="n">
        <v>0</v>
      </c>
      <c r="H854" s="33" t="n">
        <v>732</v>
      </c>
      <c r="I854" s="33" t="inlineStr">
        <is>
          <t>us</t>
        </is>
      </c>
      <c r="J854" s="33" t="n">
        <v>0</v>
      </c>
      <c r="K854" s="33" t="n">
        <v>0</v>
      </c>
      <c r="L854" s="33" t="n">
        <v>0</v>
      </c>
      <c r="M854" s="33" t="inlineStr">
        <is>
          <t>mwb</t>
        </is>
      </c>
      <c r="N854" s="33" t="n">
        <v>33</v>
      </c>
      <c r="O854" s="33" t="n">
        <v>-10.86</v>
      </c>
      <c r="P854" s="33" t="n">
        <v>165.354</v>
      </c>
      <c r="Q854" s="33" t="inlineStr">
        <is>
          <t>Lata, Solomon Islands</t>
        </is>
      </c>
      <c r="T854" s="36">
        <f>DATE(MID(C854,7,4),MID(C854,4,2),MID(C854,1,2))+TIME(MID(C854,12,2),MID(C854,15,2),0)</f>
        <v/>
      </c>
      <c r="U854" s="33">
        <f>IF(ISNUMBER(VALUE(MID(A854,7,1))),"Distance-prefix pattern","Named-region pattern")</f>
        <v/>
      </c>
      <c r="V854" s="33">
        <f>LOWER(M854)</f>
        <v/>
      </c>
      <c r="W854" s="33">
        <f>IF(COUNTIFS($A$2:$A$1001,A854,$C$2:$C$1001,C854)&gt;1,"Duplicate","Unique")</f>
        <v/>
      </c>
      <c r="X854" s="33">
        <f>YEAR(T854)</f>
        <v/>
      </c>
      <c r="Y854" s="33">
        <f>IF(B854&lt;6.5,"&lt;6.5",IF(B854&lt;7,"6.5–6.9",IF(B854&lt;7.5,"7.0–7.4",IF(B854&lt;8,"7.5–7.9","8.0+"))))</f>
        <v/>
      </c>
      <c r="Z854" s="33">
        <f>IF(F854="","Blank",F854)</f>
        <v/>
      </c>
    </row>
    <row r="855" ht="15" customHeight="1" s="34">
      <c r="A855" s="33" t="inlineStr">
        <is>
          <t>M 6.5 - 59 km SSW of Labuan, Indonesia</t>
        </is>
      </c>
      <c r="B855" s="33" t="n">
        <v>6.5</v>
      </c>
      <c r="C855" s="33" t="inlineStr">
        <is>
          <t>21/12/1999 14:14</t>
        </is>
      </c>
      <c r="D855" s="33" t="n">
        <v>0</v>
      </c>
      <c r="E855" s="33" t="n">
        <v>6</v>
      </c>
      <c r="G855" s="33" t="n">
        <v>0</v>
      </c>
      <c r="H855" s="33" t="n">
        <v>650</v>
      </c>
      <c r="I855" s="33" t="inlineStr">
        <is>
          <t>us</t>
        </is>
      </c>
      <c r="J855" s="33" t="n">
        <v>0</v>
      </c>
      <c r="K855" s="33" t="n">
        <v>0</v>
      </c>
      <c r="L855" s="33" t="n">
        <v>0</v>
      </c>
      <c r="M855" s="33" t="inlineStr">
        <is>
          <t>mwb</t>
        </is>
      </c>
      <c r="N855" s="33" t="n">
        <v>56</v>
      </c>
      <c r="O855" s="33" t="n">
        <v>-6.845</v>
      </c>
      <c r="P855" s="33" t="n">
        <v>105.555</v>
      </c>
      <c r="Q855" s="33" t="inlineStr">
        <is>
          <t>Labuan, Indonesia</t>
        </is>
      </c>
      <c r="S855" s="33" t="inlineStr">
        <is>
          <t>Indonesia</t>
        </is>
      </c>
      <c r="T855" s="36">
        <f>DATE(MID(C855,7,4),MID(C855,4,2),MID(C855,1,2))+TIME(MID(C855,12,2),MID(C855,15,2),0)</f>
        <v/>
      </c>
      <c r="U855" s="33">
        <f>IF(ISNUMBER(VALUE(MID(A855,7,1))),"Distance-prefix pattern","Named-region pattern")</f>
        <v/>
      </c>
      <c r="V855" s="33">
        <f>LOWER(M855)</f>
        <v/>
      </c>
      <c r="W855" s="33">
        <f>IF(COUNTIFS($A$2:$A$1001,A855,$C$2:$C$1001,C855)&gt;1,"Duplicate","Unique")</f>
        <v/>
      </c>
      <c r="X855" s="33">
        <f>YEAR(T855)</f>
        <v/>
      </c>
      <c r="Y855" s="33">
        <f>IF(B855&lt;6.5,"&lt;6.5",IF(B855&lt;7,"6.5–6.9",IF(B855&lt;7.5,"7.0–7.4",IF(B855&lt;8,"7.5–7.9","8.0+"))))</f>
        <v/>
      </c>
      <c r="Z855" s="33">
        <f>IF(F855="","Blank",F855)</f>
        <v/>
      </c>
    </row>
    <row r="856" ht="15" customHeight="1" s="34">
      <c r="A856" s="33" t="inlineStr">
        <is>
          <t>M 7.3 - 14 km WNW of Bolitoc, Philippines</t>
        </is>
      </c>
      <c r="B856" s="33" t="n">
        <v>7.3</v>
      </c>
      <c r="C856" s="33" t="inlineStr">
        <is>
          <t>11/12/1999 18:03</t>
        </is>
      </c>
      <c r="D856" s="33" t="n">
        <v>0</v>
      </c>
      <c r="E856" s="33" t="n">
        <v>7</v>
      </c>
      <c r="G856" s="33" t="n">
        <v>0</v>
      </c>
      <c r="H856" s="33" t="n">
        <v>820</v>
      </c>
      <c r="I856" s="33" t="inlineStr">
        <is>
          <t>us</t>
        </is>
      </c>
      <c r="J856" s="33" t="n">
        <v>0</v>
      </c>
      <c r="K856" s="33" t="n">
        <v>0</v>
      </c>
      <c r="L856" s="33" t="n">
        <v>0</v>
      </c>
      <c r="M856" s="33" t="inlineStr">
        <is>
          <t>mwc</t>
        </is>
      </c>
      <c r="N856" s="33" t="n">
        <v>33</v>
      </c>
      <c r="O856" s="33" t="n">
        <v>15.766</v>
      </c>
      <c r="P856" s="33" t="n">
        <v>119.74</v>
      </c>
      <c r="Q856" s="33" t="inlineStr">
        <is>
          <t>Bolitoc, Philippines</t>
        </is>
      </c>
      <c r="S856" s="33" t="inlineStr">
        <is>
          <t>Philippines</t>
        </is>
      </c>
      <c r="T856" s="36">
        <f>DATE(MID(C856,7,4),MID(C856,4,2),MID(C856,1,2))+TIME(MID(C856,12,2),MID(C856,15,2),0)</f>
        <v/>
      </c>
      <c r="U856" s="33">
        <f>IF(ISNUMBER(VALUE(MID(A856,7,1))),"Distance-prefix pattern","Named-region pattern")</f>
        <v/>
      </c>
      <c r="V856" s="33">
        <f>LOWER(M856)</f>
        <v/>
      </c>
      <c r="W856" s="33">
        <f>IF(COUNTIFS($A$2:$A$1001,A856,$C$2:$C$1001,C856)&gt;1,"Duplicate","Unique")</f>
        <v/>
      </c>
      <c r="X856" s="33">
        <f>YEAR(T856)</f>
        <v/>
      </c>
      <c r="Y856" s="33">
        <f>IF(B856&lt;6.5,"&lt;6.5",IF(B856&lt;7,"6.5–6.9",IF(B856&lt;7.5,"7.0–7.4",IF(B856&lt;8,"7.5–7.9","8.0+"))))</f>
        <v/>
      </c>
      <c r="Z856" s="33">
        <f>IF(F856="","Blank",F856)</f>
        <v/>
      </c>
    </row>
    <row r="857" ht="15" customHeight="1" s="34">
      <c r="A857" s="33" t="inlineStr">
        <is>
          <t>M 7.0 - 26 km SSE of Karluk, Alaska</t>
        </is>
      </c>
      <c r="B857" s="33" t="n">
        <v>7</v>
      </c>
      <c r="C857" s="33" t="inlineStr">
        <is>
          <t>06/12/1999 23:12</t>
        </is>
      </c>
      <c r="D857" s="33" t="n">
        <v>0</v>
      </c>
      <c r="E857" s="33" t="n">
        <v>7</v>
      </c>
      <c r="G857" s="33" t="n">
        <v>0</v>
      </c>
      <c r="H857" s="33" t="n">
        <v>754</v>
      </c>
      <c r="I857" s="33" t="inlineStr">
        <is>
          <t>ak</t>
        </is>
      </c>
      <c r="J857" s="33" t="n">
        <v>0</v>
      </c>
      <c r="K857" s="33" t="n">
        <v>0</v>
      </c>
      <c r="L857" s="33" t="n">
        <v>0</v>
      </c>
      <c r="M857" s="33" t="inlineStr">
        <is>
          <t>mw</t>
        </is>
      </c>
      <c r="N857" s="33" t="n">
        <v>43.6</v>
      </c>
      <c r="O857" s="33" t="n">
        <v>57.3424</v>
      </c>
      <c r="P857" s="33" t="n">
        <v>-154.347</v>
      </c>
      <c r="Q857" s="33" t="inlineStr">
        <is>
          <t>Karluk, Alaska</t>
        </is>
      </c>
      <c r="R857" s="33" t="inlineStr">
        <is>
          <t>North America</t>
        </is>
      </c>
      <c r="S857" s="33" t="inlineStr">
        <is>
          <t>United States of America</t>
        </is>
      </c>
      <c r="T857" s="36">
        <f>DATE(MID(C857,7,4),MID(C857,4,2),MID(C857,1,2))+TIME(MID(C857,12,2),MID(C857,15,2),0)</f>
        <v/>
      </c>
      <c r="U857" s="33">
        <f>IF(ISNUMBER(VALUE(MID(A857,7,1))),"Distance-prefix pattern","Named-region pattern")</f>
        <v/>
      </c>
      <c r="V857" s="33">
        <f>LOWER(M857)</f>
        <v/>
      </c>
      <c r="W857" s="33">
        <f>IF(COUNTIFS($A$2:$A$1001,A857,$C$2:$C$1001,C857)&gt;1,"Duplicate","Unique")</f>
        <v/>
      </c>
      <c r="X857" s="33">
        <f>YEAR(T857)</f>
        <v/>
      </c>
      <c r="Y857" s="33">
        <f>IF(B857&lt;6.5,"&lt;6.5",IF(B857&lt;7,"6.5–6.9",IF(B857&lt;7.5,"7.0–7.4",IF(B857&lt;8,"7.5–7.9","8.0+"))))</f>
        <v/>
      </c>
      <c r="Z857" s="33">
        <f>IF(F857="","Blank",F857)</f>
        <v/>
      </c>
    </row>
    <row r="858" ht="15" customHeight="1" s="34">
      <c r="A858" s="33" t="inlineStr">
        <is>
          <t>M 6.6 - 127 km ESE of Arica, Chile</t>
        </is>
      </c>
      <c r="B858" s="33" t="n">
        <v>6.6</v>
      </c>
      <c r="C858" s="33" t="inlineStr">
        <is>
          <t>30/11/1999 04:01</t>
        </is>
      </c>
      <c r="D858" s="33" t="n">
        <v>0</v>
      </c>
      <c r="E858" s="33" t="n">
        <v>5</v>
      </c>
      <c r="G858" s="33" t="n">
        <v>0</v>
      </c>
      <c r="H858" s="33" t="n">
        <v>670</v>
      </c>
      <c r="I858" s="33" t="inlineStr">
        <is>
          <t>us</t>
        </is>
      </c>
      <c r="J858" s="33" t="n">
        <v>0</v>
      </c>
      <c r="K858" s="33" t="n">
        <v>0</v>
      </c>
      <c r="L858" s="33" t="n">
        <v>0</v>
      </c>
      <c r="M858" s="33" t="inlineStr">
        <is>
          <t>mwb</t>
        </is>
      </c>
      <c r="N858" s="33" t="n">
        <v>128.1</v>
      </c>
      <c r="O858" s="33" t="n">
        <v>-18.901</v>
      </c>
      <c r="P858" s="33" t="n">
        <v>-69.17100000000001</v>
      </c>
      <c r="Q858" s="33" t="inlineStr">
        <is>
          <t>Arica, Chile</t>
        </is>
      </c>
      <c r="R858" s="33" t="inlineStr">
        <is>
          <t>South America</t>
        </is>
      </c>
      <c r="S858" s="33" t="inlineStr">
        <is>
          <t>Chile</t>
        </is>
      </c>
      <c r="T858" s="36">
        <f>DATE(MID(C858,7,4),MID(C858,4,2),MID(C858,1,2))+TIME(MID(C858,12,2),MID(C858,15,2),0)</f>
        <v/>
      </c>
      <c r="U858" s="33">
        <f>IF(ISNUMBER(VALUE(MID(A858,7,1))),"Distance-prefix pattern","Named-region pattern")</f>
        <v/>
      </c>
      <c r="V858" s="33">
        <f>LOWER(M858)</f>
        <v/>
      </c>
      <c r="W858" s="33">
        <f>IF(COUNTIFS($A$2:$A$1001,A858,$C$2:$C$1001,C858)&gt;1,"Duplicate","Unique")</f>
        <v/>
      </c>
      <c r="X858" s="33">
        <f>YEAR(T858)</f>
        <v/>
      </c>
      <c r="Y858" s="33">
        <f>IF(B858&lt;6.5,"&lt;6.5",IF(B858&lt;7,"6.5–6.9",IF(B858&lt;7.5,"7.0–7.4",IF(B858&lt;8,"7.5–7.9","8.0+"))))</f>
        <v/>
      </c>
      <c r="Z858" s="33">
        <f>IF(F858="","Blank",F858)</f>
        <v/>
      </c>
    </row>
    <row r="859" ht="15" customHeight="1" s="34">
      <c r="A859" s="33" t="inlineStr">
        <is>
          <t>M 7.5 - 92 km ESE of Lakatoro, Vanuatu</t>
        </is>
      </c>
      <c r="B859" s="33" t="n">
        <v>7.5</v>
      </c>
      <c r="C859" s="33" t="inlineStr">
        <is>
          <t>26/11/1999 13:21</t>
        </is>
      </c>
      <c r="D859" s="33" t="n">
        <v>0</v>
      </c>
      <c r="E859" s="33" t="n">
        <v>7</v>
      </c>
      <c r="G859" s="33" t="n">
        <v>0</v>
      </c>
      <c r="H859" s="33" t="n">
        <v>865</v>
      </c>
      <c r="I859" s="33" t="inlineStr">
        <is>
          <t>us</t>
        </is>
      </c>
      <c r="J859" s="33" t="n">
        <v>0</v>
      </c>
      <c r="K859" s="33" t="n">
        <v>0</v>
      </c>
      <c r="L859" s="33" t="n">
        <v>0</v>
      </c>
      <c r="M859" s="33" t="inlineStr">
        <is>
          <t>mwc</t>
        </is>
      </c>
      <c r="N859" s="33" t="n">
        <v>33</v>
      </c>
      <c r="O859" s="33" t="n">
        <v>-16.423</v>
      </c>
      <c r="P859" s="33" t="n">
        <v>168.214</v>
      </c>
      <c r="Q859" s="33" t="inlineStr">
        <is>
          <t>Lakatoro, Vanuatu</t>
        </is>
      </c>
      <c r="S859" s="33" t="inlineStr">
        <is>
          <t>Vanuatu</t>
        </is>
      </c>
      <c r="T859" s="36">
        <f>DATE(MID(C859,7,4),MID(C859,4,2),MID(C859,1,2))+TIME(MID(C859,12,2),MID(C859,15,2),0)</f>
        <v/>
      </c>
      <c r="U859" s="33">
        <f>IF(ISNUMBER(VALUE(MID(A859,7,1))),"Distance-prefix pattern","Named-region pattern")</f>
        <v/>
      </c>
      <c r="V859" s="33">
        <f>LOWER(M859)</f>
        <v/>
      </c>
      <c r="W859" s="33">
        <f>IF(COUNTIFS($A$2:$A$1001,A859,$C$2:$C$1001,C859)&gt;1,"Duplicate","Unique")</f>
        <v/>
      </c>
      <c r="X859" s="33">
        <f>YEAR(T859)</f>
        <v/>
      </c>
      <c r="Y859" s="33">
        <f>IF(B859&lt;6.5,"&lt;6.5",IF(B859&lt;7,"6.5–6.9",IF(B859&lt;7.5,"7.0–7.4",IF(B859&lt;8,"7.5–7.9","8.0+"))))</f>
        <v/>
      </c>
      <c r="Z859" s="33">
        <f>IF(F859="","Blank",F859)</f>
        <v/>
      </c>
    </row>
    <row r="860" ht="15" customHeight="1" s="34">
      <c r="A860" s="33" t="inlineStr">
        <is>
          <t>M 7.0 - 88 km W of Kandrian, Papua New Guinea</t>
        </is>
      </c>
      <c r="B860" s="33" t="n">
        <v>7</v>
      </c>
      <c r="C860" s="33" t="inlineStr">
        <is>
          <t>19/11/1999 13:56</t>
        </is>
      </c>
      <c r="D860" s="33" t="n">
        <v>0</v>
      </c>
      <c r="E860" s="33" t="n">
        <v>6</v>
      </c>
      <c r="G860" s="33" t="n">
        <v>0</v>
      </c>
      <c r="H860" s="33" t="n">
        <v>754</v>
      </c>
      <c r="I860" s="33" t="inlineStr">
        <is>
          <t>us</t>
        </is>
      </c>
      <c r="J860" s="33" t="n">
        <v>0</v>
      </c>
      <c r="K860" s="33" t="n">
        <v>0</v>
      </c>
      <c r="L860" s="33" t="n">
        <v>0</v>
      </c>
      <c r="M860" s="33" t="inlineStr">
        <is>
          <t>mwc</t>
        </is>
      </c>
      <c r="N860" s="33" t="n">
        <v>33</v>
      </c>
      <c r="O860" s="33" t="n">
        <v>-6.351</v>
      </c>
      <c r="P860" s="33" t="n">
        <v>148.763</v>
      </c>
      <c r="Q860" s="33" t="inlineStr">
        <is>
          <t>Kandrian, Papua New Guinea</t>
        </is>
      </c>
      <c r="S860" s="33" t="inlineStr">
        <is>
          <t>Papua New Guinea</t>
        </is>
      </c>
      <c r="T860" s="36">
        <f>DATE(MID(C860,7,4),MID(C860,4,2),MID(C860,1,2))+TIME(MID(C860,12,2),MID(C860,15,2),0)</f>
        <v/>
      </c>
      <c r="U860" s="33">
        <f>IF(ISNUMBER(VALUE(MID(A860,7,1))),"Distance-prefix pattern","Named-region pattern")</f>
        <v/>
      </c>
      <c r="V860" s="33">
        <f>LOWER(M860)</f>
        <v/>
      </c>
      <c r="W860" s="33">
        <f>IF(COUNTIFS($A$2:$A$1001,A860,$C$2:$C$1001,C860)&gt;1,"Duplicate","Unique")</f>
        <v/>
      </c>
      <c r="X860" s="33">
        <f>YEAR(T860)</f>
        <v/>
      </c>
      <c r="Y860" s="33">
        <f>IF(B860&lt;6.5,"&lt;6.5",IF(B860&lt;7,"6.5–6.9",IF(B860&lt;7.5,"7.0–7.4",IF(B860&lt;8,"7.5–7.9","8.0+"))))</f>
        <v/>
      </c>
      <c r="Z860" s="33">
        <f>IF(F860="","Blank",F860)</f>
        <v/>
      </c>
    </row>
    <row r="861" ht="15" customHeight="1" s="34">
      <c r="A861" s="33" t="inlineStr">
        <is>
          <t>M 6.9 - 84 km WNW of Kandrian, Papua New Guinea</t>
        </is>
      </c>
      <c r="B861" s="33" t="n">
        <v>6.9</v>
      </c>
      <c r="C861" s="33" t="inlineStr">
        <is>
          <t>17/11/1999 03:27</t>
        </is>
      </c>
      <c r="D861" s="33" t="n">
        <v>0</v>
      </c>
      <c r="E861" s="33" t="n">
        <v>6</v>
      </c>
      <c r="G861" s="33" t="n">
        <v>0</v>
      </c>
      <c r="H861" s="33" t="n">
        <v>732</v>
      </c>
      <c r="I861" s="33" t="inlineStr">
        <is>
          <t>us</t>
        </is>
      </c>
      <c r="J861" s="33" t="n">
        <v>0</v>
      </c>
      <c r="K861" s="33" t="n">
        <v>0</v>
      </c>
      <c r="L861" s="33" t="n">
        <v>0</v>
      </c>
      <c r="M861" s="33" t="inlineStr">
        <is>
          <t>mwc</t>
        </is>
      </c>
      <c r="N861" s="33" t="n">
        <v>47.5</v>
      </c>
      <c r="O861" s="33" t="n">
        <v>-5.978</v>
      </c>
      <c r="P861" s="33" t="n">
        <v>148.82</v>
      </c>
      <c r="Q861" s="33" t="inlineStr">
        <is>
          <t>Kandrian, Papua New Guinea</t>
        </is>
      </c>
      <c r="S861" s="33" t="inlineStr">
        <is>
          <t>Papua New Guinea</t>
        </is>
      </c>
      <c r="T861" s="36">
        <f>DATE(MID(C861,7,4),MID(C861,4,2),MID(C861,1,2))+TIME(MID(C861,12,2),MID(C861,15,2),0)</f>
        <v/>
      </c>
      <c r="U861" s="33">
        <f>IF(ISNUMBER(VALUE(MID(A861,7,1))),"Distance-prefix pattern","Named-region pattern")</f>
        <v/>
      </c>
      <c r="V861" s="33">
        <f>LOWER(M861)</f>
        <v/>
      </c>
      <c r="W861" s="33">
        <f>IF(COUNTIFS($A$2:$A$1001,A861,$C$2:$C$1001,C861)&gt;1,"Duplicate","Unique")</f>
        <v/>
      </c>
      <c r="X861" s="33">
        <f>YEAR(T861)</f>
        <v/>
      </c>
      <c r="Y861" s="33">
        <f>IF(B861&lt;6.5,"&lt;6.5",IF(B861&lt;7,"6.5–6.9",IF(B861&lt;7.5,"7.0–7.4",IF(B861&lt;8,"7.5–7.9","8.0+"))))</f>
        <v/>
      </c>
      <c r="Z861" s="33">
        <f>IF(F861="","Blank",F861)</f>
        <v/>
      </c>
    </row>
    <row r="862" ht="15" customHeight="1" s="34">
      <c r="A862" s="33" t="inlineStr">
        <is>
          <t>M 7.2 - 8 km S of Düzce, Turkey</t>
        </is>
      </c>
      <c r="B862" s="33" t="n">
        <v>7.2</v>
      </c>
      <c r="C862" s="33" t="inlineStr">
        <is>
          <t>12/11/1999 16:57</t>
        </is>
      </c>
      <c r="D862" s="33" t="n">
        <v>0</v>
      </c>
      <c r="E862" s="33" t="n">
        <v>9</v>
      </c>
      <c r="G862" s="33" t="n">
        <v>0</v>
      </c>
      <c r="H862" s="33" t="n">
        <v>798</v>
      </c>
      <c r="I862" s="33" t="inlineStr">
        <is>
          <t>us</t>
        </is>
      </c>
      <c r="J862" s="33" t="n">
        <v>0</v>
      </c>
      <c r="K862" s="33" t="n">
        <v>0</v>
      </c>
      <c r="L862" s="33" t="n">
        <v>0</v>
      </c>
      <c r="M862" s="33" t="inlineStr">
        <is>
          <t>mwc</t>
        </is>
      </c>
      <c r="N862" s="33" t="n">
        <v>10</v>
      </c>
      <c r="O862" s="33" t="n">
        <v>40.758</v>
      </c>
      <c r="P862" s="33" t="n">
        <v>31.161</v>
      </c>
      <c r="Q862" s="33" t="inlineStr">
        <is>
          <t>Düzce, Turkey</t>
        </is>
      </c>
      <c r="R862" s="33" t="inlineStr">
        <is>
          <t>Asia</t>
        </is>
      </c>
      <c r="S862" s="33" t="inlineStr">
        <is>
          <t>Turkey</t>
        </is>
      </c>
      <c r="T862" s="36">
        <f>DATE(MID(C862,7,4),MID(C862,4,2),MID(C862,1,2))+TIME(MID(C862,12,2),MID(C862,15,2),0)</f>
        <v/>
      </c>
      <c r="U862" s="33">
        <f>IF(ISNUMBER(VALUE(MID(A862,7,1))),"Distance-prefix pattern","Named-region pattern")</f>
        <v/>
      </c>
      <c r="V862" s="33">
        <f>LOWER(M862)</f>
        <v/>
      </c>
      <c r="W862" s="33">
        <f>IF(COUNTIFS($A$2:$A$1001,A862,$C$2:$C$1001,C862)&gt;1,"Duplicate","Unique")</f>
        <v/>
      </c>
      <c r="X862" s="33">
        <f>YEAR(T862)</f>
        <v/>
      </c>
      <c r="Y862" s="33">
        <f>IF(B862&lt;6.5,"&lt;6.5",IF(B862&lt;7,"6.5–6.9",IF(B862&lt;7.5,"7.0–7.4",IF(B862&lt;8,"7.5–7.9","8.0+"))))</f>
        <v/>
      </c>
      <c r="Z862" s="33">
        <f>IF(F862="","Blank",F862)</f>
        <v/>
      </c>
    </row>
    <row r="863" ht="15" customHeight="1" s="34">
      <c r="A863" s="33" t="inlineStr">
        <is>
          <t>M 6.5 - 31 km SW of Ashk?sham, Afghanistan</t>
        </is>
      </c>
      <c r="B863" s="33" t="n">
        <v>6.5</v>
      </c>
      <c r="C863" s="33" t="inlineStr">
        <is>
          <t>08/11/1999 16:45</t>
        </is>
      </c>
      <c r="D863" s="33" t="n">
        <v>0</v>
      </c>
      <c r="E863" s="33" t="n">
        <v>4</v>
      </c>
      <c r="G863" s="33" t="n">
        <v>0</v>
      </c>
      <c r="H863" s="33" t="n">
        <v>650</v>
      </c>
      <c r="I863" s="33" t="inlineStr">
        <is>
          <t>us</t>
        </is>
      </c>
      <c r="J863" s="33" t="n">
        <v>0</v>
      </c>
      <c r="K863" s="33" t="n">
        <v>0</v>
      </c>
      <c r="L863" s="33" t="n">
        <v>0</v>
      </c>
      <c r="M863" s="33" t="inlineStr">
        <is>
          <t>mwc</t>
        </is>
      </c>
      <c r="N863" s="33" t="n">
        <v>228.4</v>
      </c>
      <c r="O863" s="33" t="n">
        <v>36.522</v>
      </c>
      <c r="P863" s="33" t="n">
        <v>71.23999999999999</v>
      </c>
      <c r="Q863" s="33" t="inlineStr">
        <is>
          <t>Ashk?sham, Afghanistan</t>
        </is>
      </c>
      <c r="R863" s="33" t="inlineStr">
        <is>
          <t>Asia</t>
        </is>
      </c>
      <c r="S863" s="33" t="inlineStr">
        <is>
          <t>Afghanistan</t>
        </is>
      </c>
      <c r="T863" s="36">
        <f>DATE(MID(C863,7,4),MID(C863,4,2),MID(C863,1,2))+TIME(MID(C863,12,2),MID(C863,15,2),0)</f>
        <v/>
      </c>
      <c r="U863" s="33">
        <f>IF(ISNUMBER(VALUE(MID(A863,7,1))),"Distance-prefix pattern","Named-region pattern")</f>
        <v/>
      </c>
      <c r="V863" s="33">
        <f>LOWER(M863)</f>
        <v/>
      </c>
      <c r="W863" s="33">
        <f>IF(COUNTIFS($A$2:$A$1001,A863,$C$2:$C$1001,C863)&gt;1,"Duplicate","Unique")</f>
        <v/>
      </c>
      <c r="X863" s="33">
        <f>YEAR(T863)</f>
        <v/>
      </c>
      <c r="Y863" s="33">
        <f>IF(B863&lt;6.5,"&lt;6.5",IF(B863&lt;7,"6.5–6.9",IF(B863&lt;7.5,"7.0–7.4",IF(B863&lt;8,"7.5–7.9","8.0+"))))</f>
        <v/>
      </c>
      <c r="Z863" s="33">
        <f>IF(F863="","Blank",F863)</f>
        <v/>
      </c>
    </row>
    <row r="864" ht="15" customHeight="1" s="34">
      <c r="A864" s="33" t="inlineStr">
        <is>
          <t>M 7.1 - Hector Mine, CA Earthquake</t>
        </is>
      </c>
      <c r="B864" s="33" t="n">
        <v>7.1</v>
      </c>
      <c r="C864" s="33" t="inlineStr">
        <is>
          <t>16/10/1999 09:46</t>
        </is>
      </c>
      <c r="D864" s="33" t="n">
        <v>8</v>
      </c>
      <c r="E864" s="33" t="n">
        <v>8</v>
      </c>
      <c r="G864" s="33" t="n">
        <v>0</v>
      </c>
      <c r="H864" s="33" t="n">
        <v>1576</v>
      </c>
      <c r="I864" s="33" t="inlineStr">
        <is>
          <t>ci</t>
        </is>
      </c>
      <c r="J864" s="33" t="n">
        <v>73</v>
      </c>
      <c r="K864" s="33" t="n">
        <v>0</v>
      </c>
      <c r="L864" s="33" t="n">
        <v>57</v>
      </c>
      <c r="M864" s="33" t="inlineStr">
        <is>
          <t>mw</t>
        </is>
      </c>
      <c r="N864" s="33" t="n">
        <v>13.73</v>
      </c>
      <c r="O864" s="33" t="n">
        <v>34.6033</v>
      </c>
      <c r="P864" s="33" t="n">
        <v>-116.265</v>
      </c>
      <c r="Q864" s="33" t="inlineStr">
        <is>
          <t>Hector Mine, CA Earthquake</t>
        </is>
      </c>
      <c r="R864" s="33" t="inlineStr">
        <is>
          <t>North America</t>
        </is>
      </c>
      <c r="S864" s="33" t="inlineStr">
        <is>
          <t>United States of America</t>
        </is>
      </c>
      <c r="T864" s="36">
        <f>DATE(MID(C864,7,4),MID(C864,4,2),MID(C864,1,2))+TIME(MID(C864,12,2),MID(C864,15,2),0)</f>
        <v/>
      </c>
      <c r="U864" s="33">
        <f>IF(ISNUMBER(VALUE(MID(A864,7,1))),"Distance-prefix pattern","Named-region pattern")</f>
        <v/>
      </c>
      <c r="V864" s="33">
        <f>LOWER(M864)</f>
        <v/>
      </c>
      <c r="W864" s="33">
        <f>IF(COUNTIFS($A$2:$A$1001,A864,$C$2:$C$1001,C864)&gt;1,"Duplicate","Unique")</f>
        <v/>
      </c>
      <c r="X864" s="33">
        <f>YEAR(T864)</f>
        <v/>
      </c>
      <c r="Y864" s="33">
        <f>IF(B864&lt;6.5,"&lt;6.5",IF(B864&lt;7,"6.5–6.9",IF(B864&lt;7.5,"7.0–7.4",IF(B864&lt;8,"7.5–7.9","8.0+"))))</f>
        <v/>
      </c>
      <c r="Z864" s="33">
        <f>IF(F864="","Blank",F864)</f>
        <v/>
      </c>
    </row>
    <row r="865" ht="15" customHeight="1" s="34">
      <c r="A865" s="33" t="inlineStr">
        <is>
          <t>M 7.5 - 15 km W of San Baltazar Loxicha, Mexico</t>
        </is>
      </c>
      <c r="B865" s="33" t="n">
        <v>7.5</v>
      </c>
      <c r="C865" s="33" t="inlineStr">
        <is>
          <t>30/09/1999 16:31</t>
        </is>
      </c>
      <c r="D865" s="33" t="n">
        <v>0</v>
      </c>
      <c r="E865" s="33" t="n">
        <v>8</v>
      </c>
      <c r="G865" s="33" t="n">
        <v>0</v>
      </c>
      <c r="H865" s="33" t="n">
        <v>865</v>
      </c>
      <c r="I865" s="33" t="inlineStr">
        <is>
          <t>us</t>
        </is>
      </c>
      <c r="J865" s="33" t="n">
        <v>0</v>
      </c>
      <c r="K865" s="33" t="n">
        <v>0</v>
      </c>
      <c r="L865" s="33" t="n">
        <v>0</v>
      </c>
      <c r="M865" s="33" t="inlineStr">
        <is>
          <t>mwc</t>
        </is>
      </c>
      <c r="N865" s="33" t="n">
        <v>60.6</v>
      </c>
      <c r="O865" s="33" t="n">
        <v>16.059</v>
      </c>
      <c r="P865" s="33" t="n">
        <v>-96.931</v>
      </c>
      <c r="Q865" s="33" t="inlineStr">
        <is>
          <t>San Baltazar Loxicha, Mexico</t>
        </is>
      </c>
      <c r="R865" s="33" t="inlineStr">
        <is>
          <t>North America</t>
        </is>
      </c>
      <c r="S865" s="33" t="inlineStr">
        <is>
          <t>Mexico</t>
        </is>
      </c>
      <c r="T865" s="36">
        <f>DATE(MID(C865,7,4),MID(C865,4,2),MID(C865,1,2))+TIME(MID(C865,12,2),MID(C865,15,2),0)</f>
        <v/>
      </c>
      <c r="U865" s="33">
        <f>IF(ISNUMBER(VALUE(MID(A865,7,1))),"Distance-prefix pattern","Named-region pattern")</f>
        <v/>
      </c>
      <c r="V865" s="33">
        <f>LOWER(M865)</f>
        <v/>
      </c>
      <c r="W865" s="33">
        <f>IF(COUNTIFS($A$2:$A$1001,A865,$C$2:$C$1001,C865)&gt;1,"Duplicate","Unique")</f>
        <v/>
      </c>
      <c r="X865" s="33">
        <f>YEAR(T865)</f>
        <v/>
      </c>
      <c r="Y865" s="33">
        <f>IF(B865&lt;6.5,"&lt;6.5",IF(B865&lt;7,"6.5–6.9",IF(B865&lt;7.5,"7.0–7.4",IF(B865&lt;8,"7.5–7.9","8.0+"))))</f>
        <v/>
      </c>
      <c r="Z865" s="33">
        <f>IF(F865="","Blank",F865)</f>
        <v/>
      </c>
    </row>
    <row r="866" ht="15" customHeight="1" s="34">
      <c r="A866" s="33" t="inlineStr">
        <is>
          <t>M 6.5 - 31 km SE of Puli, Taiwan</t>
        </is>
      </c>
      <c r="B866" s="33" t="n">
        <v>6.5</v>
      </c>
      <c r="C866" s="33" t="inlineStr">
        <is>
          <t>25/09/1999 23:52</t>
        </is>
      </c>
      <c r="D866" s="33" t="n">
        <v>0</v>
      </c>
      <c r="E866" s="33" t="n">
        <v>7</v>
      </c>
      <c r="G866" s="33" t="n">
        <v>0</v>
      </c>
      <c r="H866" s="33" t="n">
        <v>650</v>
      </c>
      <c r="I866" s="33" t="inlineStr">
        <is>
          <t>us</t>
        </is>
      </c>
      <c r="J866" s="33" t="n">
        <v>0</v>
      </c>
      <c r="K866" s="33" t="n">
        <v>0</v>
      </c>
      <c r="L866" s="33" t="n">
        <v>0</v>
      </c>
      <c r="M866" s="33" t="inlineStr">
        <is>
          <t>mwc</t>
        </is>
      </c>
      <c r="N866" s="33" t="n">
        <v>17</v>
      </c>
      <c r="O866" s="33" t="n">
        <v>23.738</v>
      </c>
      <c r="P866" s="33" t="n">
        <v>121.158</v>
      </c>
      <c r="Q866" s="33" t="inlineStr">
        <is>
          <t>Puli, Taiwan</t>
        </is>
      </c>
      <c r="R866" s="33" t="inlineStr">
        <is>
          <t>Asia</t>
        </is>
      </c>
      <c r="S866" s="33" t="inlineStr">
        <is>
          <t>Taiwan</t>
        </is>
      </c>
      <c r="T866" s="36">
        <f>DATE(MID(C866,7,4),MID(C866,4,2),MID(C866,1,2))+TIME(MID(C866,12,2),MID(C866,15,2),0)</f>
        <v/>
      </c>
      <c r="U866" s="33">
        <f>IF(ISNUMBER(VALUE(MID(A866,7,1))),"Distance-prefix pattern","Named-region pattern")</f>
        <v/>
      </c>
      <c r="V866" s="33">
        <f>LOWER(M866)</f>
        <v/>
      </c>
      <c r="W866" s="33">
        <f>IF(COUNTIFS($A$2:$A$1001,A866,$C$2:$C$1001,C866)&gt;1,"Duplicate","Unique")</f>
        <v/>
      </c>
      <c r="X866" s="33">
        <f>YEAR(T866)</f>
        <v/>
      </c>
      <c r="Y866" s="33">
        <f>IF(B866&lt;6.5,"&lt;6.5",IF(B866&lt;7,"6.5–6.9",IF(B866&lt;7.5,"7.0–7.4",IF(B866&lt;8,"7.5–7.9","8.0+"))))</f>
        <v/>
      </c>
      <c r="Z866" s="33">
        <f>IF(F866="","Blank",F866)</f>
        <v/>
      </c>
    </row>
    <row r="867" ht="15" customHeight="1" s="34">
      <c r="A867" s="33" t="inlineStr">
        <is>
          <t>M 7.7 - 21 km S of Puli, Taiwan</t>
        </is>
      </c>
      <c r="B867" s="33" t="n">
        <v>7.7</v>
      </c>
      <c r="C867" s="33" t="inlineStr">
        <is>
          <t>20/09/1999 17:47</t>
        </is>
      </c>
      <c r="D867" s="33" t="n">
        <v>0</v>
      </c>
      <c r="E867" s="33" t="n">
        <v>9</v>
      </c>
      <c r="G867" s="33" t="n">
        <v>0</v>
      </c>
      <c r="H867" s="33" t="n">
        <v>912</v>
      </c>
      <c r="I867" s="33" t="inlineStr">
        <is>
          <t>us</t>
        </is>
      </c>
      <c r="J867" s="33" t="n">
        <v>0</v>
      </c>
      <c r="K867" s="33" t="n">
        <v>0</v>
      </c>
      <c r="L867" s="33" t="n">
        <v>0</v>
      </c>
      <c r="M867" s="33" t="inlineStr">
        <is>
          <t>mwc</t>
        </is>
      </c>
      <c r="N867" s="33" t="n">
        <v>33</v>
      </c>
      <c r="O867" s="33" t="n">
        <v>23.772</v>
      </c>
      <c r="P867" s="33" t="n">
        <v>120.982</v>
      </c>
      <c r="Q867" s="33" t="inlineStr">
        <is>
          <t>Puli, Taiwan</t>
        </is>
      </c>
      <c r="R867" s="33" t="inlineStr">
        <is>
          <t>Asia</t>
        </is>
      </c>
      <c r="S867" s="33" t="inlineStr">
        <is>
          <t>Taiwan</t>
        </is>
      </c>
      <c r="T867" s="36">
        <f>DATE(MID(C867,7,4),MID(C867,4,2),MID(C867,1,2))+TIME(MID(C867,12,2),MID(C867,15,2),0)</f>
        <v/>
      </c>
      <c r="U867" s="33">
        <f>IF(ISNUMBER(VALUE(MID(A867,7,1))),"Distance-prefix pattern","Named-region pattern")</f>
        <v/>
      </c>
      <c r="V867" s="33">
        <f>LOWER(M867)</f>
        <v/>
      </c>
      <c r="W867" s="33">
        <f>IF(COUNTIFS($A$2:$A$1001,A867,$C$2:$C$1001,C867)&gt;1,"Duplicate","Unique")</f>
        <v/>
      </c>
      <c r="X867" s="33">
        <f>YEAR(T867)</f>
        <v/>
      </c>
      <c r="Y867" s="33">
        <f>IF(B867&lt;6.5,"&lt;6.5",IF(B867&lt;7,"6.5–6.9",IF(B867&lt;7.5,"7.0–7.4",IF(B867&lt;8,"7.5–7.9","8.0+"))))</f>
        <v/>
      </c>
      <c r="Z867" s="33">
        <f>IF(F867="","Blank",F867)</f>
        <v/>
      </c>
    </row>
    <row r="868" ht="15" customHeight="1" s="34">
      <c r="A868" s="33" t="inlineStr">
        <is>
          <t>M 6.6 - 66 km E of Lakatoro, Vanuatu</t>
        </is>
      </c>
      <c r="B868" s="33" t="n">
        <v>6.6</v>
      </c>
      <c r="C868" s="33" t="inlineStr">
        <is>
          <t>22/08/1999 12:40</t>
        </is>
      </c>
      <c r="D868" s="33" t="n">
        <v>0</v>
      </c>
      <c r="E868" s="33" t="n">
        <v>6</v>
      </c>
      <c r="G868" s="33" t="n">
        <v>0</v>
      </c>
      <c r="H868" s="33" t="n">
        <v>670</v>
      </c>
      <c r="I868" s="33" t="inlineStr">
        <is>
          <t>us</t>
        </is>
      </c>
      <c r="J868" s="33" t="n">
        <v>0</v>
      </c>
      <c r="K868" s="33" t="n">
        <v>0</v>
      </c>
      <c r="L868" s="33" t="n">
        <v>0</v>
      </c>
      <c r="M868" s="33" t="inlineStr">
        <is>
          <t>mwc</t>
        </is>
      </c>
      <c r="N868" s="33" t="n">
        <v>33</v>
      </c>
      <c r="O868" s="33" t="n">
        <v>-16.117</v>
      </c>
      <c r="P868" s="33" t="n">
        <v>168.039</v>
      </c>
      <c r="Q868" s="33" t="inlineStr">
        <is>
          <t>Lakatoro, Vanuatu</t>
        </is>
      </c>
      <c r="S868" s="33" t="inlineStr">
        <is>
          <t>Vanuatu</t>
        </is>
      </c>
      <c r="T868" s="36">
        <f>DATE(MID(C868,7,4),MID(C868,4,2),MID(C868,1,2))+TIME(MID(C868,12,2),MID(C868,15,2),0)</f>
        <v/>
      </c>
      <c r="U868" s="33">
        <f>IF(ISNUMBER(VALUE(MID(A868,7,1))),"Distance-prefix pattern","Named-region pattern")</f>
        <v/>
      </c>
      <c r="V868" s="33">
        <f>LOWER(M868)</f>
        <v/>
      </c>
      <c r="W868" s="33">
        <f>IF(COUNTIFS($A$2:$A$1001,A868,$C$2:$C$1001,C868)&gt;1,"Duplicate","Unique")</f>
        <v/>
      </c>
      <c r="X868" s="33">
        <f>YEAR(T868)</f>
        <v/>
      </c>
      <c r="Y868" s="33">
        <f>IF(B868&lt;6.5,"&lt;6.5",IF(B868&lt;7,"6.5–6.9",IF(B868&lt;7.5,"7.0–7.4",IF(B868&lt;8,"7.5–7.9","8.0+"))))</f>
        <v/>
      </c>
      <c r="Z868" s="33">
        <f>IF(F868="","Blank",F868)</f>
        <v/>
      </c>
    </row>
    <row r="869" ht="15" customHeight="1" s="34">
      <c r="A869" s="33" t="inlineStr">
        <is>
          <t>M 6.9 - 42 km S of Quepos, Costa Rica</t>
        </is>
      </c>
      <c r="B869" s="33" t="n">
        <v>6.9</v>
      </c>
      <c r="C869" s="33" t="inlineStr">
        <is>
          <t>20/08/1999 10:02</t>
        </is>
      </c>
      <c r="D869" s="33" t="n">
        <v>0</v>
      </c>
      <c r="E869" s="33" t="n">
        <v>6</v>
      </c>
      <c r="G869" s="33" t="n">
        <v>0</v>
      </c>
      <c r="H869" s="33" t="n">
        <v>732</v>
      </c>
      <c r="I869" s="33" t="inlineStr">
        <is>
          <t>us</t>
        </is>
      </c>
      <c r="J869" s="33" t="n">
        <v>0</v>
      </c>
      <c r="K869" s="33" t="n">
        <v>0</v>
      </c>
      <c r="L869" s="33" t="n">
        <v>0</v>
      </c>
      <c r="M869" s="33" t="inlineStr">
        <is>
          <t>mwc</t>
        </is>
      </c>
      <c r="N869" s="33" t="n">
        <v>20</v>
      </c>
      <c r="O869" s="33" t="n">
        <v>9.044</v>
      </c>
      <c r="P869" s="33" t="n">
        <v>-84.15900000000001</v>
      </c>
      <c r="Q869" s="33" t="inlineStr">
        <is>
          <t>Quepos, Costa Rica</t>
        </is>
      </c>
      <c r="T869" s="36">
        <f>DATE(MID(C869,7,4),MID(C869,4,2),MID(C869,1,2))+TIME(MID(C869,12,2),MID(C869,15,2),0)</f>
        <v/>
      </c>
      <c r="U869" s="33">
        <f>IF(ISNUMBER(VALUE(MID(A869,7,1))),"Distance-prefix pattern","Named-region pattern")</f>
        <v/>
      </c>
      <c r="V869" s="33">
        <f>LOWER(M869)</f>
        <v/>
      </c>
      <c r="W869" s="33">
        <f>IF(COUNTIFS($A$2:$A$1001,A869,$C$2:$C$1001,C869)&gt;1,"Duplicate","Unique")</f>
        <v/>
      </c>
      <c r="X869" s="33">
        <f>YEAR(T869)</f>
        <v/>
      </c>
      <c r="Y869" s="33">
        <f>IF(B869&lt;6.5,"&lt;6.5",IF(B869&lt;7,"6.5–6.9",IF(B869&lt;7.5,"7.0–7.4",IF(B869&lt;8,"7.5–7.9","8.0+"))))</f>
        <v/>
      </c>
      <c r="Z869" s="33">
        <f>IF(F869="","Blank",F869)</f>
        <v/>
      </c>
    </row>
    <row r="870" ht="15" customHeight="1" s="34">
      <c r="A870" s="33" t="inlineStr">
        <is>
          <t>M 7.6 - 4 km ESE of Derince, Turkey</t>
        </is>
      </c>
      <c r="B870" s="33" t="n">
        <v>7.6</v>
      </c>
      <c r="C870" s="33" t="inlineStr">
        <is>
          <t>17/08/1999 00:01</t>
        </is>
      </c>
      <c r="D870" s="33" t="n">
        <v>0</v>
      </c>
      <c r="E870" s="33" t="n">
        <v>9</v>
      </c>
      <c r="G870" s="33" t="n">
        <v>0</v>
      </c>
      <c r="H870" s="33" t="n">
        <v>889</v>
      </c>
      <c r="I870" s="33" t="inlineStr">
        <is>
          <t>us</t>
        </is>
      </c>
      <c r="J870" s="33" t="n">
        <v>0</v>
      </c>
      <c r="K870" s="33" t="n">
        <v>0</v>
      </c>
      <c r="L870" s="33" t="n">
        <v>0</v>
      </c>
      <c r="M870" s="33" t="inlineStr">
        <is>
          <t>mwc</t>
        </is>
      </c>
      <c r="N870" s="33" t="n">
        <v>17</v>
      </c>
      <c r="O870" s="33" t="n">
        <v>40.748</v>
      </c>
      <c r="P870" s="33" t="n">
        <v>29.864</v>
      </c>
      <c r="Q870" s="33" t="inlineStr">
        <is>
          <t>Derince, Turkey</t>
        </is>
      </c>
      <c r="R870" s="33" t="inlineStr">
        <is>
          <t>Asia</t>
        </is>
      </c>
      <c r="S870" s="33" t="inlineStr">
        <is>
          <t>Turkey</t>
        </is>
      </c>
      <c r="T870" s="36">
        <f>DATE(MID(C870,7,4),MID(C870,4,2),MID(C870,1,2))+TIME(MID(C870,12,2),MID(C870,15,2),0)</f>
        <v/>
      </c>
      <c r="U870" s="33">
        <f>IF(ISNUMBER(VALUE(MID(A870,7,1))),"Distance-prefix pattern","Named-region pattern")</f>
        <v/>
      </c>
      <c r="V870" s="33">
        <f>LOWER(M870)</f>
        <v/>
      </c>
      <c r="W870" s="33">
        <f>IF(COUNTIFS($A$2:$A$1001,A870,$C$2:$C$1001,C870)&gt;1,"Duplicate","Unique")</f>
        <v/>
      </c>
      <c r="X870" s="33">
        <f>YEAR(T870)</f>
        <v/>
      </c>
      <c r="Y870" s="33">
        <f>IF(B870&lt;6.5,"&lt;6.5",IF(B870&lt;7,"6.5–6.9",IF(B870&lt;7.5,"7.0–7.4",IF(B870&lt;8,"7.5–7.9","8.0+"))))</f>
        <v/>
      </c>
      <c r="Z870" s="33">
        <f>IF(F870="","Blank",F870)</f>
        <v/>
      </c>
    </row>
    <row r="871" ht="15" customHeight="1" s="34">
      <c r="A871" s="33" t="inlineStr">
        <is>
          <t>M 6.7 - 16 km N of Potrerillos, Honduras</t>
        </is>
      </c>
      <c r="B871" s="33" t="n">
        <v>6.7</v>
      </c>
      <c r="C871" s="33" t="inlineStr">
        <is>
          <t>11/07/1999 14:14</t>
        </is>
      </c>
      <c r="D871" s="33" t="n">
        <v>0</v>
      </c>
      <c r="E871" s="33" t="n">
        <v>8</v>
      </c>
      <c r="G871" s="33" t="n">
        <v>0</v>
      </c>
      <c r="H871" s="33" t="n">
        <v>691</v>
      </c>
      <c r="I871" s="33" t="inlineStr">
        <is>
          <t>us</t>
        </is>
      </c>
      <c r="J871" s="33" t="n">
        <v>0</v>
      </c>
      <c r="K871" s="33" t="n">
        <v>0</v>
      </c>
      <c r="L871" s="33" t="n">
        <v>0</v>
      </c>
      <c r="M871" s="33" t="inlineStr">
        <is>
          <t>mwc</t>
        </is>
      </c>
      <c r="N871" s="33" t="n">
        <v>10</v>
      </c>
      <c r="O871" s="33" t="n">
        <v>15.782</v>
      </c>
      <c r="P871" s="33" t="n">
        <v>-88.33</v>
      </c>
      <c r="Q871" s="33" t="inlineStr">
        <is>
          <t>Potrerillos, Honduras</t>
        </is>
      </c>
      <c r="S871" s="33" t="inlineStr">
        <is>
          <t>Guatemala</t>
        </is>
      </c>
      <c r="T871" s="36">
        <f>DATE(MID(C871,7,4),MID(C871,4,2),MID(C871,1,2))+TIME(MID(C871,12,2),MID(C871,15,2),0)</f>
        <v/>
      </c>
      <c r="U871" s="33">
        <f>IF(ISNUMBER(VALUE(MID(A871,7,1))),"Distance-prefix pattern","Named-region pattern")</f>
        <v/>
      </c>
      <c r="V871" s="33">
        <f>LOWER(M871)</f>
        <v/>
      </c>
      <c r="W871" s="33">
        <f>IF(COUNTIFS($A$2:$A$1001,A871,$C$2:$C$1001,C871)&gt;1,"Duplicate","Unique")</f>
        <v/>
      </c>
      <c r="X871" s="33">
        <f>YEAR(T871)</f>
        <v/>
      </c>
      <c r="Y871" s="33">
        <f>IF(B871&lt;6.5,"&lt;6.5",IF(B871&lt;7,"6.5–6.9",IF(B871&lt;7.5,"7.0–7.4",IF(B871&lt;8,"7.5–7.9","8.0+"))))</f>
        <v/>
      </c>
      <c r="Z871" s="33">
        <f>IF(F871="","Blank",F871)</f>
        <v/>
      </c>
    </row>
    <row r="872" ht="15" customHeight="1" s="34">
      <c r="A872" s="33" t="inlineStr">
        <is>
          <t>M 7.0 - 1 km SE of Texcala, Mexico</t>
        </is>
      </c>
      <c r="B872" s="33" t="n">
        <v>7</v>
      </c>
      <c r="C872" s="33" t="inlineStr">
        <is>
          <t>15/06/1999 20:42</t>
        </is>
      </c>
      <c r="D872" s="33" t="n">
        <v>0</v>
      </c>
      <c r="E872" s="33" t="n">
        <v>7</v>
      </c>
      <c r="G872" s="33" t="n">
        <v>0</v>
      </c>
      <c r="H872" s="33" t="n">
        <v>754</v>
      </c>
      <c r="I872" s="33" t="inlineStr">
        <is>
          <t>us</t>
        </is>
      </c>
      <c r="J872" s="33" t="n">
        <v>0</v>
      </c>
      <c r="K872" s="33" t="n">
        <v>0</v>
      </c>
      <c r="L872" s="33" t="n">
        <v>0</v>
      </c>
      <c r="M872" s="33" t="inlineStr">
        <is>
          <t>mwc</t>
        </is>
      </c>
      <c r="N872" s="33" t="n">
        <v>70</v>
      </c>
      <c r="O872" s="33" t="n">
        <v>18.386</v>
      </c>
      <c r="P872" s="33" t="n">
        <v>-97.43600000000001</v>
      </c>
      <c r="Q872" s="33" t="inlineStr">
        <is>
          <t>Texcala, Mexico</t>
        </is>
      </c>
      <c r="R872" s="33" t="inlineStr">
        <is>
          <t>North America</t>
        </is>
      </c>
      <c r="S872" s="33" t="inlineStr">
        <is>
          <t>Mexico</t>
        </is>
      </c>
      <c r="T872" s="36">
        <f>DATE(MID(C872,7,4),MID(C872,4,2),MID(C872,1,2))+TIME(MID(C872,12,2),MID(C872,15,2),0)</f>
        <v/>
      </c>
      <c r="U872" s="33">
        <f>IF(ISNUMBER(VALUE(MID(A872,7,1))),"Distance-prefix pattern","Named-region pattern")</f>
        <v/>
      </c>
      <c r="V872" s="33">
        <f>LOWER(M872)</f>
        <v/>
      </c>
      <c r="W872" s="33">
        <f>IF(COUNTIFS($A$2:$A$1001,A872,$C$2:$C$1001,C872)&gt;1,"Duplicate","Unique")</f>
        <v/>
      </c>
      <c r="X872" s="33">
        <f>YEAR(T872)</f>
        <v/>
      </c>
      <c r="Y872" s="33">
        <f>IF(B872&lt;6.5,"&lt;6.5",IF(B872&lt;7,"6.5–6.9",IF(B872&lt;7.5,"7.0–7.4",IF(B872&lt;8,"7.5–7.9","8.0+"))))</f>
        <v/>
      </c>
      <c r="Z872" s="33">
        <f>IF(F872="","Blank",F872)</f>
        <v/>
      </c>
    </row>
    <row r="873" ht="15" customHeight="1" s="34">
      <c r="A873" s="33" t="inlineStr">
        <is>
          <t>M 6.6 - 113 km SE of Kokopo, Papua New Guinea</t>
        </is>
      </c>
      <c r="B873" s="33" t="n">
        <v>6.6</v>
      </c>
      <c r="C873" s="33" t="inlineStr">
        <is>
          <t>17/05/1999 10:07</t>
        </is>
      </c>
      <c r="D873" s="33" t="n">
        <v>0</v>
      </c>
      <c r="E873" s="33" t="n">
        <v>5</v>
      </c>
      <c r="G873" s="33" t="n">
        <v>0</v>
      </c>
      <c r="H873" s="33" t="n">
        <v>670</v>
      </c>
      <c r="I873" s="33" t="inlineStr">
        <is>
          <t>us</t>
        </is>
      </c>
      <c r="J873" s="33" t="n">
        <v>0</v>
      </c>
      <c r="K873" s="33" t="n">
        <v>0</v>
      </c>
      <c r="L873" s="33" t="n">
        <v>0</v>
      </c>
      <c r="M873" s="33" t="inlineStr">
        <is>
          <t>mwc</t>
        </is>
      </c>
      <c r="N873" s="33" t="n">
        <v>27</v>
      </c>
      <c r="O873" s="33" t="n">
        <v>-5.165</v>
      </c>
      <c r="P873" s="33" t="n">
        <v>152.877</v>
      </c>
      <c r="Q873" s="33" t="inlineStr">
        <is>
          <t>Kokopo, Papua New Guinea</t>
        </is>
      </c>
      <c r="S873" s="33" t="inlineStr">
        <is>
          <t>Papua New Guinea</t>
        </is>
      </c>
      <c r="T873" s="36">
        <f>DATE(MID(C873,7,4),MID(C873,4,2),MID(C873,1,2))+TIME(MID(C873,12,2),MID(C873,15,2),0)</f>
        <v/>
      </c>
      <c r="U873" s="33">
        <f>IF(ISNUMBER(VALUE(MID(A873,7,1))),"Distance-prefix pattern","Named-region pattern")</f>
        <v/>
      </c>
      <c r="V873" s="33">
        <f>LOWER(M873)</f>
        <v/>
      </c>
      <c r="W873" s="33">
        <f>IF(COUNTIFS($A$2:$A$1001,A873,$C$2:$C$1001,C873)&gt;1,"Duplicate","Unique")</f>
        <v/>
      </c>
      <c r="X873" s="33">
        <f>YEAR(T873)</f>
        <v/>
      </c>
      <c r="Y873" s="33">
        <f>IF(B873&lt;6.5,"&lt;6.5",IF(B873&lt;7,"6.5–6.9",IF(B873&lt;7.5,"7.0–7.4",IF(B873&lt;8,"7.5–7.9","8.0+"))))</f>
        <v/>
      </c>
      <c r="Z873" s="33">
        <f>IF(F873="","Blank",F873)</f>
        <v/>
      </c>
    </row>
    <row r="874" ht="15" customHeight="1" s="34">
      <c r="A874" s="33" t="inlineStr">
        <is>
          <t>M 7.1 - 51 km SSE of Kokopo, Papua New Guinea</t>
        </is>
      </c>
      <c r="B874" s="33" t="n">
        <v>7.1</v>
      </c>
      <c r="C874" s="33" t="inlineStr">
        <is>
          <t>16/05/1999 00:51</t>
        </is>
      </c>
      <c r="D874" s="33" t="n">
        <v>0</v>
      </c>
      <c r="E874" s="33" t="n">
        <v>7</v>
      </c>
      <c r="G874" s="33" t="n">
        <v>0</v>
      </c>
      <c r="H874" s="33" t="n">
        <v>776</v>
      </c>
      <c r="I874" s="33" t="inlineStr">
        <is>
          <t>us</t>
        </is>
      </c>
      <c r="J874" s="33" t="n">
        <v>0</v>
      </c>
      <c r="K874" s="33" t="n">
        <v>0</v>
      </c>
      <c r="L874" s="33" t="n">
        <v>0</v>
      </c>
      <c r="M874" s="33" t="inlineStr">
        <is>
          <t>mwc</t>
        </is>
      </c>
      <c r="N874" s="33" t="n">
        <v>73.7</v>
      </c>
      <c r="O874" s="33" t="n">
        <v>-4.751</v>
      </c>
      <c r="P874" s="33" t="n">
        <v>152.486</v>
      </c>
      <c r="Q874" s="33" t="inlineStr">
        <is>
          <t>Kokopo, Papua New Guinea</t>
        </is>
      </c>
      <c r="S874" s="33" t="inlineStr">
        <is>
          <t>Papua New Guinea</t>
        </is>
      </c>
      <c r="T874" s="36">
        <f>DATE(MID(C874,7,4),MID(C874,4,2),MID(C874,1,2))+TIME(MID(C874,12,2),MID(C874,15,2),0)</f>
        <v/>
      </c>
      <c r="U874" s="33">
        <f>IF(ISNUMBER(VALUE(MID(A874,7,1))),"Distance-prefix pattern","Named-region pattern")</f>
        <v/>
      </c>
      <c r="V874" s="33">
        <f>LOWER(M874)</f>
        <v/>
      </c>
      <c r="W874" s="33">
        <f>IF(COUNTIFS($A$2:$A$1001,A874,$C$2:$C$1001,C874)&gt;1,"Duplicate","Unique")</f>
        <v/>
      </c>
      <c r="X874" s="33">
        <f>YEAR(T874)</f>
        <v/>
      </c>
      <c r="Y874" s="33">
        <f>IF(B874&lt;6.5,"&lt;6.5",IF(B874&lt;7,"6.5–6.9",IF(B874&lt;7.5,"7.0–7.4",IF(B874&lt;8,"7.5–7.9","8.0+"))))</f>
        <v/>
      </c>
      <c r="Z874" s="33">
        <f>IF(F874="","Blank",F874)</f>
        <v/>
      </c>
    </row>
    <row r="875" ht="15" customHeight="1" s="34">
      <c r="A875" s="33" t="inlineStr">
        <is>
          <t>M 7.1 - 92 km ENE of Kimbe, Papua New Guinea</t>
        </is>
      </c>
      <c r="B875" s="33" t="n">
        <v>7.1</v>
      </c>
      <c r="C875" s="33" t="inlineStr">
        <is>
          <t>10/05/1999 20:33</t>
        </is>
      </c>
      <c r="D875" s="33" t="n">
        <v>0</v>
      </c>
      <c r="E875" s="33" t="n">
        <v>7</v>
      </c>
      <c r="G875" s="33" t="n">
        <v>0</v>
      </c>
      <c r="H875" s="33" t="n">
        <v>776</v>
      </c>
      <c r="I875" s="33" t="inlineStr">
        <is>
          <t>us</t>
        </is>
      </c>
      <c r="J875" s="33" t="n">
        <v>0</v>
      </c>
      <c r="K875" s="33" t="n">
        <v>0</v>
      </c>
      <c r="L875" s="33" t="n">
        <v>0</v>
      </c>
      <c r="M875" s="33" t="inlineStr">
        <is>
          <t>mwb</t>
        </is>
      </c>
      <c r="N875" s="33" t="n">
        <v>138</v>
      </c>
      <c r="O875" s="33" t="n">
        <v>-5.159</v>
      </c>
      <c r="P875" s="33" t="n">
        <v>150.88</v>
      </c>
      <c r="Q875" s="33" t="inlineStr">
        <is>
          <t>Kimbe, Papua New Guinea</t>
        </is>
      </c>
      <c r="S875" s="33" t="inlineStr">
        <is>
          <t>Papua New Guinea</t>
        </is>
      </c>
      <c r="T875" s="36">
        <f>DATE(MID(C875,7,4),MID(C875,4,2),MID(C875,1,2))+TIME(MID(C875,12,2),MID(C875,15,2),0)</f>
        <v/>
      </c>
      <c r="U875" s="33">
        <f>IF(ISNUMBER(VALUE(MID(A875,7,1))),"Distance-prefix pattern","Named-region pattern")</f>
        <v/>
      </c>
      <c r="V875" s="33">
        <f>LOWER(M875)</f>
        <v/>
      </c>
      <c r="W875" s="33">
        <f>IF(COUNTIFS($A$2:$A$1001,A875,$C$2:$C$1001,C875)&gt;1,"Duplicate","Unique")</f>
        <v/>
      </c>
      <c r="X875" s="33">
        <f>YEAR(T875)</f>
        <v/>
      </c>
      <c r="Y875" s="33">
        <f>IF(B875&lt;6.5,"&lt;6.5",IF(B875&lt;7,"6.5–6.9",IF(B875&lt;7.5,"7.0–7.4",IF(B875&lt;8,"7.5–7.9","8.0+"))))</f>
        <v/>
      </c>
      <c r="Z875" s="33">
        <f>IF(F875="","Blank",F875)</f>
        <v/>
      </c>
    </row>
    <row r="876" ht="15" customHeight="1" s="34">
      <c r="A876" s="33" t="inlineStr">
        <is>
          <t>M 6.8 - 132 km WSW of Haveluloto, Tonga</t>
        </is>
      </c>
      <c r="B876" s="33" t="n">
        <v>6.8</v>
      </c>
      <c r="C876" s="33" t="inlineStr">
        <is>
          <t>13/04/1999 10:38</t>
        </is>
      </c>
      <c r="D876" s="33" t="n">
        <v>0</v>
      </c>
      <c r="E876" s="33" t="n">
        <v>5</v>
      </c>
      <c r="G876" s="33" t="n">
        <v>0</v>
      </c>
      <c r="H876" s="33" t="n">
        <v>711</v>
      </c>
      <c r="I876" s="33" t="inlineStr">
        <is>
          <t>us</t>
        </is>
      </c>
      <c r="J876" s="33" t="n">
        <v>0</v>
      </c>
      <c r="K876" s="33" t="n">
        <v>0</v>
      </c>
      <c r="L876" s="33" t="n">
        <v>0</v>
      </c>
      <c r="M876" s="33" t="inlineStr">
        <is>
          <t>mwc</t>
        </is>
      </c>
      <c r="N876" s="33" t="n">
        <v>164.2</v>
      </c>
      <c r="O876" s="33" t="n">
        <v>-21.422</v>
      </c>
      <c r="P876" s="33" t="n">
        <v>-176.46</v>
      </c>
      <c r="Q876" s="33" t="inlineStr">
        <is>
          <t>Haveluloto, Tonga</t>
        </is>
      </c>
      <c r="T876" s="36">
        <f>DATE(MID(C876,7,4),MID(C876,4,2),MID(C876,1,2))+TIME(MID(C876,12,2),MID(C876,15,2),0)</f>
        <v/>
      </c>
      <c r="U876" s="33">
        <f>IF(ISNUMBER(VALUE(MID(A876,7,1))),"Distance-prefix pattern","Named-region pattern")</f>
        <v/>
      </c>
      <c r="V876" s="33">
        <f>LOWER(M876)</f>
        <v/>
      </c>
      <c r="W876" s="33">
        <f>IF(COUNTIFS($A$2:$A$1001,A876,$C$2:$C$1001,C876)&gt;1,"Duplicate","Unique")</f>
        <v/>
      </c>
      <c r="X876" s="33">
        <f>YEAR(T876)</f>
        <v/>
      </c>
      <c r="Y876" s="33">
        <f>IF(B876&lt;6.5,"&lt;6.5",IF(B876&lt;7,"6.5–6.9",IF(B876&lt;7.5,"7.0–7.4",IF(B876&lt;8,"7.5–7.9","8.0+"))))</f>
        <v/>
      </c>
      <c r="Z876" s="33">
        <f>IF(F876="","Blank",F876)</f>
        <v/>
      </c>
    </row>
    <row r="877" ht="15" customHeight="1" s="34">
      <c r="A877" s="33" t="inlineStr">
        <is>
          <t>M 7.4 - 63 km W of Kimbe, Papua New Guinea</t>
        </is>
      </c>
      <c r="B877" s="33" t="n">
        <v>7.4</v>
      </c>
      <c r="C877" s="33" t="inlineStr">
        <is>
          <t>05/04/1999 11:08</t>
        </is>
      </c>
      <c r="D877" s="33" t="n">
        <v>0</v>
      </c>
      <c r="E877" s="33" t="n">
        <v>7</v>
      </c>
      <c r="G877" s="33" t="n">
        <v>0</v>
      </c>
      <c r="H877" s="33" t="n">
        <v>842</v>
      </c>
      <c r="I877" s="33" t="inlineStr">
        <is>
          <t>us</t>
        </is>
      </c>
      <c r="J877" s="33" t="n">
        <v>0</v>
      </c>
      <c r="K877" s="33" t="n">
        <v>0</v>
      </c>
      <c r="L877" s="33" t="n">
        <v>0</v>
      </c>
      <c r="M877" s="33" t="inlineStr">
        <is>
          <t>mwc</t>
        </is>
      </c>
      <c r="N877" s="33" t="n">
        <v>150</v>
      </c>
      <c r="O877" s="33" t="n">
        <v>-5.591</v>
      </c>
      <c r="P877" s="33" t="n">
        <v>149.568</v>
      </c>
      <c r="Q877" s="33" t="inlineStr">
        <is>
          <t>Kimbe, Papua New Guinea</t>
        </is>
      </c>
      <c r="S877" s="33" t="inlineStr">
        <is>
          <t>Papua New Guinea</t>
        </is>
      </c>
      <c r="T877" s="36">
        <f>DATE(MID(C877,7,4),MID(C877,4,2),MID(C877,1,2))+TIME(MID(C877,12,2),MID(C877,15,2),0)</f>
        <v/>
      </c>
      <c r="U877" s="33">
        <f>IF(ISNUMBER(VALUE(MID(A877,7,1))),"Distance-prefix pattern","Named-region pattern")</f>
        <v/>
      </c>
      <c r="V877" s="33">
        <f>LOWER(M877)</f>
        <v/>
      </c>
      <c r="W877" s="33">
        <f>IF(COUNTIFS($A$2:$A$1001,A877,$C$2:$C$1001,C877)&gt;1,"Duplicate","Unique")</f>
        <v/>
      </c>
      <c r="X877" s="33">
        <f>YEAR(T877)</f>
        <v/>
      </c>
      <c r="Y877" s="33">
        <f>IF(B877&lt;6.5,"&lt;6.5",IF(B877&lt;7,"6.5–6.9",IF(B877&lt;7.5,"7.0–7.4",IF(B877&lt;8,"7.5–7.9","8.0+"))))</f>
        <v/>
      </c>
      <c r="Z877" s="33">
        <f>IF(F877="","Blank",F877)</f>
        <v/>
      </c>
    </row>
    <row r="878" ht="15" customHeight="1" s="34">
      <c r="A878" s="33" t="inlineStr">
        <is>
          <t>M 6.8 - 6 km SE of Camaná, Peru</t>
        </is>
      </c>
      <c r="B878" s="33" t="n">
        <v>6.8</v>
      </c>
      <c r="C878" s="33" t="inlineStr">
        <is>
          <t>03/04/1999 06:17</t>
        </is>
      </c>
      <c r="D878" s="33" t="n">
        <v>0</v>
      </c>
      <c r="E878" s="33" t="n">
        <v>7</v>
      </c>
      <c r="G878" s="33" t="n">
        <v>0</v>
      </c>
      <c r="H878" s="33" t="n">
        <v>711</v>
      </c>
      <c r="I878" s="33" t="inlineStr">
        <is>
          <t>us</t>
        </is>
      </c>
      <c r="J878" s="33" t="n">
        <v>0</v>
      </c>
      <c r="K878" s="33" t="n">
        <v>0</v>
      </c>
      <c r="L878" s="33" t="n">
        <v>0</v>
      </c>
      <c r="M878" s="33" t="inlineStr">
        <is>
          <t>mwc</t>
        </is>
      </c>
      <c r="N878" s="33" t="n">
        <v>87.2</v>
      </c>
      <c r="O878" s="33" t="n">
        <v>-16.66</v>
      </c>
      <c r="P878" s="33" t="n">
        <v>-72.66200000000001</v>
      </c>
      <c r="Q878" s="33" t="inlineStr">
        <is>
          <t>Camaná, Peru</t>
        </is>
      </c>
      <c r="R878" s="33" t="inlineStr">
        <is>
          <t>South America</t>
        </is>
      </c>
      <c r="S878" s="33" t="inlineStr">
        <is>
          <t>Peru</t>
        </is>
      </c>
      <c r="T878" s="36">
        <f>DATE(MID(C878,7,4),MID(C878,4,2),MID(C878,1,2))+TIME(MID(C878,12,2),MID(C878,15,2),0)</f>
        <v/>
      </c>
      <c r="U878" s="33">
        <f>IF(ISNUMBER(VALUE(MID(A878,7,1))),"Distance-prefix pattern","Named-region pattern")</f>
        <v/>
      </c>
      <c r="V878" s="33">
        <f>LOWER(M878)</f>
        <v/>
      </c>
      <c r="W878" s="33">
        <f>IF(COUNTIFS($A$2:$A$1001,A878,$C$2:$C$1001,C878)&gt;1,"Duplicate","Unique")</f>
        <v/>
      </c>
      <c r="X878" s="33">
        <f>YEAR(T878)</f>
        <v/>
      </c>
      <c r="Y878" s="33">
        <f>IF(B878&lt;6.5,"&lt;6.5",IF(B878&lt;7,"6.5–6.9",IF(B878&lt;7.5,"7.0–7.4",IF(B878&lt;8,"7.5–7.9","8.0+"))))</f>
        <v/>
      </c>
      <c r="Z878" s="33">
        <f>IF(F878="","Blank",F878)</f>
        <v/>
      </c>
    </row>
    <row r="879" ht="15" customHeight="1" s="34">
      <c r="A879" s="33" t="inlineStr">
        <is>
          <t>M 6.6 - 9 km NNW of P?palkoti, India</t>
        </is>
      </c>
      <c r="B879" s="33" t="n">
        <v>6.6</v>
      </c>
      <c r="C879" s="33" t="inlineStr">
        <is>
          <t>28/03/1999 19:05</t>
        </is>
      </c>
      <c r="D879" s="33" t="n">
        <v>0</v>
      </c>
      <c r="E879" s="33" t="n">
        <v>7</v>
      </c>
      <c r="G879" s="33" t="n">
        <v>0</v>
      </c>
      <c r="H879" s="33" t="n">
        <v>670</v>
      </c>
      <c r="I879" s="33" t="inlineStr">
        <is>
          <t>us</t>
        </is>
      </c>
      <c r="J879" s="33" t="n">
        <v>0</v>
      </c>
      <c r="K879" s="33" t="n">
        <v>0</v>
      </c>
      <c r="L879" s="33" t="n">
        <v>0</v>
      </c>
      <c r="M879" s="33" t="inlineStr">
        <is>
          <t>mwb</t>
        </is>
      </c>
      <c r="N879" s="33" t="n">
        <v>15</v>
      </c>
      <c r="O879" s="33" t="n">
        <v>30.512</v>
      </c>
      <c r="P879" s="33" t="n">
        <v>79.40300000000001</v>
      </c>
      <c r="Q879" s="33" t="inlineStr">
        <is>
          <t>P?palkoti, India</t>
        </is>
      </c>
      <c r="R879" s="33" t="inlineStr">
        <is>
          <t>Asia</t>
        </is>
      </c>
      <c r="S879" s="33" t="inlineStr">
        <is>
          <t>India</t>
        </is>
      </c>
      <c r="T879" s="36">
        <f>DATE(MID(C879,7,4),MID(C879,4,2),MID(C879,1,2))+TIME(MID(C879,12,2),MID(C879,15,2),0)</f>
        <v/>
      </c>
      <c r="U879" s="33">
        <f>IF(ISNUMBER(VALUE(MID(A879,7,1))),"Distance-prefix pattern","Named-region pattern")</f>
        <v/>
      </c>
      <c r="V879" s="33">
        <f>LOWER(M879)</f>
        <v/>
      </c>
      <c r="W879" s="33">
        <f>IF(COUNTIFS($A$2:$A$1001,A879,$C$2:$C$1001,C879)&gt;1,"Duplicate","Unique")</f>
        <v/>
      </c>
      <c r="X879" s="33">
        <f>YEAR(T879)</f>
        <v/>
      </c>
      <c r="Y879" s="33">
        <f>IF(B879&lt;6.5,"&lt;6.5",IF(B879&lt;7,"6.5–6.9",IF(B879&lt;7.5,"7.0–7.4",IF(B879&lt;8,"7.5–7.9","8.0+"))))</f>
        <v/>
      </c>
      <c r="Z879" s="33">
        <f>IF(F879="","Blank",F879)</f>
        <v/>
      </c>
    </row>
    <row r="880" ht="15" customHeight="1" s="34">
      <c r="A880" s="33" t="inlineStr">
        <is>
          <t>M 6.9 - 78 km WSW of Adak, Alaska</t>
        </is>
      </c>
      <c r="B880" s="33" t="n">
        <v>6.9</v>
      </c>
      <c r="C880" s="33" t="inlineStr">
        <is>
          <t>20/03/1999 10:47</t>
        </is>
      </c>
      <c r="D880" s="33" t="n">
        <v>0</v>
      </c>
      <c r="E880" s="33" t="n">
        <v>6</v>
      </c>
      <c r="G880" s="33" t="n">
        <v>0</v>
      </c>
      <c r="H880" s="33" t="n">
        <v>732</v>
      </c>
      <c r="I880" s="33" t="inlineStr">
        <is>
          <t>us</t>
        </is>
      </c>
      <c r="J880" s="33" t="n">
        <v>0</v>
      </c>
      <c r="K880" s="33" t="n">
        <v>0</v>
      </c>
      <c r="L880" s="33" t="n">
        <v>0</v>
      </c>
      <c r="M880" s="33" t="inlineStr">
        <is>
          <t>mwc</t>
        </is>
      </c>
      <c r="N880" s="33" t="n">
        <v>33</v>
      </c>
      <c r="O880" s="33" t="n">
        <v>51.587</v>
      </c>
      <c r="P880" s="33" t="n">
        <v>-177.668</v>
      </c>
      <c r="Q880" s="33" t="inlineStr">
        <is>
          <t>Adak, Alaska</t>
        </is>
      </c>
      <c r="R880" s="33" t="inlineStr">
        <is>
          <t>North America</t>
        </is>
      </c>
      <c r="S880" s="33" t="inlineStr">
        <is>
          <t>United States of America</t>
        </is>
      </c>
      <c r="T880" s="36">
        <f>DATE(MID(C880,7,4),MID(C880,4,2),MID(C880,1,2))+TIME(MID(C880,12,2),MID(C880,15,2),0)</f>
        <v/>
      </c>
      <c r="U880" s="33">
        <f>IF(ISNUMBER(VALUE(MID(A880,7,1))),"Distance-prefix pattern","Named-region pattern")</f>
        <v/>
      </c>
      <c r="V880" s="33">
        <f>LOWER(M880)</f>
        <v/>
      </c>
      <c r="W880" s="33">
        <f>IF(COUNTIFS($A$2:$A$1001,A880,$C$2:$C$1001,C880)&gt;1,"Duplicate","Unique")</f>
        <v/>
      </c>
      <c r="X880" s="33">
        <f>YEAR(T880)</f>
        <v/>
      </c>
      <c r="Y880" s="33">
        <f>IF(B880&lt;6.5,"&lt;6.5",IF(B880&lt;7,"6.5–6.9",IF(B880&lt;7.5,"7.0–7.4",IF(B880&lt;8,"7.5–7.9","8.0+"))))</f>
        <v/>
      </c>
      <c r="Z880" s="33">
        <f>IF(F880="","Blank",F880)</f>
        <v/>
      </c>
    </row>
    <row r="881" ht="15" customHeight="1" s="34">
      <c r="A881" s="33" t="inlineStr">
        <is>
          <t>M 6.9 - 123 km SE of Vilyuchinsk, Russia</t>
        </is>
      </c>
      <c r="B881" s="33" t="n">
        <v>6.9</v>
      </c>
      <c r="C881" s="33" t="inlineStr">
        <is>
          <t>08/03/1999 12:25</t>
        </is>
      </c>
      <c r="D881" s="33" t="n">
        <v>0</v>
      </c>
      <c r="E881" s="33" t="n">
        <v>5</v>
      </c>
      <c r="G881" s="33" t="n">
        <v>0</v>
      </c>
      <c r="H881" s="33" t="n">
        <v>732</v>
      </c>
      <c r="I881" s="33" t="inlineStr">
        <is>
          <t>us</t>
        </is>
      </c>
      <c r="J881" s="33" t="n">
        <v>0</v>
      </c>
      <c r="K881" s="33" t="n">
        <v>0</v>
      </c>
      <c r="L881" s="33" t="n">
        <v>0</v>
      </c>
      <c r="M881" s="33" t="inlineStr">
        <is>
          <t>mwc</t>
        </is>
      </c>
      <c r="N881" s="33" t="n">
        <v>56.6</v>
      </c>
      <c r="O881" s="33" t="n">
        <v>52.056</v>
      </c>
      <c r="P881" s="33" t="n">
        <v>159.52</v>
      </c>
      <c r="Q881" s="33" t="inlineStr">
        <is>
          <t>Vilyuchinsk, Russia</t>
        </is>
      </c>
      <c r="T881" s="36">
        <f>DATE(MID(C881,7,4),MID(C881,4,2),MID(C881,1,2))+TIME(MID(C881,12,2),MID(C881,15,2),0)</f>
        <v/>
      </c>
      <c r="U881" s="33">
        <f>IF(ISNUMBER(VALUE(MID(A881,7,1))),"Distance-prefix pattern","Named-region pattern")</f>
        <v/>
      </c>
      <c r="V881" s="33">
        <f>LOWER(M881)</f>
        <v/>
      </c>
      <c r="W881" s="33">
        <f>IF(COUNTIFS($A$2:$A$1001,A881,$C$2:$C$1001,C881)&gt;1,"Duplicate","Unique")</f>
        <v/>
      </c>
      <c r="X881" s="33">
        <f>YEAR(T881)</f>
        <v/>
      </c>
      <c r="Y881" s="33">
        <f>IF(B881&lt;6.5,"&lt;6.5",IF(B881&lt;7,"6.5–6.9",IF(B881&lt;7.5,"7.0–7.4",IF(B881&lt;8,"7.5–7.9","8.0+"))))</f>
        <v/>
      </c>
      <c r="Z881" s="33">
        <f>IF(F881="","Blank",F881)</f>
        <v/>
      </c>
    </row>
    <row r="882" ht="15" customHeight="1" s="34">
      <c r="A882" s="33" t="inlineStr">
        <is>
          <t>M 7.1 - 69 km S of Tabiauan, Philippines</t>
        </is>
      </c>
      <c r="B882" s="33" t="n">
        <v>7.1</v>
      </c>
      <c r="C882" s="33" t="inlineStr">
        <is>
          <t>04/03/1999 08:52</t>
        </is>
      </c>
      <c r="D882" s="33" t="n">
        <v>0</v>
      </c>
      <c r="E882" s="33" t="n">
        <v>6</v>
      </c>
      <c r="G882" s="33" t="n">
        <v>0</v>
      </c>
      <c r="H882" s="33" t="n">
        <v>776</v>
      </c>
      <c r="I882" s="33" t="inlineStr">
        <is>
          <t>us</t>
        </is>
      </c>
      <c r="J882" s="33" t="n">
        <v>0</v>
      </c>
      <c r="K882" s="33" t="n">
        <v>0</v>
      </c>
      <c r="L882" s="33" t="n">
        <v>0</v>
      </c>
      <c r="M882" s="33" t="inlineStr">
        <is>
          <t>mwc</t>
        </is>
      </c>
      <c r="N882" s="33" t="n">
        <v>33</v>
      </c>
      <c r="O882" s="33" t="n">
        <v>5.397</v>
      </c>
      <c r="P882" s="33" t="n">
        <v>121.937</v>
      </c>
      <c r="Q882" s="33" t="inlineStr">
        <is>
          <t>Tabiauan, Philippines</t>
        </is>
      </c>
      <c r="T882" s="36">
        <f>DATE(MID(C882,7,4),MID(C882,4,2),MID(C882,1,2))+TIME(MID(C882,12,2),MID(C882,15,2),0)</f>
        <v/>
      </c>
      <c r="U882" s="33">
        <f>IF(ISNUMBER(VALUE(MID(A882,7,1))),"Distance-prefix pattern","Named-region pattern")</f>
        <v/>
      </c>
      <c r="V882" s="33">
        <f>LOWER(M882)</f>
        <v/>
      </c>
      <c r="W882" s="33">
        <f>IF(COUNTIFS($A$2:$A$1001,A882,$C$2:$C$1001,C882)&gt;1,"Duplicate","Unique")</f>
        <v/>
      </c>
      <c r="X882" s="33">
        <f>YEAR(T882)</f>
        <v/>
      </c>
      <c r="Y882" s="33">
        <f>IF(B882&lt;6.5,"&lt;6.5",IF(B882&lt;7,"6.5–6.9",IF(B882&lt;7.5,"7.0–7.4",IF(B882&lt;8,"7.5–7.9","8.0+"))))</f>
        <v/>
      </c>
      <c r="Z882" s="33">
        <f>IF(F882="","Blank",F882)</f>
        <v/>
      </c>
    </row>
    <row r="883" ht="15" customHeight="1" s="34">
      <c r="A883" s="33" t="inlineStr">
        <is>
          <t>M 6.6 - 110 km SSE of K?h Sef?d, Iran</t>
        </is>
      </c>
      <c r="B883" s="33" t="n">
        <v>6.6</v>
      </c>
      <c r="C883" s="33" t="inlineStr">
        <is>
          <t>04/03/1999 05:38</t>
        </is>
      </c>
      <c r="D883" s="33" t="n">
        <v>0</v>
      </c>
      <c r="E883" s="33" t="n">
        <v>7</v>
      </c>
      <c r="G883" s="33" t="n">
        <v>0</v>
      </c>
      <c r="H883" s="33" t="n">
        <v>670</v>
      </c>
      <c r="I883" s="33" t="inlineStr">
        <is>
          <t>us</t>
        </is>
      </c>
      <c r="J883" s="33" t="n">
        <v>0</v>
      </c>
      <c r="K883" s="33" t="n">
        <v>0</v>
      </c>
      <c r="L883" s="33" t="n">
        <v>0</v>
      </c>
      <c r="M883" s="33" t="inlineStr">
        <is>
          <t>mwc</t>
        </is>
      </c>
      <c r="N883" s="33" t="n">
        <v>33</v>
      </c>
      <c r="O883" s="33" t="n">
        <v>28.343</v>
      </c>
      <c r="P883" s="33" t="n">
        <v>57.193</v>
      </c>
      <c r="Q883" s="33" t="inlineStr">
        <is>
          <t>K?h Sef?d, Iran</t>
        </is>
      </c>
      <c r="R883" s="33" t="inlineStr">
        <is>
          <t>Asia</t>
        </is>
      </c>
      <c r="S883" s="33" t="inlineStr">
        <is>
          <t>Iran</t>
        </is>
      </c>
      <c r="T883" s="36">
        <f>DATE(MID(C883,7,4),MID(C883,4,2),MID(C883,1,2))+TIME(MID(C883,12,2),MID(C883,15,2),0)</f>
        <v/>
      </c>
      <c r="U883" s="33">
        <f>IF(ISNUMBER(VALUE(MID(A883,7,1))),"Distance-prefix pattern","Named-region pattern")</f>
        <v/>
      </c>
      <c r="V883" s="33">
        <f>LOWER(M883)</f>
        <v/>
      </c>
      <c r="W883" s="33">
        <f>IF(COUNTIFS($A$2:$A$1001,A883,$C$2:$C$1001,C883)&gt;1,"Duplicate","Unique")</f>
        <v/>
      </c>
      <c r="X883" s="33">
        <f>YEAR(T883)</f>
        <v/>
      </c>
      <c r="Y883" s="33">
        <f>IF(B883&lt;6.5,"&lt;6.5",IF(B883&lt;7,"6.5–6.9",IF(B883&lt;7.5,"7.0–7.4",IF(B883&lt;8,"7.5–7.9","8.0+"))))</f>
        <v/>
      </c>
      <c r="Z883" s="33">
        <f>IF(F883="","Blank",F883)</f>
        <v/>
      </c>
    </row>
    <row r="884" ht="15" customHeight="1" s="34">
      <c r="A884" s="33" t="inlineStr">
        <is>
          <t>M 7.3 - 146 km NW of Sola, Vanuatu</t>
        </is>
      </c>
      <c r="B884" s="33" t="n">
        <v>7.3</v>
      </c>
      <c r="C884" s="33" t="inlineStr">
        <is>
          <t>06/02/1999 21:47</t>
        </is>
      </c>
      <c r="D884" s="33" t="n">
        <v>0</v>
      </c>
      <c r="E884" s="33" t="n">
        <v>7</v>
      </c>
      <c r="G884" s="33" t="n">
        <v>0</v>
      </c>
      <c r="H884" s="33" t="n">
        <v>820</v>
      </c>
      <c r="I884" s="33" t="inlineStr">
        <is>
          <t>us</t>
        </is>
      </c>
      <c r="J884" s="33" t="n">
        <v>0</v>
      </c>
      <c r="K884" s="33" t="n">
        <v>0</v>
      </c>
      <c r="L884" s="33" t="n">
        <v>0</v>
      </c>
      <c r="M884" s="33" t="inlineStr">
        <is>
          <t>mwc</t>
        </is>
      </c>
      <c r="N884" s="33" t="n">
        <v>90.09999999999999</v>
      </c>
      <c r="O884" s="33" t="n">
        <v>-12.853</v>
      </c>
      <c r="P884" s="33" t="n">
        <v>166.697</v>
      </c>
      <c r="Q884" s="33" t="inlineStr">
        <is>
          <t>Sola, Vanuatu</t>
        </is>
      </c>
      <c r="T884" s="36">
        <f>DATE(MID(C884,7,4),MID(C884,4,2),MID(C884,1,2))+TIME(MID(C884,12,2),MID(C884,15,2),0)</f>
        <v/>
      </c>
      <c r="U884" s="33">
        <f>IF(ISNUMBER(VALUE(MID(A884,7,1))),"Distance-prefix pattern","Named-region pattern")</f>
        <v/>
      </c>
      <c r="V884" s="33">
        <f>LOWER(M884)</f>
        <v/>
      </c>
      <c r="W884" s="33">
        <f>IF(COUNTIFS($A$2:$A$1001,A884,$C$2:$C$1001,C884)&gt;1,"Duplicate","Unique")</f>
        <v/>
      </c>
      <c r="X884" s="33">
        <f>YEAR(T884)</f>
        <v/>
      </c>
      <c r="Y884" s="33">
        <f>IF(B884&lt;6.5,"&lt;6.5",IF(B884&lt;7,"6.5–6.9",IF(B884&lt;7.5,"7.0–7.4",IF(B884&lt;8,"7.5–7.9","8.0+"))))</f>
        <v/>
      </c>
      <c r="Z884" s="33">
        <f>IF(F884="","Blank",F884)</f>
        <v/>
      </c>
    </row>
    <row r="885" ht="15" customHeight="1" s="34">
      <c r="A885" s="33" t="inlineStr">
        <is>
          <t>M 6.6 - 18 km WSW of Nikolski, Alaska</t>
        </is>
      </c>
      <c r="B885" s="33" t="n">
        <v>6.6</v>
      </c>
      <c r="C885" s="33" t="inlineStr">
        <is>
          <t>28/01/1999 08:10</t>
        </is>
      </c>
      <c r="D885" s="33" t="n">
        <v>0</v>
      </c>
      <c r="E885" s="33" t="n">
        <v>6</v>
      </c>
      <c r="G885" s="33" t="n">
        <v>0</v>
      </c>
      <c r="H885" s="33" t="n">
        <v>670</v>
      </c>
      <c r="I885" s="33" t="inlineStr">
        <is>
          <t>us</t>
        </is>
      </c>
      <c r="J885" s="33" t="n">
        <v>0</v>
      </c>
      <c r="K885" s="33" t="n">
        <v>0</v>
      </c>
      <c r="L885" s="33" t="n">
        <v>0</v>
      </c>
      <c r="M885" s="33" t="inlineStr">
        <is>
          <t>mwc</t>
        </is>
      </c>
      <c r="N885" s="33" t="n">
        <v>67.2</v>
      </c>
      <c r="O885" s="33" t="n">
        <v>52.886</v>
      </c>
      <c r="P885" s="33" t="n">
        <v>-169.123</v>
      </c>
      <c r="Q885" s="33" t="inlineStr">
        <is>
          <t>Nikolski, Alaska</t>
        </is>
      </c>
      <c r="R885" s="33" t="inlineStr">
        <is>
          <t>North America</t>
        </is>
      </c>
      <c r="S885" s="33" t="inlineStr">
        <is>
          <t>United States of America</t>
        </is>
      </c>
      <c r="T885" s="36">
        <f>DATE(MID(C885,7,4),MID(C885,4,2),MID(C885,1,2))+TIME(MID(C885,12,2),MID(C885,15,2),0)</f>
        <v/>
      </c>
      <c r="U885" s="33">
        <f>IF(ISNUMBER(VALUE(MID(A885,7,1))),"Distance-prefix pattern","Named-region pattern")</f>
        <v/>
      </c>
      <c r="V885" s="33">
        <f>LOWER(M885)</f>
        <v/>
      </c>
      <c r="W885" s="33">
        <f>IF(COUNTIFS($A$2:$A$1001,A885,$C$2:$C$1001,C885)&gt;1,"Duplicate","Unique")</f>
        <v/>
      </c>
      <c r="X885" s="33">
        <f>YEAR(T885)</f>
        <v/>
      </c>
      <c r="Y885" s="33">
        <f>IF(B885&lt;6.5,"&lt;6.5",IF(B885&lt;7,"6.5–6.9",IF(B885&lt;7.5,"7.0–7.4",IF(B885&lt;8,"7.5–7.9","8.0+"))))</f>
        <v/>
      </c>
      <c r="Z885" s="33">
        <f>IF(F885="","Blank",F885)</f>
        <v/>
      </c>
    </row>
    <row r="886" ht="15" customHeight="1" s="34">
      <c r="A886" s="33" t="inlineStr">
        <is>
          <t>M 7.0 - 110 km ESE of Kokopo, Papua New Guinea</t>
        </is>
      </c>
      <c r="B886" s="33" t="n">
        <v>7</v>
      </c>
      <c r="C886" s="33" t="inlineStr">
        <is>
          <t>19/01/1999 03:35</t>
        </is>
      </c>
      <c r="D886" s="33" t="n">
        <v>0</v>
      </c>
      <c r="E886" s="33" t="n">
        <v>7</v>
      </c>
      <c r="G886" s="33" t="n">
        <v>0</v>
      </c>
      <c r="H886" s="33" t="n">
        <v>754</v>
      </c>
      <c r="I886" s="33" t="inlineStr">
        <is>
          <t>us</t>
        </is>
      </c>
      <c r="J886" s="33" t="n">
        <v>0</v>
      </c>
      <c r="K886" s="33" t="n">
        <v>0</v>
      </c>
      <c r="L886" s="33" t="n">
        <v>0</v>
      </c>
      <c r="M886" s="33" t="inlineStr">
        <is>
          <t>mwc</t>
        </is>
      </c>
      <c r="N886" s="33" t="n">
        <v>114.1</v>
      </c>
      <c r="O886" s="33" t="n">
        <v>-4.596</v>
      </c>
      <c r="P886" s="33" t="n">
        <v>153.235</v>
      </c>
      <c r="Q886" s="33" t="inlineStr">
        <is>
          <t>Kokopo, Papua New Guinea</t>
        </is>
      </c>
      <c r="S886" s="33" t="inlineStr">
        <is>
          <t>Papua New Guinea</t>
        </is>
      </c>
      <c r="T886" s="36">
        <f>DATE(MID(C886,7,4),MID(C886,4,2),MID(C886,1,2))+TIME(MID(C886,12,2),MID(C886,15,2),0)</f>
        <v/>
      </c>
      <c r="U886" s="33">
        <f>IF(ISNUMBER(VALUE(MID(A886,7,1))),"Distance-prefix pattern","Named-region pattern")</f>
        <v/>
      </c>
      <c r="V886" s="33">
        <f>LOWER(M886)</f>
        <v/>
      </c>
      <c r="W886" s="33">
        <f>IF(COUNTIFS($A$2:$A$1001,A886,$C$2:$C$1001,C886)&gt;1,"Duplicate","Unique")</f>
        <v/>
      </c>
      <c r="X886" s="33">
        <f>YEAR(T886)</f>
        <v/>
      </c>
      <c r="Y886" s="33">
        <f>IF(B886&lt;6.5,"&lt;6.5",IF(B886&lt;7,"6.5–6.9",IF(B886&lt;7.5,"7.0–7.4",IF(B886&lt;8,"7.5–7.9","8.0+"))))</f>
        <v/>
      </c>
      <c r="Z886" s="33">
        <f>IF(F886="","Blank",F886)</f>
        <v/>
      </c>
    </row>
    <row r="887" ht="15" customHeight="1" s="34">
      <c r="A887" s="33" t="inlineStr">
        <is>
          <t>M 6.8 - 131 km WSW of Haveluloto, Tonga</t>
        </is>
      </c>
      <c r="B887" s="33" t="n">
        <v>6.8</v>
      </c>
      <c r="C887" s="33" t="inlineStr">
        <is>
          <t>27/12/1998 00:38</t>
        </is>
      </c>
      <c r="D887" s="33" t="n">
        <v>0</v>
      </c>
      <c r="E887" s="33" t="n">
        <v>5</v>
      </c>
      <c r="G887" s="33" t="n">
        <v>0</v>
      </c>
      <c r="H887" s="33" t="n">
        <v>711</v>
      </c>
      <c r="I887" s="33" t="inlineStr">
        <is>
          <t>us</t>
        </is>
      </c>
      <c r="J887" s="33" t="n">
        <v>0</v>
      </c>
      <c r="K887" s="33" t="n">
        <v>0</v>
      </c>
      <c r="L887" s="33" t="n">
        <v>0</v>
      </c>
      <c r="M887" s="33" t="inlineStr">
        <is>
          <t>mwc</t>
        </is>
      </c>
      <c r="N887" s="33" t="n">
        <v>144.3</v>
      </c>
      <c r="O887" s="33" t="n">
        <v>-21.632</v>
      </c>
      <c r="P887" s="33" t="n">
        <v>-176.376</v>
      </c>
      <c r="Q887" s="33" t="inlineStr">
        <is>
          <t>Haveluloto, Tonga</t>
        </is>
      </c>
      <c r="T887" s="36">
        <f>DATE(MID(C887,7,4),MID(C887,4,2),MID(C887,1,2))+TIME(MID(C887,12,2),MID(C887,15,2),0)</f>
        <v/>
      </c>
      <c r="U887" s="33">
        <f>IF(ISNUMBER(VALUE(MID(A887,7,1))),"Distance-prefix pattern","Named-region pattern")</f>
        <v/>
      </c>
      <c r="V887" s="33">
        <f>LOWER(M887)</f>
        <v/>
      </c>
      <c r="W887" s="33">
        <f>IF(COUNTIFS($A$2:$A$1001,A887,$C$2:$C$1001,C887)&gt;1,"Duplicate","Unique")</f>
        <v/>
      </c>
      <c r="X887" s="33">
        <f>YEAR(T887)</f>
        <v/>
      </c>
      <c r="Y887" s="33">
        <f>IF(B887&lt;6.5,"&lt;6.5",IF(B887&lt;7,"6.5–6.9",IF(B887&lt;7.5,"7.0–7.4",IF(B887&lt;8,"7.5–7.9","8.0+"))))</f>
        <v/>
      </c>
      <c r="Z887" s="33">
        <f>IF(F887="","Blank",F887)</f>
        <v/>
      </c>
    </row>
    <row r="888" ht="15" customHeight="1" s="34">
      <c r="A888" s="33" t="inlineStr">
        <is>
          <t>M 7.7 - 264 km ESE of Luwuk, Indonesia</t>
        </is>
      </c>
      <c r="B888" s="33" t="n">
        <v>7.7</v>
      </c>
      <c r="C888" s="33" t="inlineStr">
        <is>
          <t>29/11/1998 14:10</t>
        </is>
      </c>
      <c r="D888" s="33" t="n">
        <v>0</v>
      </c>
      <c r="E888" s="33" t="n">
        <v>7</v>
      </c>
      <c r="G888" s="33" t="n">
        <v>0</v>
      </c>
      <c r="H888" s="33" t="n">
        <v>912</v>
      </c>
      <c r="I888" s="33" t="inlineStr">
        <is>
          <t>us</t>
        </is>
      </c>
      <c r="J888" s="33" t="n">
        <v>0</v>
      </c>
      <c r="K888" s="33" t="n">
        <v>0</v>
      </c>
      <c r="L888" s="33" t="n">
        <v>0</v>
      </c>
      <c r="M888" s="33" t="inlineStr">
        <is>
          <t>mwc</t>
        </is>
      </c>
      <c r="N888" s="33" t="n">
        <v>33</v>
      </c>
      <c r="O888" s="33" t="n">
        <v>-2.071</v>
      </c>
      <c r="P888" s="33" t="n">
        <v>124.891</v>
      </c>
      <c r="Q888" s="33" t="inlineStr">
        <is>
          <t>Luwuk, Indonesia</t>
        </is>
      </c>
      <c r="S888" s="33" t="inlineStr">
        <is>
          <t>Indonesia</t>
        </is>
      </c>
      <c r="T888" s="36">
        <f>DATE(MID(C888,7,4),MID(C888,4,2),MID(C888,1,2))+TIME(MID(C888,12,2),MID(C888,15,2),0)</f>
        <v/>
      </c>
      <c r="U888" s="33">
        <f>IF(ISNUMBER(VALUE(MID(A888,7,1))),"Distance-prefix pattern","Named-region pattern")</f>
        <v/>
      </c>
      <c r="V888" s="33">
        <f>LOWER(M888)</f>
        <v/>
      </c>
      <c r="W888" s="33">
        <f>IF(COUNTIFS($A$2:$A$1001,A888,$C$2:$C$1001,C888)&gt;1,"Duplicate","Unique")</f>
        <v/>
      </c>
      <c r="X888" s="33">
        <f>YEAR(T888)</f>
        <v/>
      </c>
      <c r="Y888" s="33">
        <f>IF(B888&lt;6.5,"&lt;6.5",IF(B888&lt;7,"6.5–6.9",IF(B888&lt;7.5,"7.0–7.4",IF(B888&lt;8,"7.5–7.9","8.0+"))))</f>
        <v/>
      </c>
      <c r="Z888" s="33">
        <f>IF(F888="","Blank",F888)</f>
        <v/>
      </c>
    </row>
    <row r="889" ht="15" customHeight="1" s="34">
      <c r="A889" s="33" t="inlineStr">
        <is>
          <t>M 7.0 - 278 km NE of Lospalos, Timor Leste</t>
        </is>
      </c>
      <c r="B889" s="33" t="n">
        <v>7</v>
      </c>
      <c r="C889" s="33" t="inlineStr">
        <is>
          <t>09/11/1998 05:38</t>
        </is>
      </c>
      <c r="D889" s="33" t="n">
        <v>0</v>
      </c>
      <c r="E889" s="33" t="n">
        <v>7</v>
      </c>
      <c r="G889" s="33" t="n">
        <v>0</v>
      </c>
      <c r="H889" s="33" t="n">
        <v>754</v>
      </c>
      <c r="I889" s="33" t="inlineStr">
        <is>
          <t>us</t>
        </is>
      </c>
      <c r="J889" s="33" t="n">
        <v>0</v>
      </c>
      <c r="K889" s="33" t="n">
        <v>0</v>
      </c>
      <c r="L889" s="33" t="n">
        <v>0</v>
      </c>
      <c r="M889" s="33" t="inlineStr">
        <is>
          <t>mwc</t>
        </is>
      </c>
      <c r="N889" s="33" t="n">
        <v>33</v>
      </c>
      <c r="O889" s="33" t="n">
        <v>-6.92</v>
      </c>
      <c r="P889" s="33" t="n">
        <v>128.946</v>
      </c>
      <c r="Q889" s="33" t="inlineStr">
        <is>
          <t>Lospalos, Timor Leste</t>
        </is>
      </c>
      <c r="S889" s="33" t="inlineStr">
        <is>
          <t>Indonesia</t>
        </is>
      </c>
      <c r="T889" s="36">
        <f>DATE(MID(C889,7,4),MID(C889,4,2),MID(C889,1,2))+TIME(MID(C889,12,2),MID(C889,15,2),0)</f>
        <v/>
      </c>
      <c r="U889" s="33">
        <f>IF(ISNUMBER(VALUE(MID(A889,7,1))),"Distance-prefix pattern","Named-region pattern")</f>
        <v/>
      </c>
      <c r="V889" s="33">
        <f>LOWER(M889)</f>
        <v/>
      </c>
      <c r="W889" s="33">
        <f>IF(COUNTIFS($A$2:$A$1001,A889,$C$2:$C$1001,C889)&gt;1,"Duplicate","Unique")</f>
        <v/>
      </c>
      <c r="X889" s="33">
        <f>YEAR(T889)</f>
        <v/>
      </c>
      <c r="Y889" s="33">
        <f>IF(B889&lt;6.5,"&lt;6.5",IF(B889&lt;7,"6.5–6.9",IF(B889&lt;7.5,"7.0–7.4",IF(B889&lt;8,"7.5–7.9","8.0+"))))</f>
        <v/>
      </c>
      <c r="Z889" s="33">
        <f>IF(F889="","Blank",F889)</f>
        <v/>
      </c>
    </row>
    <row r="890" ht="15" customHeight="1" s="34">
      <c r="A890" s="33" t="inlineStr">
        <is>
          <t>M 6.7 - 282 km NE of Lospalos, Timor Leste</t>
        </is>
      </c>
      <c r="B890" s="33" t="n">
        <v>6.7</v>
      </c>
      <c r="C890" s="33" t="inlineStr">
        <is>
          <t>09/11/1998 05:30</t>
        </is>
      </c>
      <c r="D890" s="33" t="n">
        <v>0</v>
      </c>
      <c r="E890" s="33" t="n">
        <v>6</v>
      </c>
      <c r="G890" s="33" t="n">
        <v>0</v>
      </c>
      <c r="H890" s="33" t="n">
        <v>691</v>
      </c>
      <c r="I890" s="33" t="inlineStr">
        <is>
          <t>us</t>
        </is>
      </c>
      <c r="J890" s="33" t="n">
        <v>0</v>
      </c>
      <c r="K890" s="33" t="n">
        <v>0</v>
      </c>
      <c r="L890" s="33" t="n">
        <v>0</v>
      </c>
      <c r="M890" s="33" t="inlineStr">
        <is>
          <t>mwc</t>
        </is>
      </c>
      <c r="N890" s="33" t="n">
        <v>33</v>
      </c>
      <c r="O890" s="33" t="n">
        <v>-6.954</v>
      </c>
      <c r="P890" s="33" t="n">
        <v>129.022</v>
      </c>
      <c r="Q890" s="33" t="inlineStr">
        <is>
          <t>Lospalos, Timor Leste</t>
        </is>
      </c>
      <c r="S890" s="33" t="inlineStr">
        <is>
          <t>Indonesia</t>
        </is>
      </c>
      <c r="T890" s="36">
        <f>DATE(MID(C890,7,4),MID(C890,4,2),MID(C890,1,2))+TIME(MID(C890,12,2),MID(C890,15,2),0)</f>
        <v/>
      </c>
      <c r="U890" s="33">
        <f>IF(ISNUMBER(VALUE(MID(A890,7,1))),"Distance-prefix pattern","Named-region pattern")</f>
        <v/>
      </c>
      <c r="V890" s="33">
        <f>LOWER(M890)</f>
        <v/>
      </c>
      <c r="W890" s="33">
        <f>IF(COUNTIFS($A$2:$A$1001,A890,$C$2:$C$1001,C890)&gt;1,"Duplicate","Unique")</f>
        <v/>
      </c>
      <c r="X890" s="33">
        <f>YEAR(T890)</f>
        <v/>
      </c>
      <c r="Y890" s="33">
        <f>IF(B890&lt;6.5,"&lt;6.5",IF(B890&lt;7,"6.5–6.9",IF(B890&lt;7.5,"7.0–7.4",IF(B890&lt;8,"7.5–7.9","8.0+"))))</f>
        <v/>
      </c>
      <c r="Z890" s="33">
        <f>IF(F890="","Blank",F890)</f>
        <v/>
      </c>
    </row>
    <row r="891" ht="15" customHeight="1" s="34">
      <c r="A891" s="33" t="inlineStr">
        <is>
          <t>M 6.6 - 8 km WSW of Sumberpucung, Indonesia</t>
        </is>
      </c>
      <c r="B891" s="33" t="n">
        <v>6.6</v>
      </c>
      <c r="C891" s="33" t="inlineStr">
        <is>
          <t>28/09/1998 13:34</t>
        </is>
      </c>
      <c r="D891" s="33" t="n">
        <v>0</v>
      </c>
      <c r="E891" s="33" t="n">
        <v>5</v>
      </c>
      <c r="G891" s="33" t="n">
        <v>0</v>
      </c>
      <c r="H891" s="33" t="n">
        <v>670</v>
      </c>
      <c r="I891" s="33" t="inlineStr">
        <is>
          <t>us</t>
        </is>
      </c>
      <c r="J891" s="33" t="n">
        <v>0</v>
      </c>
      <c r="K891" s="33" t="n">
        <v>0</v>
      </c>
      <c r="L891" s="33" t="n">
        <v>0</v>
      </c>
      <c r="M891" s="33" t="inlineStr">
        <is>
          <t>mwb</t>
        </is>
      </c>
      <c r="N891" s="33" t="n">
        <v>151.6</v>
      </c>
      <c r="O891" s="33" t="n">
        <v>-8.194000000000001</v>
      </c>
      <c r="P891" s="33" t="n">
        <v>112.413</v>
      </c>
      <c r="Q891" s="33" t="inlineStr">
        <is>
          <t>Sumberpucung, Indonesia</t>
        </is>
      </c>
      <c r="S891" s="33" t="inlineStr">
        <is>
          <t>Indonesia</t>
        </is>
      </c>
      <c r="T891" s="36">
        <f>DATE(MID(C891,7,4),MID(C891,4,2),MID(C891,1,2))+TIME(MID(C891,12,2),MID(C891,15,2),0)</f>
        <v/>
      </c>
      <c r="U891" s="33">
        <f>IF(ISNUMBER(VALUE(MID(A891,7,1))),"Distance-prefix pattern","Named-region pattern")</f>
        <v/>
      </c>
      <c r="V891" s="33">
        <f>LOWER(M891)</f>
        <v/>
      </c>
      <c r="W891" s="33">
        <f>IF(COUNTIFS($A$2:$A$1001,A891,$C$2:$C$1001,C891)&gt;1,"Duplicate","Unique")</f>
        <v/>
      </c>
      <c r="X891" s="33">
        <f>YEAR(T891)</f>
        <v/>
      </c>
      <c r="Y891" s="33">
        <f>IF(B891&lt;6.5,"&lt;6.5",IF(B891&lt;7,"6.5–6.9",IF(B891&lt;7.5,"7.0–7.4",IF(B891&lt;8,"7.5–7.9","8.0+"))))</f>
        <v/>
      </c>
      <c r="Z891" s="33">
        <f>IF(F891="","Blank",F891)</f>
        <v/>
      </c>
    </row>
    <row r="892" ht="15" customHeight="1" s="34">
      <c r="A892" s="33" t="inlineStr">
        <is>
          <t>M 6.6 - 66 km NNW of Coquimbo, Chile</t>
        </is>
      </c>
      <c r="B892" s="33" t="n">
        <v>6.6</v>
      </c>
      <c r="C892" s="33" t="inlineStr">
        <is>
          <t>03/09/1998 17:37</t>
        </is>
      </c>
      <c r="D892" s="33" t="n">
        <v>0</v>
      </c>
      <c r="E892" s="33" t="n">
        <v>6</v>
      </c>
      <c r="G892" s="33" t="n">
        <v>0</v>
      </c>
      <c r="H892" s="33" t="n">
        <v>670</v>
      </c>
      <c r="I892" s="33" t="inlineStr">
        <is>
          <t>us</t>
        </is>
      </c>
      <c r="J892" s="33" t="n">
        <v>0</v>
      </c>
      <c r="K892" s="33" t="n">
        <v>0</v>
      </c>
      <c r="L892" s="33" t="n">
        <v>0</v>
      </c>
      <c r="M892" s="33" t="inlineStr">
        <is>
          <t>mwc</t>
        </is>
      </c>
      <c r="N892" s="33" t="n">
        <v>27</v>
      </c>
      <c r="O892" s="33" t="n">
        <v>-29.45</v>
      </c>
      <c r="P892" s="33" t="n">
        <v>-71.715</v>
      </c>
      <c r="Q892" s="33" t="inlineStr">
        <is>
          <t>Coquimbo, Chile</t>
        </is>
      </c>
      <c r="S892" s="33" t="inlineStr">
        <is>
          <t>Chile</t>
        </is>
      </c>
      <c r="T892" s="36">
        <f>DATE(MID(C892,7,4),MID(C892,4,2),MID(C892,1,2))+TIME(MID(C892,12,2),MID(C892,15,2),0)</f>
        <v/>
      </c>
      <c r="U892" s="33">
        <f>IF(ISNUMBER(VALUE(MID(A892,7,1))),"Distance-prefix pattern","Named-region pattern")</f>
        <v/>
      </c>
      <c r="V892" s="33">
        <f>LOWER(M892)</f>
        <v/>
      </c>
      <c r="W892" s="33">
        <f>IF(COUNTIFS($A$2:$A$1001,A892,$C$2:$C$1001,C892)&gt;1,"Duplicate","Unique")</f>
        <v/>
      </c>
      <c r="X892" s="33">
        <f>YEAR(T892)</f>
        <v/>
      </c>
      <c r="Y892" s="33">
        <f>IF(B892&lt;6.5,"&lt;6.5",IF(B892&lt;7,"6.5–6.9",IF(B892&lt;7.5,"7.0–7.4",IF(B892&lt;8,"7.5–7.9","8.0+"))))</f>
        <v/>
      </c>
      <c r="Z892" s="33">
        <f>IF(F892="","Blank",F892)</f>
        <v/>
      </c>
    </row>
    <row r="893" ht="15" customHeight="1" s="34">
      <c r="A893" s="33" t="inlineStr">
        <is>
          <t>M 6.8 - 123 km SSE of Pondaguitan, Philippines</t>
        </is>
      </c>
      <c r="B893" s="33" t="n">
        <v>6.8</v>
      </c>
      <c r="C893" s="33" t="inlineStr">
        <is>
          <t>02/09/1998 08:37</t>
        </is>
      </c>
      <c r="D893" s="33" t="n">
        <v>0</v>
      </c>
      <c r="E893" s="33" t="n">
        <v>5</v>
      </c>
      <c r="G893" s="33" t="n">
        <v>0</v>
      </c>
      <c r="H893" s="33" t="n">
        <v>711</v>
      </c>
      <c r="I893" s="33" t="inlineStr">
        <is>
          <t>us</t>
        </is>
      </c>
      <c r="J893" s="33" t="n">
        <v>0</v>
      </c>
      <c r="K893" s="33" t="n">
        <v>0</v>
      </c>
      <c r="L893" s="33" t="n">
        <v>0</v>
      </c>
      <c r="M893" s="33" t="inlineStr">
        <is>
          <t>mwc</t>
        </is>
      </c>
      <c r="N893" s="33" t="n">
        <v>50</v>
      </c>
      <c r="O893" s="33" t="n">
        <v>5.41</v>
      </c>
      <c r="P893" s="33" t="n">
        <v>126.764</v>
      </c>
      <c r="Q893" s="33" t="inlineStr">
        <is>
          <t>Pondaguitan, Philippines</t>
        </is>
      </c>
      <c r="S893" s="33" t="inlineStr">
        <is>
          <t>Indonesia</t>
        </is>
      </c>
      <c r="T893" s="36">
        <f>DATE(MID(C893,7,4),MID(C893,4,2),MID(C893,1,2))+TIME(MID(C893,12,2),MID(C893,15,2),0)</f>
        <v/>
      </c>
      <c r="U893" s="33">
        <f>IF(ISNUMBER(VALUE(MID(A893,7,1))),"Distance-prefix pattern","Named-region pattern")</f>
        <v/>
      </c>
      <c r="V893" s="33">
        <f>LOWER(M893)</f>
        <v/>
      </c>
      <c r="W893" s="33">
        <f>IF(COUNTIFS($A$2:$A$1001,A893,$C$2:$C$1001,C893)&gt;1,"Duplicate","Unique")</f>
        <v/>
      </c>
      <c r="X893" s="33">
        <f>YEAR(T893)</f>
        <v/>
      </c>
      <c r="Y893" s="33">
        <f>IF(B893&lt;6.5,"&lt;6.5",IF(B893&lt;7,"6.5–6.9",IF(B893&lt;7.5,"7.0–7.4",IF(B893&lt;8,"7.5–7.9","8.0+"))))</f>
        <v/>
      </c>
      <c r="Z893" s="33">
        <f>IF(F893="","Blank",F893)</f>
        <v/>
      </c>
    </row>
    <row r="894" ht="15" customHeight="1" s="34">
      <c r="A894" s="33" t="inlineStr">
        <is>
          <t>M 7.2 - 3 km E of Bahía de Caráquez, Ecuador</t>
        </is>
      </c>
      <c r="B894" s="33" t="n">
        <v>7.2</v>
      </c>
      <c r="C894" s="33" t="inlineStr">
        <is>
          <t>04/08/1998 18:59</t>
        </is>
      </c>
      <c r="D894" s="33" t="n">
        <v>0</v>
      </c>
      <c r="E894" s="33" t="n">
        <v>7</v>
      </c>
      <c r="G894" s="33" t="n">
        <v>0</v>
      </c>
      <c r="H894" s="33" t="n">
        <v>798</v>
      </c>
      <c r="I894" s="33" t="inlineStr">
        <is>
          <t>us</t>
        </is>
      </c>
      <c r="J894" s="33" t="n">
        <v>0</v>
      </c>
      <c r="K894" s="33" t="n">
        <v>0</v>
      </c>
      <c r="L894" s="33" t="n">
        <v>0</v>
      </c>
      <c r="M894" s="33" t="inlineStr">
        <is>
          <t>mwc</t>
        </is>
      </c>
      <c r="N894" s="33" t="n">
        <v>33</v>
      </c>
      <c r="O894" s="33" t="n">
        <v>-0.593</v>
      </c>
      <c r="P894" s="33" t="n">
        <v>-80.393</v>
      </c>
      <c r="Q894" s="33" t="inlineStr">
        <is>
          <t>Bahía de Caráquez, Ecuador</t>
        </is>
      </c>
      <c r="R894" s="33" t="inlineStr">
        <is>
          <t>South America</t>
        </is>
      </c>
      <c r="S894" s="33" t="inlineStr">
        <is>
          <t>Ecuador</t>
        </is>
      </c>
      <c r="T894" s="36">
        <f>DATE(MID(C894,7,4),MID(C894,4,2),MID(C894,1,2))+TIME(MID(C894,12,2),MID(C894,15,2),0)</f>
        <v/>
      </c>
      <c r="U894" s="33">
        <f>IF(ISNUMBER(VALUE(MID(A894,7,1))),"Distance-prefix pattern","Named-region pattern")</f>
        <v/>
      </c>
      <c r="V894" s="33">
        <f>LOWER(M894)</f>
        <v/>
      </c>
      <c r="W894" s="33">
        <f>IF(COUNTIFS($A$2:$A$1001,A894,$C$2:$C$1001,C894)&gt;1,"Duplicate","Unique")</f>
        <v/>
      </c>
      <c r="X894" s="33">
        <f>YEAR(T894)</f>
        <v/>
      </c>
      <c r="Y894" s="33">
        <f>IF(B894&lt;6.5,"&lt;6.5",IF(B894&lt;7,"6.5–6.9",IF(B894&lt;7.5,"7.0–7.4",IF(B894&lt;8,"7.5–7.9","8.0+"))))</f>
        <v/>
      </c>
      <c r="Z894" s="33">
        <f>IF(F894="","Blank",F894)</f>
        <v/>
      </c>
    </row>
    <row r="895" ht="15" customHeight="1" s="34">
      <c r="A895" s="33" t="inlineStr">
        <is>
          <t>M 6.7 - 192 km W of Abepura, Indonesia</t>
        </is>
      </c>
      <c r="B895" s="33" t="n">
        <v>6.7</v>
      </c>
      <c r="C895" s="33" t="inlineStr">
        <is>
          <t>29/07/1998 18:00</t>
        </is>
      </c>
      <c r="D895" s="33" t="n">
        <v>0</v>
      </c>
      <c r="E895" s="33" t="n">
        <v>6</v>
      </c>
      <c r="G895" s="33" t="n">
        <v>0</v>
      </c>
      <c r="H895" s="33" t="n">
        <v>691</v>
      </c>
      <c r="I895" s="33" t="inlineStr">
        <is>
          <t>us</t>
        </is>
      </c>
      <c r="J895" s="33" t="n">
        <v>0</v>
      </c>
      <c r="K895" s="33" t="n">
        <v>0</v>
      </c>
      <c r="L895" s="33" t="n">
        <v>0</v>
      </c>
      <c r="M895" s="33" t="inlineStr">
        <is>
          <t>mwc</t>
        </is>
      </c>
      <c r="N895" s="33" t="n">
        <v>33</v>
      </c>
      <c r="O895" s="33" t="n">
        <v>-2.693</v>
      </c>
      <c r="P895" s="33" t="n">
        <v>138.901</v>
      </c>
      <c r="Q895" s="33" t="inlineStr">
        <is>
          <t>Abepura, Indonesia</t>
        </is>
      </c>
      <c r="S895" s="33" t="inlineStr">
        <is>
          <t>Indonesia</t>
        </is>
      </c>
      <c r="T895" s="36">
        <f>DATE(MID(C895,7,4),MID(C895,4,2),MID(C895,1,2))+TIME(MID(C895,12,2),MID(C895,15,2),0)</f>
        <v/>
      </c>
      <c r="U895" s="33">
        <f>IF(ISNUMBER(VALUE(MID(A895,7,1))),"Distance-prefix pattern","Named-region pattern")</f>
        <v/>
      </c>
      <c r="V895" s="33">
        <f>LOWER(M895)</f>
        <v/>
      </c>
      <c r="W895" s="33">
        <f>IF(COUNTIFS($A$2:$A$1001,A895,$C$2:$C$1001,C895)&gt;1,"Duplicate","Unique")</f>
        <v/>
      </c>
      <c r="X895" s="33">
        <f>YEAR(T895)</f>
        <v/>
      </c>
      <c r="Y895" s="33">
        <f>IF(B895&lt;6.5,"&lt;6.5",IF(B895&lt;7,"6.5–6.9",IF(B895&lt;7.5,"7.0–7.4",IF(B895&lt;8,"7.5–7.9","8.0+"))))</f>
        <v/>
      </c>
      <c r="Z895" s="33">
        <f>IF(F895="","Blank",F895)</f>
        <v/>
      </c>
    </row>
    <row r="896" ht="15" customHeight="1" s="34">
      <c r="A896" s="33" t="inlineStr">
        <is>
          <t>M 7.0 - 50 km WNW of Aitape, Papua New Guinea</t>
        </is>
      </c>
      <c r="B896" s="33" t="n">
        <v>7</v>
      </c>
      <c r="C896" s="33" t="inlineStr">
        <is>
          <t>17/07/1998 08:49</t>
        </is>
      </c>
      <c r="D896" s="33" t="n">
        <v>0</v>
      </c>
      <c r="E896" s="33" t="n">
        <v>7</v>
      </c>
      <c r="G896" s="33" t="n">
        <v>0</v>
      </c>
      <c r="H896" s="33" t="n">
        <v>754</v>
      </c>
      <c r="I896" s="33" t="inlineStr">
        <is>
          <t>us</t>
        </is>
      </c>
      <c r="J896" s="33" t="n">
        <v>0</v>
      </c>
      <c r="K896" s="33" t="n">
        <v>0</v>
      </c>
      <c r="L896" s="33" t="n">
        <v>0</v>
      </c>
      <c r="M896" s="33" t="inlineStr">
        <is>
          <t>mwc</t>
        </is>
      </c>
      <c r="N896" s="33" t="n">
        <v>10</v>
      </c>
      <c r="O896" s="33" t="n">
        <v>-2.961</v>
      </c>
      <c r="P896" s="33" t="n">
        <v>141.926</v>
      </c>
      <c r="Q896" s="33" t="inlineStr">
        <is>
          <t>Aitape, Papua New Guinea</t>
        </is>
      </c>
      <c r="S896" s="33" t="inlineStr">
        <is>
          <t>Papua New Guinea</t>
        </is>
      </c>
      <c r="T896" s="36">
        <f>DATE(MID(C896,7,4),MID(C896,4,2),MID(C896,1,2))+TIME(MID(C896,12,2),MID(C896,15,2),0)</f>
        <v/>
      </c>
      <c r="U896" s="33">
        <f>IF(ISNUMBER(VALUE(MID(A896,7,1))),"Distance-prefix pattern","Named-region pattern")</f>
        <v/>
      </c>
      <c r="V896" s="33">
        <f>LOWER(M896)</f>
        <v/>
      </c>
      <c r="W896" s="33">
        <f>IF(COUNTIFS($A$2:$A$1001,A896,$C$2:$C$1001,C896)&gt;1,"Duplicate","Unique")</f>
        <v/>
      </c>
      <c r="X896" s="33">
        <f>YEAR(T896)</f>
        <v/>
      </c>
      <c r="Y896" s="33">
        <f>IF(B896&lt;6.5,"&lt;6.5",IF(B896&lt;7,"6.5–6.9",IF(B896&lt;7.5,"7.0–7.4",IF(B896&lt;8,"7.5–7.9","8.0+"))))</f>
        <v/>
      </c>
      <c r="Z896" s="33">
        <f>IF(F896="","Blank",F896)</f>
        <v/>
      </c>
    </row>
    <row r="897" ht="15" customHeight="1" s="34">
      <c r="A897" s="33" t="inlineStr">
        <is>
          <t>M 7.0 - 52 km SE of Lata, Solomon Islands</t>
        </is>
      </c>
      <c r="B897" s="33" t="n">
        <v>7</v>
      </c>
      <c r="C897" s="33" t="inlineStr">
        <is>
          <t>16/07/1998 11:56</t>
        </is>
      </c>
      <c r="D897" s="33" t="n">
        <v>0</v>
      </c>
      <c r="E897" s="33" t="n">
        <v>7</v>
      </c>
      <c r="G897" s="33" t="n">
        <v>0</v>
      </c>
      <c r="H897" s="33" t="n">
        <v>754</v>
      </c>
      <c r="I897" s="33" t="inlineStr">
        <is>
          <t>us</t>
        </is>
      </c>
      <c r="J897" s="33" t="n">
        <v>0</v>
      </c>
      <c r="K897" s="33" t="n">
        <v>0</v>
      </c>
      <c r="L897" s="33" t="n">
        <v>0</v>
      </c>
      <c r="M897" s="33" t="inlineStr">
        <is>
          <t>mwc</t>
        </is>
      </c>
      <c r="N897" s="33" t="n">
        <v>110.2</v>
      </c>
      <c r="O897" s="33" t="n">
        <v>-11.04</v>
      </c>
      <c r="P897" s="33" t="n">
        <v>166.16</v>
      </c>
      <c r="Q897" s="33" t="inlineStr">
        <is>
          <t>Lata, Solomon Islands</t>
        </is>
      </c>
      <c r="S897" s="33" t="inlineStr">
        <is>
          <t>Solomon Islands</t>
        </is>
      </c>
      <c r="T897" s="36">
        <f>DATE(MID(C897,7,4),MID(C897,4,2),MID(C897,1,2))+TIME(MID(C897,12,2),MID(C897,15,2),0)</f>
        <v/>
      </c>
      <c r="U897" s="33">
        <f>IF(ISNUMBER(VALUE(MID(A897,7,1))),"Distance-prefix pattern","Named-region pattern")</f>
        <v/>
      </c>
      <c r="V897" s="33">
        <f>LOWER(M897)</f>
        <v/>
      </c>
      <c r="W897" s="33">
        <f>IF(COUNTIFS($A$2:$A$1001,A897,$C$2:$C$1001,C897)&gt;1,"Duplicate","Unique")</f>
        <v/>
      </c>
      <c r="X897" s="33">
        <f>YEAR(T897)</f>
        <v/>
      </c>
      <c r="Y897" s="33">
        <f>IF(B897&lt;6.5,"&lt;6.5",IF(B897&lt;7,"6.5–6.9",IF(B897&lt;7.5,"7.0–7.4",IF(B897&lt;8,"7.5–7.9","8.0+"))))</f>
        <v/>
      </c>
      <c r="Z897" s="33">
        <f>IF(F897="","Blank",F897)</f>
        <v/>
      </c>
    </row>
    <row r="898" ht="15" customHeight="1" s="34">
      <c r="A898" s="33" t="inlineStr">
        <is>
          <t>M 6.6 - 24 km E of Rust?q, Afghanistan</t>
        </is>
      </c>
      <c r="B898" s="33" t="n">
        <v>6.6</v>
      </c>
      <c r="C898" s="33" t="inlineStr">
        <is>
          <t>30/05/1998 06:22</t>
        </is>
      </c>
      <c r="D898" s="33" t="n">
        <v>0</v>
      </c>
      <c r="E898" s="33" t="n">
        <v>6</v>
      </c>
      <c r="G898" s="33" t="n">
        <v>0</v>
      </c>
      <c r="H898" s="33" t="n">
        <v>670</v>
      </c>
      <c r="I898" s="33" t="inlineStr">
        <is>
          <t>us</t>
        </is>
      </c>
      <c r="J898" s="33" t="n">
        <v>0</v>
      </c>
      <c r="K898" s="33" t="n">
        <v>0</v>
      </c>
      <c r="L898" s="33" t="n">
        <v>0</v>
      </c>
      <c r="M898" s="33" t="inlineStr">
        <is>
          <t>mwb</t>
        </is>
      </c>
      <c r="N898" s="33" t="n">
        <v>33</v>
      </c>
      <c r="O898" s="33" t="n">
        <v>37.106</v>
      </c>
      <c r="P898" s="33" t="n">
        <v>70.11</v>
      </c>
      <c r="Q898" s="33" t="inlineStr">
        <is>
          <t>Rust?q, Afghanistan</t>
        </is>
      </c>
      <c r="R898" s="33" t="inlineStr">
        <is>
          <t>Asia</t>
        </is>
      </c>
      <c r="S898" s="33" t="inlineStr">
        <is>
          <t>Afghanistan</t>
        </is>
      </c>
      <c r="T898" s="36">
        <f>DATE(MID(C898,7,4),MID(C898,4,2),MID(C898,1,2))+TIME(MID(C898,12,2),MID(C898,15,2),0)</f>
        <v/>
      </c>
      <c r="U898" s="33">
        <f>IF(ISNUMBER(VALUE(MID(A898,7,1))),"Distance-prefix pattern","Named-region pattern")</f>
        <v/>
      </c>
      <c r="V898" s="33">
        <f>LOWER(M898)</f>
        <v/>
      </c>
      <c r="W898" s="33">
        <f>IF(COUNTIFS($A$2:$A$1001,A898,$C$2:$C$1001,C898)&gt;1,"Duplicate","Unique")</f>
        <v/>
      </c>
      <c r="X898" s="33">
        <f>YEAR(T898)</f>
        <v/>
      </c>
      <c r="Y898" s="33">
        <f>IF(B898&lt;6.5,"&lt;6.5",IF(B898&lt;7,"6.5–6.9",IF(B898&lt;7.5,"7.0–7.4",IF(B898&lt;8,"7.5–7.9","8.0+"))))</f>
        <v/>
      </c>
      <c r="Z898" s="33">
        <f>IF(F898="","Blank",F898)</f>
        <v/>
      </c>
    </row>
    <row r="899" ht="15" customHeight="1" s="34">
      <c r="A899" s="33" t="inlineStr">
        <is>
          <t>M 6.6 - 25 km NNW of Mizque, Bolivia</t>
        </is>
      </c>
      <c r="B899" s="33" t="n">
        <v>6.6</v>
      </c>
      <c r="C899" s="33" t="inlineStr">
        <is>
          <t>22/05/1998 04:48</t>
        </is>
      </c>
      <c r="D899" s="33" t="n">
        <v>0</v>
      </c>
      <c r="E899" s="33" t="n">
        <v>8</v>
      </c>
      <c r="G899" s="33" t="n">
        <v>0</v>
      </c>
      <c r="H899" s="33" t="n">
        <v>670</v>
      </c>
      <c r="I899" s="33" t="inlineStr">
        <is>
          <t>us</t>
        </is>
      </c>
      <c r="J899" s="33" t="n">
        <v>0</v>
      </c>
      <c r="K899" s="33" t="n">
        <v>0</v>
      </c>
      <c r="L899" s="33" t="n">
        <v>0</v>
      </c>
      <c r="M899" s="33" t="inlineStr">
        <is>
          <t>mwb</t>
        </is>
      </c>
      <c r="N899" s="33" t="n">
        <v>24</v>
      </c>
      <c r="O899" s="33" t="n">
        <v>-17.731</v>
      </c>
      <c r="P899" s="33" t="n">
        <v>-65.431</v>
      </c>
      <c r="Q899" s="33" t="inlineStr">
        <is>
          <t>Mizque, Bolivia</t>
        </is>
      </c>
      <c r="R899" s="33" t="inlineStr">
        <is>
          <t>South America</t>
        </is>
      </c>
      <c r="S899" s="33" t="inlineStr">
        <is>
          <t>Bolivia</t>
        </is>
      </c>
      <c r="T899" s="36">
        <f>DATE(MID(C899,7,4),MID(C899,4,2),MID(C899,1,2))+TIME(MID(C899,12,2),MID(C899,15,2),0)</f>
        <v/>
      </c>
      <c r="U899" s="33">
        <f>IF(ISNUMBER(VALUE(MID(A899,7,1))),"Distance-prefix pattern","Named-region pattern")</f>
        <v/>
      </c>
      <c r="V899" s="33">
        <f>LOWER(M899)</f>
        <v/>
      </c>
      <c r="W899" s="33">
        <f>IF(COUNTIFS($A$2:$A$1001,A899,$C$2:$C$1001,C899)&gt;1,"Duplicate","Unique")</f>
        <v/>
      </c>
      <c r="X899" s="33">
        <f>YEAR(T899)</f>
        <v/>
      </c>
      <c r="Y899" s="33">
        <f>IF(B899&lt;6.5,"&lt;6.5",IF(B899&lt;7,"6.5–6.9",IF(B899&lt;7.5,"7.0–7.4",IF(B899&lt;8,"7.5–7.9","8.0+"))))</f>
        <v/>
      </c>
      <c r="Z899" s="33">
        <f>IF(F899="","Blank",F899)</f>
        <v/>
      </c>
    </row>
    <row r="900" ht="15" customHeight="1" s="34">
      <c r="A900" s="33" t="inlineStr">
        <is>
          <t>M 6.7 - 127 km NNW of Palu, Indonesia</t>
        </is>
      </c>
      <c r="B900" s="33" t="n">
        <v>6.7</v>
      </c>
      <c r="C900" s="33" t="inlineStr">
        <is>
          <t>21/05/1998 05:34</t>
        </is>
      </c>
      <c r="D900" s="33" t="n">
        <v>0</v>
      </c>
      <c r="E900" s="33" t="n">
        <v>6</v>
      </c>
      <c r="G900" s="33" t="n">
        <v>0</v>
      </c>
      <c r="H900" s="33" t="n">
        <v>691</v>
      </c>
      <c r="I900" s="33" t="inlineStr">
        <is>
          <t>us</t>
        </is>
      </c>
      <c r="J900" s="33" t="n">
        <v>0</v>
      </c>
      <c r="K900" s="33" t="n">
        <v>0</v>
      </c>
      <c r="L900" s="33" t="n">
        <v>0</v>
      </c>
      <c r="M900" s="33" t="inlineStr">
        <is>
          <t>mwb</t>
        </is>
      </c>
      <c r="N900" s="33" t="n">
        <v>33</v>
      </c>
      <c r="O900" s="33" t="n">
        <v>0.207</v>
      </c>
      <c r="P900" s="33" t="n">
        <v>119.584</v>
      </c>
      <c r="Q900" s="33" t="inlineStr">
        <is>
          <t>Palu, Indonesia</t>
        </is>
      </c>
      <c r="S900" s="33" t="inlineStr">
        <is>
          <t>Indonesia</t>
        </is>
      </c>
      <c r="T900" s="36">
        <f>DATE(MID(C900,7,4),MID(C900,4,2),MID(C900,1,2))+TIME(MID(C900,12,2),MID(C900,15,2),0)</f>
        <v/>
      </c>
      <c r="U900" s="33">
        <f>IF(ISNUMBER(VALUE(MID(A900,7,1))),"Distance-prefix pattern","Named-region pattern")</f>
        <v/>
      </c>
      <c r="V900" s="33">
        <f>LOWER(M900)</f>
        <v/>
      </c>
      <c r="W900" s="33">
        <f>IF(COUNTIFS($A$2:$A$1001,A900,$C$2:$C$1001,C900)&gt;1,"Duplicate","Unique")</f>
        <v/>
      </c>
      <c r="X900" s="33">
        <f>YEAR(T900)</f>
        <v/>
      </c>
      <c r="Y900" s="33">
        <f>IF(B900&lt;6.5,"&lt;6.5",IF(B900&lt;7,"6.5–6.9",IF(B900&lt;7.5,"7.0–7.4",IF(B900&lt;8,"7.5–7.9","8.0+"))))</f>
        <v/>
      </c>
      <c r="Z900" s="33">
        <f>IF(F900="","Blank",F900)</f>
        <v/>
      </c>
    </row>
    <row r="901" ht="15" customHeight="1" s="34">
      <c r="A901" s="33" t="inlineStr">
        <is>
          <t>M 6.6 - 108 km SW of Kokopo, Papua New Guinea</t>
        </is>
      </c>
      <c r="B901" s="33" t="n">
        <v>6.6</v>
      </c>
      <c r="C901" s="33" t="inlineStr">
        <is>
          <t>13/05/1998 23:02</t>
        </is>
      </c>
      <c r="D901" s="33" t="n">
        <v>0</v>
      </c>
      <c r="E901" s="33" t="n">
        <v>6</v>
      </c>
      <c r="G901" s="33" t="n">
        <v>0</v>
      </c>
      <c r="H901" s="33" t="n">
        <v>670</v>
      </c>
      <c r="I901" s="33" t="inlineStr">
        <is>
          <t>us</t>
        </is>
      </c>
      <c r="J901" s="33" t="n">
        <v>0</v>
      </c>
      <c r="K901" s="33" t="n">
        <v>0</v>
      </c>
      <c r="L901" s="33" t="n">
        <v>0</v>
      </c>
      <c r="M901" s="33" t="inlineStr">
        <is>
          <t>mwc</t>
        </is>
      </c>
      <c r="N901" s="33" t="n">
        <v>61.4</v>
      </c>
      <c r="O901" s="33" t="n">
        <v>-5.147</v>
      </c>
      <c r="P901" s="33" t="n">
        <v>151.714</v>
      </c>
      <c r="Q901" s="33" t="inlineStr">
        <is>
          <t>Kokopo, Papua New Guinea</t>
        </is>
      </c>
      <c r="S901" s="33" t="inlineStr">
        <is>
          <t>Papua New Guinea</t>
        </is>
      </c>
      <c r="T901" s="36">
        <f>DATE(MID(C901,7,4),MID(C901,4,2),MID(C901,1,2))+TIME(MID(C901,12,2),MID(C901,15,2),0)</f>
        <v/>
      </c>
      <c r="U901" s="33">
        <f>IF(ISNUMBER(VALUE(MID(A901,7,1))),"Distance-prefix pattern","Named-region pattern")</f>
        <v/>
      </c>
      <c r="V901" s="33">
        <f>LOWER(M901)</f>
        <v/>
      </c>
      <c r="W901" s="33">
        <f>IF(COUNTIFS($A$2:$A$1001,A901,$C$2:$C$1001,C901)&gt;1,"Duplicate","Unique")</f>
        <v/>
      </c>
      <c r="X901" s="33">
        <f>YEAR(T901)</f>
        <v/>
      </c>
      <c r="Y901" s="33">
        <f>IF(B901&lt;6.5,"&lt;6.5",IF(B901&lt;7,"6.5–6.9",IF(B901&lt;7.5,"7.0–7.4",IF(B901&lt;8,"7.5–7.9","8.0+"))))</f>
        <v/>
      </c>
      <c r="Z901" s="33">
        <f>IF(F901="","Blank",F901)</f>
        <v/>
      </c>
    </row>
    <row r="902" ht="15" customHeight="1" s="34">
      <c r="A902" s="33" t="inlineStr">
        <is>
          <t>M 7.5 - 254 km SSE of Ishigaki, Japan</t>
        </is>
      </c>
      <c r="B902" s="33" t="n">
        <v>7.5</v>
      </c>
      <c r="C902" s="33" t="inlineStr">
        <is>
          <t>03/05/1998 23:30</t>
        </is>
      </c>
      <c r="D902" s="33" t="n">
        <v>0</v>
      </c>
      <c r="E902" s="33" t="n">
        <v>5</v>
      </c>
      <c r="G902" s="33" t="n">
        <v>0</v>
      </c>
      <c r="H902" s="33" t="n">
        <v>865</v>
      </c>
      <c r="I902" s="33" t="inlineStr">
        <is>
          <t>us</t>
        </is>
      </c>
      <c r="J902" s="33" t="n">
        <v>0</v>
      </c>
      <c r="K902" s="33" t="n">
        <v>0</v>
      </c>
      <c r="L902" s="33" t="n">
        <v>0</v>
      </c>
      <c r="M902" s="33" t="inlineStr">
        <is>
          <t>mwb</t>
        </is>
      </c>
      <c r="N902" s="33" t="n">
        <v>33</v>
      </c>
      <c r="O902" s="33" t="n">
        <v>22.306</v>
      </c>
      <c r="P902" s="33" t="n">
        <v>125.308</v>
      </c>
      <c r="Q902" s="33" t="inlineStr">
        <is>
          <t>Ishigaki, Japan</t>
        </is>
      </c>
      <c r="T902" s="36">
        <f>DATE(MID(C902,7,4),MID(C902,4,2),MID(C902,1,2))+TIME(MID(C902,12,2),MID(C902,15,2),0)</f>
        <v/>
      </c>
      <c r="U902" s="33">
        <f>IF(ISNUMBER(VALUE(MID(A902,7,1))),"Distance-prefix pattern","Named-region pattern")</f>
        <v/>
      </c>
      <c r="V902" s="33">
        <f>LOWER(M902)</f>
        <v/>
      </c>
      <c r="W902" s="33">
        <f>IF(COUNTIFS($A$2:$A$1001,A902,$C$2:$C$1001,C902)&gt;1,"Duplicate","Unique")</f>
        <v/>
      </c>
      <c r="X902" s="33">
        <f>YEAR(T902)</f>
        <v/>
      </c>
      <c r="Y902" s="33">
        <f>IF(B902&lt;6.5,"&lt;6.5",IF(B902&lt;7,"6.5–6.9",IF(B902&lt;7.5,"7.0–7.4",IF(B902&lt;8,"7.5–7.9","8.0+"))))</f>
        <v/>
      </c>
      <c r="Z902" s="33">
        <f>IF(F902="","Blank",F902)</f>
        <v/>
      </c>
    </row>
    <row r="903" ht="15" customHeight="1" s="34">
      <c r="A903" s="33" t="inlineStr">
        <is>
          <t>M 6.6 - 43 km NE of San Fernando, Peru</t>
        </is>
      </c>
      <c r="B903" s="33" t="n">
        <v>6.6</v>
      </c>
      <c r="C903" s="33" t="inlineStr">
        <is>
          <t>03/04/1998 22:01</t>
        </is>
      </c>
      <c r="D903" s="33" t="n">
        <v>0</v>
      </c>
      <c r="E903" s="33" t="n">
        <v>5</v>
      </c>
      <c r="G903" s="33" t="n">
        <v>0</v>
      </c>
      <c r="H903" s="33" t="n">
        <v>670</v>
      </c>
      <c r="I903" s="33" t="inlineStr">
        <is>
          <t>us</t>
        </is>
      </c>
      <c r="J903" s="33" t="n">
        <v>0</v>
      </c>
      <c r="K903" s="33" t="n">
        <v>0</v>
      </c>
      <c r="L903" s="33" t="n">
        <v>0</v>
      </c>
      <c r="M903" s="33" t="inlineStr">
        <is>
          <t>mwc</t>
        </is>
      </c>
      <c r="N903" s="33" t="n">
        <v>164.6</v>
      </c>
      <c r="O903" s="33" t="n">
        <v>-8.148</v>
      </c>
      <c r="P903" s="33" t="n">
        <v>-74.238</v>
      </c>
      <c r="Q903" s="33" t="inlineStr">
        <is>
          <t>San Fernando, Peru</t>
        </is>
      </c>
      <c r="R903" s="33" t="inlineStr">
        <is>
          <t>South America</t>
        </is>
      </c>
      <c r="S903" s="33" t="inlineStr">
        <is>
          <t>Peru</t>
        </is>
      </c>
      <c r="T903" s="36">
        <f>DATE(MID(C903,7,4),MID(C903,4,2),MID(C903,1,2))+TIME(MID(C903,12,2),MID(C903,15,2),0)</f>
        <v/>
      </c>
      <c r="U903" s="33">
        <f>IF(ISNUMBER(VALUE(MID(A903,7,1))),"Distance-prefix pattern","Named-region pattern")</f>
        <v/>
      </c>
      <c r="V903" s="33">
        <f>LOWER(M903)</f>
        <v/>
      </c>
      <c r="W903" s="33">
        <f>IF(COUNTIFS($A$2:$A$1001,A903,$C$2:$C$1001,C903)&gt;1,"Duplicate","Unique")</f>
        <v/>
      </c>
      <c r="X903" s="33">
        <f>YEAR(T903)</f>
        <v/>
      </c>
      <c r="Y903" s="33">
        <f>IF(B903&lt;6.5,"&lt;6.5",IF(B903&lt;7,"6.5–6.9",IF(B903&lt;7.5,"7.0–7.4",IF(B903&lt;8,"7.5–7.9","8.0+"))))</f>
        <v/>
      </c>
      <c r="Z903" s="33">
        <f>IF(F903="","Blank",F903)</f>
        <v/>
      </c>
    </row>
    <row r="904" ht="15" customHeight="1" s="34">
      <c r="A904" s="33" t="inlineStr">
        <is>
          <t>M 7.0 - 95 km W of Pariaman, Indonesia</t>
        </is>
      </c>
      <c r="B904" s="33" t="n">
        <v>7</v>
      </c>
      <c r="C904" s="33" t="inlineStr">
        <is>
          <t>01/04/1998 17:56</t>
        </is>
      </c>
      <c r="D904" s="33" t="n">
        <v>0</v>
      </c>
      <c r="E904" s="33" t="n">
        <v>6</v>
      </c>
      <c r="G904" s="33" t="n">
        <v>0</v>
      </c>
      <c r="H904" s="33" t="n">
        <v>754</v>
      </c>
      <c r="I904" s="33" t="inlineStr">
        <is>
          <t>us</t>
        </is>
      </c>
      <c r="J904" s="33" t="n">
        <v>0</v>
      </c>
      <c r="K904" s="33" t="n">
        <v>0</v>
      </c>
      <c r="L904" s="33" t="n">
        <v>0</v>
      </c>
      <c r="M904" s="33" t="inlineStr">
        <is>
          <t>mwc</t>
        </is>
      </c>
      <c r="N904" s="33" t="n">
        <v>55.7</v>
      </c>
      <c r="O904" s="33" t="n">
        <v>-0.544</v>
      </c>
      <c r="P904" s="33" t="n">
        <v>99.261</v>
      </c>
      <c r="Q904" s="33" t="inlineStr">
        <is>
          <t>Pariaman, Indonesia</t>
        </is>
      </c>
      <c r="S904" s="33" t="inlineStr">
        <is>
          <t>Indonesia</t>
        </is>
      </c>
      <c r="T904" s="36">
        <f>DATE(MID(C904,7,4),MID(C904,4,2),MID(C904,1,2))+TIME(MID(C904,12,2),MID(C904,15,2),0)</f>
        <v/>
      </c>
      <c r="U904" s="33">
        <f>IF(ISNUMBER(VALUE(MID(A904,7,1))),"Distance-prefix pattern","Named-region pattern")</f>
        <v/>
      </c>
      <c r="V904" s="33">
        <f>LOWER(M904)</f>
        <v/>
      </c>
      <c r="W904" s="33">
        <f>IF(COUNTIFS($A$2:$A$1001,A904,$C$2:$C$1001,C904)&gt;1,"Duplicate","Unique")</f>
        <v/>
      </c>
      <c r="X904" s="33">
        <f>YEAR(T904)</f>
        <v/>
      </c>
      <c r="Y904" s="33">
        <f>IF(B904&lt;6.5,"&lt;6.5",IF(B904&lt;7,"6.5–6.9",IF(B904&lt;7.5,"7.0–7.4",IF(B904&lt;8,"7.5–7.9","8.0+"))))</f>
        <v/>
      </c>
      <c r="Z904" s="33">
        <f>IF(F904="","Blank",F904)</f>
        <v/>
      </c>
    </row>
    <row r="905" ht="15" customHeight="1" s="34">
      <c r="A905" s="33" t="inlineStr">
        <is>
          <t>M 6.6 - 52 km ESE of Kerman, Iran</t>
        </is>
      </c>
      <c r="B905" s="33" t="n">
        <v>6.6</v>
      </c>
      <c r="C905" s="33" t="inlineStr">
        <is>
          <t>14/03/1998 19:40</t>
        </is>
      </c>
      <c r="D905" s="33" t="n">
        <v>0</v>
      </c>
      <c r="E905" s="33" t="n">
        <v>8</v>
      </c>
      <c r="G905" s="33" t="n">
        <v>0</v>
      </c>
      <c r="H905" s="33" t="n">
        <v>670</v>
      </c>
      <c r="I905" s="33" t="inlineStr">
        <is>
          <t>us</t>
        </is>
      </c>
      <c r="J905" s="33" t="n">
        <v>0</v>
      </c>
      <c r="K905" s="33" t="n">
        <v>0</v>
      </c>
      <c r="L905" s="33" t="n">
        <v>0</v>
      </c>
      <c r="M905" s="33" t="inlineStr">
        <is>
          <t>mwc</t>
        </is>
      </c>
      <c r="N905" s="33" t="n">
        <v>9</v>
      </c>
      <c r="O905" s="33" t="n">
        <v>30.154</v>
      </c>
      <c r="P905" s="33" t="n">
        <v>57.605</v>
      </c>
      <c r="Q905" s="33" t="inlineStr">
        <is>
          <t>Kerman, Iran</t>
        </is>
      </c>
      <c r="R905" s="33" t="inlineStr">
        <is>
          <t>Asia</t>
        </is>
      </c>
      <c r="S905" s="33" t="inlineStr">
        <is>
          <t>Iran</t>
        </is>
      </c>
      <c r="T905" s="36">
        <f>DATE(MID(C905,7,4),MID(C905,4,2),MID(C905,1,2))+TIME(MID(C905,12,2),MID(C905,15,2),0)</f>
        <v/>
      </c>
      <c r="U905" s="33">
        <f>IF(ISNUMBER(VALUE(MID(A905,7,1))),"Distance-prefix pattern","Named-region pattern")</f>
        <v/>
      </c>
      <c r="V905" s="33">
        <f>LOWER(M905)</f>
        <v/>
      </c>
      <c r="W905" s="33">
        <f>IF(COUNTIFS($A$2:$A$1001,A905,$C$2:$C$1001,C905)&gt;1,"Duplicate","Unique")</f>
        <v/>
      </c>
      <c r="X905" s="33">
        <f>YEAR(T905)</f>
        <v/>
      </c>
      <c r="Y905" s="33">
        <f>IF(B905&lt;6.5,"&lt;6.5",IF(B905&lt;7,"6.5–6.9",IF(B905&lt;7.5,"7.0–7.4",IF(B905&lt;8,"7.5–7.9","8.0+"))))</f>
        <v/>
      </c>
      <c r="Z905" s="33">
        <f>IF(F905="","Blank",F905)</f>
        <v/>
      </c>
    </row>
    <row r="906" ht="15" customHeight="1" s="34">
      <c r="A906" s="33" t="inlineStr">
        <is>
          <t>M 7.1 - 34 km SSE of Antofagasta, Chile</t>
        </is>
      </c>
      <c r="B906" s="33" t="n">
        <v>7.1</v>
      </c>
      <c r="C906" s="33" t="inlineStr">
        <is>
          <t>30/01/1998 12:16</t>
        </is>
      </c>
      <c r="D906" s="33" t="n">
        <v>0</v>
      </c>
      <c r="E906" s="33" t="n">
        <v>7</v>
      </c>
      <c r="G906" s="33" t="n">
        <v>0</v>
      </c>
      <c r="H906" s="33" t="n">
        <v>776</v>
      </c>
      <c r="I906" s="33" t="inlineStr">
        <is>
          <t>us</t>
        </is>
      </c>
      <c r="J906" s="33" t="n">
        <v>0</v>
      </c>
      <c r="K906" s="33" t="n">
        <v>0</v>
      </c>
      <c r="L906" s="33" t="n">
        <v>0</v>
      </c>
      <c r="M906" s="33" t="inlineStr">
        <is>
          <t>mwc</t>
        </is>
      </c>
      <c r="N906" s="33" t="n">
        <v>42</v>
      </c>
      <c r="O906" s="33" t="n">
        <v>-23.913</v>
      </c>
      <c r="P906" s="33" t="n">
        <v>-70.20699999999999</v>
      </c>
      <c r="Q906" s="33" t="inlineStr">
        <is>
          <t>Ant</t>
        </is>
      </c>
      <c r="R906" s="33" t="inlineStr">
        <is>
          <t>South America</t>
        </is>
      </c>
      <c r="S906" s="33" t="inlineStr">
        <is>
          <t>Chile</t>
        </is>
      </c>
      <c r="T906" s="36">
        <f>DATE(MID(C906,7,4),MID(C906,4,2),MID(C906,1,2))+TIME(MID(C906,12,2),MID(C906,15,2),0)</f>
        <v/>
      </c>
      <c r="U906" s="33">
        <f>IF(ISNUMBER(VALUE(MID(A906,7,1))),"Distance-prefix pattern","Named-region pattern")</f>
        <v/>
      </c>
      <c r="V906" s="33">
        <f>LOWER(M906)</f>
        <v/>
      </c>
      <c r="W906" s="33">
        <f>IF(COUNTIFS($A$2:$A$1001,A906,$C$2:$C$1001,C906)&gt;1,"Duplicate","Unique")</f>
        <v/>
      </c>
      <c r="X906" s="33">
        <f>YEAR(T906)</f>
        <v/>
      </c>
      <c r="Y906" s="33">
        <f>IF(B906&lt;6.5,"&lt;6.5",IF(B906&lt;7,"6.5–6.9",IF(B906&lt;7.5,"7.0–7.4",IF(B906&lt;8,"7.5–7.9","8.0+"))))</f>
        <v/>
      </c>
      <c r="Z906" s="33">
        <f>IF(F906="","Blank",F906)</f>
        <v/>
      </c>
    </row>
    <row r="907" ht="15" customHeight="1" s="34">
      <c r="A907" s="33" t="inlineStr">
        <is>
          <t>M 6.7 - 149 km ENE of Labasa, Fiji</t>
        </is>
      </c>
      <c r="B907" s="33" t="n">
        <v>6.7</v>
      </c>
      <c r="C907" s="33" t="inlineStr">
        <is>
          <t>12/01/1998 16:36</t>
        </is>
      </c>
      <c r="D907" s="33" t="n">
        <v>0</v>
      </c>
      <c r="E907" s="33" t="n">
        <v>6</v>
      </c>
      <c r="G907" s="33" t="n">
        <v>0</v>
      </c>
      <c r="H907" s="33" t="n">
        <v>691</v>
      </c>
      <c r="I907" s="33" t="inlineStr">
        <is>
          <t>us</t>
        </is>
      </c>
      <c r="J907" s="33" t="n">
        <v>0</v>
      </c>
      <c r="K907" s="33" t="n">
        <v>0</v>
      </c>
      <c r="L907" s="33" t="n">
        <v>0</v>
      </c>
      <c r="M907" s="33" t="inlineStr">
        <is>
          <t>mwc</t>
        </is>
      </c>
      <c r="N907" s="33" t="n">
        <v>23.4</v>
      </c>
      <c r="O907" s="33" t="n">
        <v>-15.848</v>
      </c>
      <c r="P907" s="33" t="n">
        <v>-179.376</v>
      </c>
      <c r="Q907" s="33" t="inlineStr">
        <is>
          <t>Labasa, Fiji</t>
        </is>
      </c>
      <c r="S907" s="33" t="inlineStr">
        <is>
          <t>Fiji</t>
        </is>
      </c>
      <c r="T907" s="36">
        <f>DATE(MID(C907,7,4),MID(C907,4,2),MID(C907,1,2))+TIME(MID(C907,12,2),MID(C907,15,2),0)</f>
        <v/>
      </c>
      <c r="U907" s="33">
        <f>IF(ISNUMBER(VALUE(MID(A907,7,1))),"Distance-prefix pattern","Named-region pattern")</f>
        <v/>
      </c>
      <c r="V907" s="33">
        <f>LOWER(M907)</f>
        <v/>
      </c>
      <c r="W907" s="33">
        <f>IF(COUNTIFS($A$2:$A$1001,A907,$C$2:$C$1001,C907)&gt;1,"Duplicate","Unique")</f>
        <v/>
      </c>
      <c r="X907" s="33">
        <f>YEAR(T907)</f>
        <v/>
      </c>
      <c r="Y907" s="33">
        <f>IF(B907&lt;6.5,"&lt;6.5",IF(B907&lt;7,"6.5–6.9",IF(B907&lt;7.5,"7.0–7.4",IF(B907&lt;8,"7.5–7.9","8.0+"))))</f>
        <v/>
      </c>
      <c r="Z907" s="33">
        <f>IF(F907="","Blank",F907)</f>
        <v/>
      </c>
    </row>
    <row r="908" ht="15" customHeight="1" s="34">
      <c r="A908" s="33" t="inlineStr">
        <is>
          <t>M 6.6 - 47 km SSW of Ovalle, Chile</t>
        </is>
      </c>
      <c r="B908" s="33" t="n">
        <v>6.6</v>
      </c>
      <c r="C908" s="33" t="inlineStr">
        <is>
          <t>12/01/1998 10:14</t>
        </is>
      </c>
      <c r="D908" s="33" t="n">
        <v>0</v>
      </c>
      <c r="E908" s="33" t="n">
        <v>7</v>
      </c>
      <c r="G908" s="33" t="n">
        <v>0</v>
      </c>
      <c r="H908" s="33" t="n">
        <v>670</v>
      </c>
      <c r="I908" s="33" t="inlineStr">
        <is>
          <t>us</t>
        </is>
      </c>
      <c r="J908" s="33" t="n">
        <v>0</v>
      </c>
      <c r="K908" s="33" t="n">
        <v>0</v>
      </c>
      <c r="L908" s="33" t="n">
        <v>0</v>
      </c>
      <c r="M908" s="33" t="inlineStr">
        <is>
          <t>mwc</t>
        </is>
      </c>
      <c r="N908" s="33" t="n">
        <v>34.8</v>
      </c>
      <c r="O908" s="33" t="n">
        <v>-30.985</v>
      </c>
      <c r="P908" s="33" t="n">
        <v>-71.41</v>
      </c>
      <c r="Q908" s="33" t="inlineStr">
        <is>
          <t>Ovalle, Chile</t>
        </is>
      </c>
      <c r="R908" s="33" t="inlineStr">
        <is>
          <t>South America</t>
        </is>
      </c>
      <c r="S908" s="33" t="inlineStr">
        <is>
          <t>Chile</t>
        </is>
      </c>
      <c r="T908" s="36">
        <f>DATE(MID(C908,7,4),MID(C908,4,2),MID(C908,1,2))+TIME(MID(C908,12,2),MID(C908,15,2),0)</f>
        <v/>
      </c>
      <c r="U908" s="33">
        <f>IF(ISNUMBER(VALUE(MID(A908,7,1))),"Distance-prefix pattern","Named-region pattern")</f>
        <v/>
      </c>
      <c r="V908" s="33">
        <f>LOWER(M908)</f>
        <v/>
      </c>
      <c r="W908" s="33">
        <f>IF(COUNTIFS($A$2:$A$1001,A908,$C$2:$C$1001,C908)&gt;1,"Duplicate","Unique")</f>
        <v/>
      </c>
      <c r="X908" s="33">
        <f>YEAR(T908)</f>
        <v/>
      </c>
      <c r="Y908" s="33">
        <f>IF(B908&lt;6.5,"&lt;6.5",IF(B908&lt;7,"6.5–6.9",IF(B908&lt;7.5,"7.0–7.4",IF(B908&lt;8,"7.5–7.9","8.0+"))))</f>
        <v/>
      </c>
      <c r="Z908" s="33">
        <f>IF(F908="","Blank",F908)</f>
        <v/>
      </c>
    </row>
    <row r="909" ht="15" customHeight="1" s="34">
      <c r="A909" s="33" t="inlineStr">
        <is>
          <t>M 6.6 - 10 km SSW of San José El Ídolo, Guatemala</t>
        </is>
      </c>
      <c r="B909" s="33" t="n">
        <v>6.6</v>
      </c>
      <c r="C909" s="33" t="inlineStr">
        <is>
          <t>10/01/1998 08:20</t>
        </is>
      </c>
      <c r="D909" s="33" t="n">
        <v>0</v>
      </c>
      <c r="E909" s="33" t="n">
        <v>6</v>
      </c>
      <c r="G909" s="33" t="n">
        <v>0</v>
      </c>
      <c r="H909" s="33" t="n">
        <v>670</v>
      </c>
      <c r="I909" s="33" t="inlineStr">
        <is>
          <t>us</t>
        </is>
      </c>
      <c r="J909" s="33" t="n">
        <v>0</v>
      </c>
      <c r="K909" s="33" t="n">
        <v>0</v>
      </c>
      <c r="L909" s="33" t="n">
        <v>0</v>
      </c>
      <c r="M909" s="33" t="inlineStr">
        <is>
          <t>mwc</t>
        </is>
      </c>
      <c r="N909" s="33" t="n">
        <v>33</v>
      </c>
      <c r="O909" s="33" t="n">
        <v>14.374</v>
      </c>
      <c r="P909" s="33" t="n">
        <v>-91.473</v>
      </c>
      <c r="Q909" s="33" t="inlineStr">
        <is>
          <t>San José El Ídolo, Guatemala</t>
        </is>
      </c>
      <c r="S909" s="33" t="inlineStr">
        <is>
          <t>Guatemala</t>
        </is>
      </c>
      <c r="T909" s="36">
        <f>DATE(MID(C909,7,4),MID(C909,4,2),MID(C909,1,2))+TIME(MID(C909,12,2),MID(C909,15,2),0)</f>
        <v/>
      </c>
      <c r="U909" s="33">
        <f>IF(ISNUMBER(VALUE(MID(A909,7,1))),"Distance-prefix pattern","Named-region pattern")</f>
        <v/>
      </c>
      <c r="V909" s="33">
        <f>LOWER(M909)</f>
        <v/>
      </c>
      <c r="W909" s="33">
        <f>IF(COUNTIFS($A$2:$A$1001,A909,$C$2:$C$1001,C909)&gt;1,"Duplicate","Unique")</f>
        <v/>
      </c>
      <c r="X909" s="33">
        <f>YEAR(T909)</f>
        <v/>
      </c>
      <c r="Y909" s="33">
        <f>IF(B909&lt;6.5,"&lt;6.5",IF(B909&lt;7,"6.5–6.9",IF(B909&lt;7.5,"7.0–7.4",IF(B909&lt;8,"7.5–7.9","8.0+"))))</f>
        <v/>
      </c>
      <c r="Z909" s="33">
        <f>IF(F909="","Blank",F909)</f>
        <v/>
      </c>
    </row>
    <row r="910" ht="15" customHeight="1" s="34">
      <c r="A910" s="33" t="inlineStr">
        <is>
          <t>M 7.2 - 117 km N of Finschhafen, Papua New Guinea</t>
        </is>
      </c>
      <c r="B910" s="33" t="n">
        <v>7.2</v>
      </c>
      <c r="C910" s="33" t="inlineStr">
        <is>
          <t>22/12/1997 02:05</t>
        </is>
      </c>
      <c r="D910" s="33" t="n">
        <v>0</v>
      </c>
      <c r="E910" s="33" t="n">
        <v>6</v>
      </c>
      <c r="G910" s="33" t="n">
        <v>0</v>
      </c>
      <c r="H910" s="33" t="n">
        <v>798</v>
      </c>
      <c r="I910" s="33" t="inlineStr">
        <is>
          <t>us</t>
        </is>
      </c>
      <c r="J910" s="33" t="n">
        <v>0</v>
      </c>
      <c r="K910" s="33" t="n">
        <v>0</v>
      </c>
      <c r="L910" s="33" t="n">
        <v>0</v>
      </c>
      <c r="M910" s="33" t="inlineStr">
        <is>
          <t>mwc</t>
        </is>
      </c>
      <c r="N910" s="33" t="n">
        <v>179.3</v>
      </c>
      <c r="O910" s="33" t="n">
        <v>-5.495</v>
      </c>
      <c r="P910" s="33" t="n">
        <v>147.867</v>
      </c>
      <c r="Q910" s="33" t="inlineStr">
        <is>
          <t>Finschhafen, Papua New Guinea</t>
        </is>
      </c>
      <c r="S910" s="33" t="inlineStr">
        <is>
          <t>Papua New Guinea</t>
        </is>
      </c>
      <c r="T910" s="36">
        <f>DATE(MID(C910,7,4),MID(C910,4,2),MID(C910,1,2))+TIME(MID(C910,12,2),MID(C910,15,2),0)</f>
        <v/>
      </c>
      <c r="U910" s="33">
        <f>IF(ISNUMBER(VALUE(MID(A910,7,1))),"Distance-prefix pattern","Named-region pattern")</f>
        <v/>
      </c>
      <c r="V910" s="33">
        <f>LOWER(M910)</f>
        <v/>
      </c>
      <c r="W910" s="33">
        <f>IF(COUNTIFS($A$2:$A$1001,A910,$C$2:$C$1001,C910)&gt;1,"Duplicate","Unique")</f>
        <v/>
      </c>
      <c r="X910" s="33">
        <f>YEAR(T910)</f>
        <v/>
      </c>
      <c r="Y910" s="33">
        <f>IF(B910&lt;6.5,"&lt;6.5",IF(B910&lt;7,"6.5–6.9",IF(B910&lt;7.5,"7.0–7.4",IF(B910&lt;8,"7.5–7.9","8.0+"))))</f>
        <v/>
      </c>
      <c r="Z910" s="33">
        <f>IF(F910="","Blank",F910)</f>
        <v/>
      </c>
    </row>
    <row r="911" ht="15" customHeight="1" s="34">
      <c r="A911" s="33" t="inlineStr">
        <is>
          <t>M 7.8 - 156 km S of Ust’-Kamchatsk Staryy, Russia</t>
        </is>
      </c>
      <c r="B911" s="33" t="n">
        <v>7.8</v>
      </c>
      <c r="C911" s="33" t="inlineStr">
        <is>
          <t>05/12/1997 11:26</t>
        </is>
      </c>
      <c r="D911" s="33" t="n">
        <v>0</v>
      </c>
      <c r="E911" s="33" t="n">
        <v>7</v>
      </c>
      <c r="G911" s="33" t="n">
        <v>0</v>
      </c>
      <c r="H911" s="33" t="n">
        <v>936</v>
      </c>
      <c r="I911" s="33" t="inlineStr">
        <is>
          <t>us</t>
        </is>
      </c>
      <c r="J911" s="33" t="n">
        <v>0</v>
      </c>
      <c r="K911" s="33" t="n">
        <v>0</v>
      </c>
      <c r="L911" s="33" t="n">
        <v>0</v>
      </c>
      <c r="M911" s="33" t="inlineStr">
        <is>
          <t>mwc</t>
        </is>
      </c>
      <c r="N911" s="33" t="n">
        <v>33</v>
      </c>
      <c r="O911" s="33" t="n">
        <v>54.841</v>
      </c>
      <c r="P911" s="33" t="n">
        <v>162.035</v>
      </c>
      <c r="Q911" s="33" t="inlineStr">
        <is>
          <t>Ust’-Kamchatsk Staryy, Russia</t>
        </is>
      </c>
      <c r="R911" s="33" t="inlineStr">
        <is>
          <t>Asia</t>
        </is>
      </c>
      <c r="S911" s="33" t="inlineStr">
        <is>
          <t>Russia</t>
        </is>
      </c>
      <c r="T911" s="36">
        <f>DATE(MID(C911,7,4),MID(C911,4,2),MID(C911,1,2))+TIME(MID(C911,12,2),MID(C911,15,2),0)</f>
        <v/>
      </c>
      <c r="U911" s="33">
        <f>IF(ISNUMBER(VALUE(MID(A911,7,1))),"Distance-prefix pattern","Named-region pattern")</f>
        <v/>
      </c>
      <c r="V911" s="33">
        <f>LOWER(M911)</f>
        <v/>
      </c>
      <c r="W911" s="33">
        <f>IF(COUNTIFS($A$2:$A$1001,A911,$C$2:$C$1001,C911)&gt;1,"Duplicate","Unique")</f>
        <v/>
      </c>
      <c r="X911" s="33">
        <f>YEAR(T911)</f>
        <v/>
      </c>
      <c r="Y911" s="33">
        <f>IF(B911&lt;6.5,"&lt;6.5",IF(B911&lt;7,"6.5–6.9",IF(B911&lt;7.5,"7.0–7.4",IF(B911&lt;8,"7.5–7.9","8.0+"))))</f>
        <v/>
      </c>
      <c r="Z911" s="33">
        <f>IF(F911="","Blank",F911)</f>
        <v/>
      </c>
    </row>
    <row r="912" ht="15" customHeight="1" s="34">
      <c r="A912" s="33" t="inlineStr">
        <is>
          <t>M 7.0 - 97 km NW of Gorontalo, Indonesia</t>
        </is>
      </c>
      <c r="B912" s="33" t="n">
        <v>7</v>
      </c>
      <c r="C912" s="33" t="inlineStr">
        <is>
          <t>25/11/1997 12:14</t>
        </is>
      </c>
      <c r="D912" s="33" t="n">
        <v>0</v>
      </c>
      <c r="E912" s="33" t="n">
        <v>6</v>
      </c>
      <c r="G912" s="33" t="n">
        <v>0</v>
      </c>
      <c r="H912" s="33" t="n">
        <v>754</v>
      </c>
      <c r="I912" s="33" t="inlineStr">
        <is>
          <t>us</t>
        </is>
      </c>
      <c r="J912" s="33" t="n">
        <v>0</v>
      </c>
      <c r="K912" s="33" t="n">
        <v>0</v>
      </c>
      <c r="L912" s="33" t="n">
        <v>0</v>
      </c>
      <c r="M912" s="33" t="inlineStr">
        <is>
          <t>mwc</t>
        </is>
      </c>
      <c r="N912" s="33" t="n">
        <v>24</v>
      </c>
      <c r="O912" s="33" t="n">
        <v>1.241</v>
      </c>
      <c r="P912" s="33" t="n">
        <v>122.536</v>
      </c>
      <c r="Q912" s="33" t="inlineStr">
        <is>
          <t>Gorontalo, Indonesia</t>
        </is>
      </c>
      <c r="S912" s="33" t="inlineStr">
        <is>
          <t>Indonesia</t>
        </is>
      </c>
      <c r="T912" s="36">
        <f>DATE(MID(C912,7,4),MID(C912,4,2),MID(C912,1,2))+TIME(MID(C912,12,2),MID(C912,15,2),0)</f>
        <v/>
      </c>
      <c r="U912" s="33">
        <f>IF(ISNUMBER(VALUE(MID(A912,7,1))),"Distance-prefix pattern","Named-region pattern")</f>
        <v/>
      </c>
      <c r="V912" s="33">
        <f>LOWER(M912)</f>
        <v/>
      </c>
      <c r="W912" s="33">
        <f>IF(COUNTIFS($A$2:$A$1001,A912,$C$2:$C$1001,C912)&gt;1,"Duplicate","Unique")</f>
        <v/>
      </c>
      <c r="X912" s="33">
        <f>YEAR(T912)</f>
        <v/>
      </c>
      <c r="Y912" s="33">
        <f>IF(B912&lt;6.5,"&lt;6.5",IF(B912&lt;7,"6.5–6.9",IF(B912&lt;7.5,"7.0–7.4",IF(B912&lt;8,"7.5–7.9","8.0+"))))</f>
        <v/>
      </c>
      <c r="Z912" s="33">
        <f>IF(F912="","Blank",F912)</f>
        <v/>
      </c>
    </row>
    <row r="913" ht="15" customHeight="1" s="34">
      <c r="A913" s="33" t="inlineStr">
        <is>
          <t>M 6.6 - 22 km SW of Lithakiá, Greece</t>
        </is>
      </c>
      <c r="B913" s="33" t="n">
        <v>6.6</v>
      </c>
      <c r="C913" s="33" t="inlineStr">
        <is>
          <t>18/11/1997 13:07</t>
        </is>
      </c>
      <c r="D913" s="33" t="n">
        <v>0</v>
      </c>
      <c r="E913" s="33" t="n">
        <v>7</v>
      </c>
      <c r="G913" s="33" t="n">
        <v>0</v>
      </c>
      <c r="H913" s="33" t="n">
        <v>670</v>
      </c>
      <c r="I913" s="33" t="inlineStr">
        <is>
          <t>us</t>
        </is>
      </c>
      <c r="J913" s="33" t="n">
        <v>0</v>
      </c>
      <c r="K913" s="33" t="n">
        <v>0</v>
      </c>
      <c r="L913" s="33" t="n">
        <v>0</v>
      </c>
      <c r="M913" s="33" t="inlineStr">
        <is>
          <t>mwc</t>
        </is>
      </c>
      <c r="N913" s="33" t="n">
        <v>33</v>
      </c>
      <c r="O913" s="33" t="n">
        <v>37.57</v>
      </c>
      <c r="P913" s="33" t="n">
        <v>20.656</v>
      </c>
      <c r="Q913" s="33" t="inlineStr">
        <is>
          <t>Lithakiá, Greece</t>
        </is>
      </c>
      <c r="R913" s="33" t="inlineStr">
        <is>
          <t>Europe</t>
        </is>
      </c>
      <c r="T913" s="36">
        <f>DATE(MID(C913,7,4),MID(C913,4,2),MID(C913,1,2))+TIME(MID(C913,12,2),MID(C913,15,2),0)</f>
        <v/>
      </c>
      <c r="U913" s="33">
        <f>IF(ISNUMBER(VALUE(MID(A913,7,1))),"Distance-prefix pattern","Named-region pattern")</f>
        <v/>
      </c>
      <c r="V913" s="33">
        <f>LOWER(M913)</f>
        <v/>
      </c>
      <c r="W913" s="33">
        <f>IF(COUNTIFS($A$2:$A$1001,A913,$C$2:$C$1001,C913)&gt;1,"Duplicate","Unique")</f>
        <v/>
      </c>
      <c r="X913" s="33">
        <f>YEAR(T913)</f>
        <v/>
      </c>
      <c r="Y913" s="33">
        <f>IF(B913&lt;6.5,"&lt;6.5",IF(B913&lt;7,"6.5–6.9",IF(B913&lt;7.5,"7.0–7.4",IF(B913&lt;8,"7.5–7.9","8.0+"))))</f>
        <v/>
      </c>
      <c r="Z913" s="33">
        <f>IF(F913="","Blank",F913)</f>
        <v/>
      </c>
    </row>
    <row r="914" ht="15" customHeight="1" s="34">
      <c r="A914" s="33" t="inlineStr">
        <is>
          <t>M 7.0 - 34 km ESE of Port-Olry, Vanuatu</t>
        </is>
      </c>
      <c r="B914" s="33" t="n">
        <v>7</v>
      </c>
      <c r="C914" s="33" t="inlineStr">
        <is>
          <t>15/11/1997 18:59</t>
        </is>
      </c>
      <c r="D914" s="33" t="n">
        <v>0</v>
      </c>
      <c r="E914" s="33" t="n">
        <v>6</v>
      </c>
      <c r="G914" s="33" t="n">
        <v>0</v>
      </c>
      <c r="H914" s="33" t="n">
        <v>754</v>
      </c>
      <c r="I914" s="33" t="inlineStr">
        <is>
          <t>us</t>
        </is>
      </c>
      <c r="J914" s="33" t="n">
        <v>0</v>
      </c>
      <c r="K914" s="33" t="n">
        <v>0</v>
      </c>
      <c r="L914" s="33" t="n">
        <v>0</v>
      </c>
      <c r="M914" s="33" t="inlineStr">
        <is>
          <t>mwc</t>
        </is>
      </c>
      <c r="N914" s="33" t="n">
        <v>123.1</v>
      </c>
      <c r="O914" s="33" t="n">
        <v>-15.145</v>
      </c>
      <c r="P914" s="33" t="n">
        <v>167.375</v>
      </c>
      <c r="Q914" s="33" t="inlineStr">
        <is>
          <t>Port-Olry, Vanuatu</t>
        </is>
      </c>
      <c r="S914" s="33" t="inlineStr">
        <is>
          <t>Vanuatu</t>
        </is>
      </c>
      <c r="T914" s="36">
        <f>DATE(MID(C914,7,4),MID(C914,4,2),MID(C914,1,2))+TIME(MID(C914,12,2),MID(C914,15,2),0)</f>
        <v/>
      </c>
      <c r="U914" s="33">
        <f>IF(ISNUMBER(VALUE(MID(A914,7,1))),"Distance-prefix pattern","Named-region pattern")</f>
        <v/>
      </c>
      <c r="V914" s="33">
        <f>LOWER(M914)</f>
        <v/>
      </c>
      <c r="W914" s="33">
        <f>IF(COUNTIFS($A$2:$A$1001,A914,$C$2:$C$1001,C914)&gt;1,"Duplicate","Unique")</f>
        <v/>
      </c>
      <c r="X914" s="33">
        <f>YEAR(T914)</f>
        <v/>
      </c>
      <c r="Y914" s="33">
        <f>IF(B914&lt;6.5,"&lt;6.5",IF(B914&lt;7,"6.5–6.9",IF(B914&lt;7.5,"7.0–7.4",IF(B914&lt;8,"7.5–7.9","8.0+"))))</f>
        <v/>
      </c>
      <c r="Z914" s="33">
        <f>IF(F914="","Blank",F914)</f>
        <v/>
      </c>
    </row>
    <row r="915" ht="15" customHeight="1" s="34">
      <c r="A915" s="33" t="inlineStr">
        <is>
          <t>M 6.5 - 13 km NNE of San Sebastián, El Salvador</t>
        </is>
      </c>
      <c r="B915" s="33" t="n">
        <v>6.5</v>
      </c>
      <c r="C915" s="33" t="inlineStr">
        <is>
          <t>09/11/1997 22:56</t>
        </is>
      </c>
      <c r="D915" s="33" t="n">
        <v>0</v>
      </c>
      <c r="E915" s="33" t="n">
        <v>4</v>
      </c>
      <c r="G915" s="33" t="n">
        <v>0</v>
      </c>
      <c r="H915" s="33" t="n">
        <v>650</v>
      </c>
      <c r="I915" s="33" t="inlineStr">
        <is>
          <t>us</t>
        </is>
      </c>
      <c r="J915" s="33" t="n">
        <v>0</v>
      </c>
      <c r="K915" s="33" t="n">
        <v>0</v>
      </c>
      <c r="L915" s="33" t="n">
        <v>0</v>
      </c>
      <c r="M915" s="33" t="inlineStr">
        <is>
          <t>mwb</t>
        </is>
      </c>
      <c r="N915" s="33" t="n">
        <v>176.4</v>
      </c>
      <c r="O915" s="33" t="n">
        <v>13.849</v>
      </c>
      <c r="P915" s="33" t="n">
        <v>-88.80800000000001</v>
      </c>
      <c r="Q915" s="33" t="inlineStr">
        <is>
          <t>San Sebastián, El Salvador</t>
        </is>
      </c>
      <c r="S915" s="33" t="inlineStr">
        <is>
          <t>El Salvador</t>
        </is>
      </c>
      <c r="T915" s="36">
        <f>DATE(MID(C915,7,4),MID(C915,4,2),MID(C915,1,2))+TIME(MID(C915,12,2),MID(C915,15,2),0)</f>
        <v/>
      </c>
      <c r="U915" s="33">
        <f>IF(ISNUMBER(VALUE(MID(A915,7,1))),"Distance-prefix pattern","Named-region pattern")</f>
        <v/>
      </c>
      <c r="V915" s="33">
        <f>LOWER(M915)</f>
        <v/>
      </c>
      <c r="W915" s="33">
        <f>IF(COUNTIFS($A$2:$A$1001,A915,$C$2:$C$1001,C915)&gt;1,"Duplicate","Unique")</f>
        <v/>
      </c>
      <c r="X915" s="33">
        <f>YEAR(T915)</f>
        <v/>
      </c>
      <c r="Y915" s="33">
        <f>IF(B915&lt;6.5,"&lt;6.5",IF(B915&lt;7,"6.5–6.9",IF(B915&lt;7.5,"7.0–7.4",IF(B915&lt;8,"7.5–7.9","8.0+"))))</f>
        <v/>
      </c>
      <c r="Z915" s="33">
        <f>IF(F915="","Blank",F915)</f>
        <v/>
      </c>
    </row>
    <row r="916" ht="15" customHeight="1" s="34">
      <c r="A916" s="33" t="inlineStr">
        <is>
          <t>M 7.5 - western Xizang</t>
        </is>
      </c>
      <c r="B916" s="33" t="n">
        <v>7.5</v>
      </c>
      <c r="C916" s="33" t="inlineStr">
        <is>
          <t>08/11/1997 10:02</t>
        </is>
      </c>
      <c r="D916" s="33" t="n">
        <v>0</v>
      </c>
      <c r="E916" s="33" t="n">
        <v>7</v>
      </c>
      <c r="G916" s="33" t="n">
        <v>0</v>
      </c>
      <c r="H916" s="33" t="n">
        <v>865</v>
      </c>
      <c r="I916" s="33" t="inlineStr">
        <is>
          <t>us</t>
        </is>
      </c>
      <c r="J916" s="33" t="n">
        <v>0</v>
      </c>
      <c r="K916" s="33" t="n">
        <v>0</v>
      </c>
      <c r="L916" s="33" t="n">
        <v>0</v>
      </c>
      <c r="M916" s="33" t="inlineStr">
        <is>
          <t>mwc</t>
        </is>
      </c>
      <c r="N916" s="33" t="n">
        <v>33</v>
      </c>
      <c r="O916" s="33" t="n">
        <v>35.069</v>
      </c>
      <c r="P916" s="33" t="n">
        <v>87.325</v>
      </c>
      <c r="Q916" s="33" t="inlineStr">
        <is>
          <t>western Xizang</t>
        </is>
      </c>
      <c r="R916" s="33" t="inlineStr">
        <is>
          <t>Asia</t>
        </is>
      </c>
      <c r="S916" s="33" t="inlineStr">
        <is>
          <t>People's Republic of China</t>
        </is>
      </c>
      <c r="T916" s="36">
        <f>DATE(MID(C916,7,4),MID(C916,4,2),MID(C916,1,2))+TIME(MID(C916,12,2),MID(C916,15,2),0)</f>
        <v/>
      </c>
      <c r="U916" s="33">
        <f>IF(ISNUMBER(VALUE(MID(A916,7,1))),"Distance-prefix pattern","Named-region pattern")</f>
        <v/>
      </c>
      <c r="V916" s="33">
        <f>LOWER(M916)</f>
        <v/>
      </c>
      <c r="W916" s="33">
        <f>IF(COUNTIFS($A$2:$A$1001,A916,$C$2:$C$1001,C916)&gt;1,"Duplicate","Unique")</f>
        <v/>
      </c>
      <c r="X916" s="33">
        <f>YEAR(T916)</f>
        <v/>
      </c>
      <c r="Y916" s="33">
        <f>IF(B916&lt;6.5,"&lt;6.5",IF(B916&lt;7,"6.5–6.9",IF(B916&lt;7.5,"7.0–7.4",IF(B916&lt;8,"7.5–7.9","8.0+"))))</f>
        <v/>
      </c>
      <c r="Z916" s="33">
        <f>IF(F916="","Blank",F916)</f>
        <v/>
      </c>
    </row>
    <row r="917" ht="15" customHeight="1" s="34">
      <c r="A917" s="33" t="inlineStr">
        <is>
          <t>M 7.2 - 51 km N of Barranca, Peru</t>
        </is>
      </c>
      <c r="B917" s="33" t="n">
        <v>7.2</v>
      </c>
      <c r="C917" s="33" t="inlineStr">
        <is>
          <t>28/10/1997 06:15</t>
        </is>
      </c>
      <c r="D917" s="33" t="n">
        <v>0</v>
      </c>
      <c r="E917" s="33" t="n">
        <v>7</v>
      </c>
      <c r="G917" s="33" t="n">
        <v>0</v>
      </c>
      <c r="H917" s="33" t="n">
        <v>798</v>
      </c>
      <c r="I917" s="33" t="inlineStr">
        <is>
          <t>us</t>
        </is>
      </c>
      <c r="J917" s="33" t="n">
        <v>0</v>
      </c>
      <c r="K917" s="33" t="n">
        <v>0</v>
      </c>
      <c r="L917" s="33" t="n">
        <v>0</v>
      </c>
      <c r="M917" s="33" t="inlineStr">
        <is>
          <t>mwc</t>
        </is>
      </c>
      <c r="N917" s="33" t="n">
        <v>112</v>
      </c>
      <c r="O917" s="33" t="n">
        <v>-4.368</v>
      </c>
      <c r="P917" s="33" t="n">
        <v>-76.681</v>
      </c>
      <c r="Q917" s="33" t="inlineStr">
        <is>
          <t>Barranca, Peru</t>
        </is>
      </c>
      <c r="R917" s="33" t="inlineStr">
        <is>
          <t>South America</t>
        </is>
      </c>
      <c r="S917" s="33" t="inlineStr">
        <is>
          <t>Peru</t>
        </is>
      </c>
      <c r="T917" s="36">
        <f>DATE(MID(C917,7,4),MID(C917,4,2),MID(C917,1,2))+TIME(MID(C917,12,2),MID(C917,15,2),0)</f>
        <v/>
      </c>
      <c r="U917" s="33">
        <f>IF(ISNUMBER(VALUE(MID(A917,7,1))),"Distance-prefix pattern","Named-region pattern")</f>
        <v/>
      </c>
      <c r="V917" s="33">
        <f>LOWER(M917)</f>
        <v/>
      </c>
      <c r="W917" s="33">
        <f>IF(COUNTIFS($A$2:$A$1001,A917,$C$2:$C$1001,C917)&gt;1,"Duplicate","Unique")</f>
        <v/>
      </c>
      <c r="X917" s="33">
        <f>YEAR(T917)</f>
        <v/>
      </c>
      <c r="Y917" s="33">
        <f>IF(B917&lt;6.5,"&lt;6.5",IF(B917&lt;7,"6.5–6.9",IF(B917&lt;7.5,"7.0–7.4",IF(B917&lt;8,"7.5–7.9","8.0+"))))</f>
        <v/>
      </c>
      <c r="Z917" s="33">
        <f>IF(F917="","Blank",F917)</f>
        <v/>
      </c>
    </row>
    <row r="918" ht="15" customHeight="1" s="34">
      <c r="A918" s="33" t="inlineStr">
        <is>
          <t>M 7.1 - 36 km SW of Monte Patria, Chile</t>
        </is>
      </c>
      <c r="B918" s="33" t="n">
        <v>7.1</v>
      </c>
      <c r="C918" s="33" t="inlineStr">
        <is>
          <t>15/10/1997 01:03</t>
        </is>
      </c>
      <c r="D918" s="33" t="n">
        <v>0</v>
      </c>
      <c r="E918" s="33" t="n">
        <v>7</v>
      </c>
      <c r="G918" s="33" t="n">
        <v>0</v>
      </c>
      <c r="H918" s="33" t="n">
        <v>776</v>
      </c>
      <c r="I918" s="33" t="inlineStr">
        <is>
          <t>us</t>
        </is>
      </c>
      <c r="J918" s="33" t="n">
        <v>0</v>
      </c>
      <c r="K918" s="33" t="n">
        <v>0</v>
      </c>
      <c r="L918" s="33" t="n">
        <v>0</v>
      </c>
      <c r="M918" s="33" t="inlineStr">
        <is>
          <t>mwc</t>
        </is>
      </c>
      <c r="N918" s="33" t="n">
        <v>58</v>
      </c>
      <c r="O918" s="33" t="n">
        <v>-30.933</v>
      </c>
      <c r="P918" s="33" t="n">
        <v>-71.22</v>
      </c>
      <c r="Q918" s="33" t="inlineStr">
        <is>
          <t>Monte Patria, Chile</t>
        </is>
      </c>
      <c r="R918" s="33" t="inlineStr">
        <is>
          <t>South America</t>
        </is>
      </c>
      <c r="S918" s="33" t="inlineStr">
        <is>
          <t>Chile</t>
        </is>
      </c>
      <c r="T918" s="36">
        <f>DATE(MID(C918,7,4),MID(C918,4,2),MID(C918,1,2))+TIME(MID(C918,12,2),MID(C918,15,2),0)</f>
        <v/>
      </c>
      <c r="U918" s="33">
        <f>IF(ISNUMBER(VALUE(MID(A918,7,1))),"Distance-prefix pattern","Named-region pattern")</f>
        <v/>
      </c>
      <c r="V918" s="33">
        <f>LOWER(M918)</f>
        <v/>
      </c>
      <c r="W918" s="33">
        <f>IF(COUNTIFS($A$2:$A$1001,A918,$C$2:$C$1001,C918)&gt;1,"Duplicate","Unique")</f>
        <v/>
      </c>
      <c r="X918" s="33">
        <f>YEAR(T918)</f>
        <v/>
      </c>
      <c r="Y918" s="33">
        <f>IF(B918&lt;6.5,"&lt;6.5",IF(B918&lt;7,"6.5–6.9",IF(B918&lt;7.5,"7.0–7.4",IF(B918&lt;8,"7.5–7.9","8.0+"))))</f>
        <v/>
      </c>
      <c r="Z918" s="33">
        <f>IF(F918="","Blank",F918)</f>
        <v/>
      </c>
    </row>
    <row r="919" ht="15" customHeight="1" s="34">
      <c r="A919" s="33" t="inlineStr">
        <is>
          <t>M 7.8 - 192 km WSW of Haveluloto, Tonga</t>
        </is>
      </c>
      <c r="B919" s="33" t="n">
        <v>7.8</v>
      </c>
      <c r="C919" s="33" t="inlineStr">
        <is>
          <t>14/10/1997 09:53</t>
        </is>
      </c>
      <c r="D919" s="33" t="n">
        <v>0</v>
      </c>
      <c r="E919" s="33" t="n">
        <v>7</v>
      </c>
      <c r="G919" s="33" t="n">
        <v>0</v>
      </c>
      <c r="H919" s="33" t="n">
        <v>936</v>
      </c>
      <c r="I919" s="33" t="inlineStr">
        <is>
          <t>us</t>
        </is>
      </c>
      <c r="J919" s="33" t="n">
        <v>0</v>
      </c>
      <c r="K919" s="33" t="n">
        <v>0</v>
      </c>
      <c r="L919" s="33" t="n">
        <v>0</v>
      </c>
      <c r="M919" s="33" t="inlineStr">
        <is>
          <t>mwb</t>
        </is>
      </c>
      <c r="N919" s="33" t="n">
        <v>167.3</v>
      </c>
      <c r="O919" s="33" t="n">
        <v>-22.101</v>
      </c>
      <c r="P919" s="33" t="n">
        <v>-176.772</v>
      </c>
      <c r="Q919" s="33" t="inlineStr">
        <is>
          <t>Haveluloto, Tonga</t>
        </is>
      </c>
      <c r="T919" s="36">
        <f>DATE(MID(C919,7,4),MID(C919,4,2),MID(C919,1,2))+TIME(MID(C919,12,2),MID(C919,15,2),0)</f>
        <v/>
      </c>
      <c r="U919" s="33">
        <f>IF(ISNUMBER(VALUE(MID(A919,7,1))),"Distance-prefix pattern","Named-region pattern")</f>
        <v/>
      </c>
      <c r="V919" s="33">
        <f>LOWER(M919)</f>
        <v/>
      </c>
      <c r="W919" s="33">
        <f>IF(COUNTIFS($A$2:$A$1001,A919,$C$2:$C$1001,C919)&gt;1,"Duplicate","Unique")</f>
        <v/>
      </c>
      <c r="X919" s="33">
        <f>YEAR(T919)</f>
        <v/>
      </c>
      <c r="Y919" s="33">
        <f>IF(B919&lt;6.5,"&lt;6.5",IF(B919&lt;7,"6.5–6.9",IF(B919&lt;7.5,"7.0–7.4",IF(B919&lt;8,"7.5–7.9","8.0+"))))</f>
        <v/>
      </c>
      <c r="Z919" s="33">
        <f>IF(F919="","Blank",F919)</f>
        <v/>
      </c>
    </row>
    <row r="920" ht="15" customHeight="1" s="34">
      <c r="A920" s="33" t="inlineStr">
        <is>
          <t>M 6.5 - 18 km E of Talisay, Philippines</t>
        </is>
      </c>
      <c r="B920" s="33" t="n">
        <v>6.5</v>
      </c>
      <c r="C920" s="33" t="inlineStr">
        <is>
          <t>06/10/1997 12:30</t>
        </is>
      </c>
      <c r="D920" s="33" t="n">
        <v>0</v>
      </c>
      <c r="E920" s="33" t="n">
        <v>5</v>
      </c>
      <c r="G920" s="33" t="n">
        <v>0</v>
      </c>
      <c r="H920" s="33" t="n">
        <v>650</v>
      </c>
      <c r="I920" s="33" t="inlineStr">
        <is>
          <t>us</t>
        </is>
      </c>
      <c r="J920" s="33" t="n">
        <v>0</v>
      </c>
      <c r="K920" s="33" t="n">
        <v>0</v>
      </c>
      <c r="L920" s="33" t="n">
        <v>0</v>
      </c>
      <c r="M920" s="33" t="inlineStr">
        <is>
          <t>mwb</t>
        </is>
      </c>
      <c r="N920" s="33" t="n">
        <v>105.6</v>
      </c>
      <c r="O920" s="33" t="n">
        <v>9.789999999999999</v>
      </c>
      <c r="P920" s="33" t="n">
        <v>125.779</v>
      </c>
      <c r="Q920" s="33" t="inlineStr">
        <is>
          <t>Talisay, Philippines</t>
        </is>
      </c>
      <c r="S920" s="33" t="inlineStr">
        <is>
          <t>Philippines</t>
        </is>
      </c>
      <c r="T920" s="36">
        <f>DATE(MID(C920,7,4),MID(C920,4,2),MID(C920,1,2))+TIME(MID(C920,12,2),MID(C920,15,2),0)</f>
        <v/>
      </c>
      <c r="U920" s="33">
        <f>IF(ISNUMBER(VALUE(MID(A920,7,1))),"Distance-prefix pattern","Named-region pattern")</f>
        <v/>
      </c>
      <c r="V920" s="33">
        <f>LOWER(M920)</f>
        <v/>
      </c>
      <c r="W920" s="33">
        <f>IF(COUNTIFS($A$2:$A$1001,A920,$C$2:$C$1001,C920)&gt;1,"Duplicate","Unique")</f>
        <v/>
      </c>
      <c r="X920" s="33">
        <f>YEAR(T920)</f>
        <v/>
      </c>
      <c r="Y920" s="33">
        <f>IF(B920&lt;6.5,"&lt;6.5",IF(B920&lt;7,"6.5–6.9",IF(B920&lt;7.5,"7.0–7.4",IF(B920&lt;8,"7.5–7.9","8.0+"))))</f>
        <v/>
      </c>
      <c r="Z920" s="33">
        <f>IF(F920="","Blank",F920)</f>
        <v/>
      </c>
    </row>
    <row r="921" ht="15" customHeight="1" s="34">
      <c r="A921" s="33" t="inlineStr">
        <is>
          <t>M 6.8 - 24 km SW of Roncesvalles, Colombia</t>
        </is>
      </c>
      <c r="B921" s="33" t="n">
        <v>6.8</v>
      </c>
      <c r="C921" s="33" t="inlineStr">
        <is>
          <t>02/09/1997 12:13</t>
        </is>
      </c>
      <c r="D921" s="33" t="n">
        <v>0</v>
      </c>
      <c r="E921" s="33" t="n">
        <v>5</v>
      </c>
      <c r="G921" s="33" t="n">
        <v>0</v>
      </c>
      <c r="H921" s="33" t="n">
        <v>711</v>
      </c>
      <c r="I921" s="33" t="inlineStr">
        <is>
          <t>us</t>
        </is>
      </c>
      <c r="J921" s="33" t="n">
        <v>0</v>
      </c>
      <c r="K921" s="33" t="n">
        <v>0</v>
      </c>
      <c r="L921" s="33" t="n">
        <v>0</v>
      </c>
      <c r="M921" s="33" t="inlineStr">
        <is>
          <t>mwb</t>
        </is>
      </c>
      <c r="N921" s="33" t="n">
        <v>198.7</v>
      </c>
      <c r="O921" s="33" t="n">
        <v>3.849</v>
      </c>
      <c r="P921" s="33" t="n">
        <v>-75.749</v>
      </c>
      <c r="Q921" s="33" t="inlineStr">
        <is>
          <t>Roncesvalles, Colombia</t>
        </is>
      </c>
      <c r="R921" s="33" t="inlineStr">
        <is>
          <t>South America</t>
        </is>
      </c>
      <c r="S921" s="33" t="inlineStr">
        <is>
          <t>Colombia</t>
        </is>
      </c>
      <c r="T921" s="36">
        <f>DATE(MID(C921,7,4),MID(C921,4,2),MID(C921,1,2))+TIME(MID(C921,12,2),MID(C921,15,2),0)</f>
        <v/>
      </c>
      <c r="U921" s="33">
        <f>IF(ISNUMBER(VALUE(MID(A921,7,1))),"Distance-prefix pattern","Named-region pattern")</f>
        <v/>
      </c>
      <c r="V921" s="33">
        <f>LOWER(M921)</f>
        <v/>
      </c>
      <c r="W921" s="33">
        <f>IF(COUNTIFS($A$2:$A$1001,A921,$C$2:$C$1001,C921)&gt;1,"Duplicate","Unique")</f>
        <v/>
      </c>
      <c r="X921" s="33">
        <f>YEAR(T921)</f>
        <v/>
      </c>
      <c r="Y921" s="33">
        <f>IF(B921&lt;6.5,"&lt;6.5",IF(B921&lt;7,"6.5–6.9",IF(B921&lt;7.5,"7.0–7.4",IF(B921&lt;8,"7.5–7.9","8.0+"))))</f>
        <v/>
      </c>
      <c r="Z921" s="33">
        <f>IF(F921="","Blank",F921)</f>
        <v/>
      </c>
    </row>
    <row r="922" ht="15" customHeight="1" s="34">
      <c r="A922" s="33" t="inlineStr">
        <is>
          <t>M 6.6 - 64 km NNE of Angoram, Papua New Guinea</t>
        </is>
      </c>
      <c r="B922" s="33" t="n">
        <v>6.6</v>
      </c>
      <c r="C922" s="33" t="inlineStr">
        <is>
          <t>29/08/1997 08:14</t>
        </is>
      </c>
      <c r="D922" s="33" t="n">
        <v>0</v>
      </c>
      <c r="E922" s="33" t="n">
        <v>6</v>
      </c>
      <c r="G922" s="33" t="n">
        <v>0</v>
      </c>
      <c r="H922" s="33" t="n">
        <v>670</v>
      </c>
      <c r="I922" s="33" t="inlineStr">
        <is>
          <t>us</t>
        </is>
      </c>
      <c r="J922" s="33" t="n">
        <v>0</v>
      </c>
      <c r="K922" s="33" t="n">
        <v>0</v>
      </c>
      <c r="L922" s="33" t="n">
        <v>0</v>
      </c>
      <c r="M922" s="33" t="inlineStr">
        <is>
          <t>mwc</t>
        </is>
      </c>
      <c r="N922" s="33" t="n">
        <v>22.8</v>
      </c>
      <c r="O922" s="33" t="n">
        <v>-3.562</v>
      </c>
      <c r="P922" s="33" t="n">
        <v>144.362</v>
      </c>
      <c r="Q922" s="33" t="inlineStr">
        <is>
          <t>Angoram, Papua New Guinea</t>
        </is>
      </c>
      <c r="S922" s="33" t="inlineStr">
        <is>
          <t>Papua New Guinea</t>
        </is>
      </c>
      <c r="T922" s="36">
        <f>DATE(MID(C922,7,4),MID(C922,4,2),MID(C922,1,2))+TIME(MID(C922,12,2),MID(C922,15,2),0)</f>
        <v/>
      </c>
      <c r="U922" s="33">
        <f>IF(ISNUMBER(VALUE(MID(A922,7,1))),"Distance-prefix pattern","Named-region pattern")</f>
        <v/>
      </c>
      <c r="V922" s="33">
        <f>LOWER(M922)</f>
        <v/>
      </c>
      <c r="W922" s="33">
        <f>IF(COUNTIFS($A$2:$A$1001,A922,$C$2:$C$1001,C922)&gt;1,"Duplicate","Unique")</f>
        <v/>
      </c>
      <c r="X922" s="33">
        <f>YEAR(T922)</f>
        <v/>
      </c>
      <c r="Y922" s="33">
        <f>IF(B922&lt;6.5,"&lt;6.5",IF(B922&lt;7,"6.5–6.9",IF(B922&lt;7.5,"7.0–7.4",IF(B922&lt;8,"7.5–7.9","8.0+"))))</f>
        <v/>
      </c>
      <c r="Z922" s="33">
        <f>IF(F922="","Blank",F922)</f>
        <v/>
      </c>
    </row>
    <row r="923" ht="15" customHeight="1" s="34">
      <c r="A923" s="33" t="inlineStr">
        <is>
          <t>M 6.9 - 4 km ENE of El Ciruelo, Mexico</t>
        </is>
      </c>
      <c r="B923" s="33" t="n">
        <v>6.9</v>
      </c>
      <c r="C923" s="33" t="inlineStr">
        <is>
          <t>19/07/1997 14:22</t>
        </is>
      </c>
      <c r="D923" s="33" t="n">
        <v>0</v>
      </c>
      <c r="E923" s="33" t="n">
        <v>6</v>
      </c>
      <c r="G923" s="33" t="n">
        <v>0</v>
      </c>
      <c r="H923" s="33" t="n">
        <v>732</v>
      </c>
      <c r="I923" s="33" t="inlineStr">
        <is>
          <t>us</t>
        </is>
      </c>
      <c r="J923" s="33" t="n">
        <v>0</v>
      </c>
      <c r="K923" s="33" t="n">
        <v>0</v>
      </c>
      <c r="L923" s="33" t="n">
        <v>0</v>
      </c>
      <c r="M923" s="33" t="inlineStr">
        <is>
          <t>mwb</t>
        </is>
      </c>
      <c r="N923" s="33" t="n">
        <v>33</v>
      </c>
      <c r="O923" s="33" t="n">
        <v>16.333</v>
      </c>
      <c r="P923" s="33" t="n">
        <v>-98.21599999999999</v>
      </c>
      <c r="Q923" s="33" t="inlineStr">
        <is>
          <t>El Ciruelo, Mexico</t>
        </is>
      </c>
      <c r="R923" s="33" t="inlineStr">
        <is>
          <t>North America</t>
        </is>
      </c>
      <c r="S923" s="33" t="inlineStr">
        <is>
          <t>Mexico</t>
        </is>
      </c>
      <c r="T923" s="36">
        <f>DATE(MID(C923,7,4),MID(C923,4,2),MID(C923,1,2))+TIME(MID(C923,12,2),MID(C923,15,2),0)</f>
        <v/>
      </c>
      <c r="U923" s="33">
        <f>IF(ISNUMBER(VALUE(MID(A923,7,1))),"Distance-prefix pattern","Named-region pattern")</f>
        <v/>
      </c>
      <c r="V923" s="33">
        <f>LOWER(M923)</f>
        <v/>
      </c>
      <c r="W923" s="33">
        <f>IF(COUNTIFS($A$2:$A$1001,A923,$C$2:$C$1001,C923)&gt;1,"Duplicate","Unique")</f>
        <v/>
      </c>
      <c r="X923" s="33">
        <f>YEAR(T923)</f>
        <v/>
      </c>
      <c r="Y923" s="33">
        <f>IF(B923&lt;6.5,"&lt;6.5",IF(B923&lt;7,"6.5–6.9",IF(B923&lt;7.5,"7.0–7.4",IF(B923&lt;8,"7.5–7.9","8.0+"))))</f>
        <v/>
      </c>
      <c r="Z923" s="33">
        <f>IF(F923="","Blank",F923)</f>
        <v/>
      </c>
    </row>
    <row r="924" ht="15" customHeight="1" s="34">
      <c r="A924" s="33" t="inlineStr">
        <is>
          <t>M 7.0 - 26 km WSW of Carúpano, Venezuela</t>
        </is>
      </c>
      <c r="B924" s="33" t="n">
        <v>7</v>
      </c>
      <c r="C924" s="33" t="inlineStr">
        <is>
          <t>09/07/1997 19:24</t>
        </is>
      </c>
      <c r="D924" s="33" t="n">
        <v>0</v>
      </c>
      <c r="E924" s="33" t="n">
        <v>8</v>
      </c>
      <c r="G924" s="33" t="n">
        <v>0</v>
      </c>
      <c r="H924" s="33" t="n">
        <v>754</v>
      </c>
      <c r="I924" s="33" t="inlineStr">
        <is>
          <t>us</t>
        </is>
      </c>
      <c r="J924" s="33" t="n">
        <v>0</v>
      </c>
      <c r="K924" s="33" t="n">
        <v>0</v>
      </c>
      <c r="L924" s="33" t="n">
        <v>0</v>
      </c>
      <c r="M924" s="33" t="inlineStr">
        <is>
          <t>mwc</t>
        </is>
      </c>
      <c r="N924" s="33" t="n">
        <v>19.9</v>
      </c>
      <c r="O924" s="33" t="n">
        <v>10.598</v>
      </c>
      <c r="P924" s="33" t="n">
        <v>-63.486</v>
      </c>
      <c r="Q924" s="33" t="inlineStr">
        <is>
          <t>Carúpano, Venezuela</t>
        </is>
      </c>
      <c r="S924" s="33" t="inlineStr">
        <is>
          <t>Venezuela</t>
        </is>
      </c>
      <c r="T924" s="36">
        <f>DATE(MID(C924,7,4),MID(C924,4,2),MID(C924,1,2))+TIME(MID(C924,12,2),MID(C924,15,2),0)</f>
        <v/>
      </c>
      <c r="U924" s="33">
        <f>IF(ISNUMBER(VALUE(MID(A924,7,1))),"Distance-prefix pattern","Named-region pattern")</f>
        <v/>
      </c>
      <c r="V924" s="33">
        <f>LOWER(M924)</f>
        <v/>
      </c>
      <c r="W924" s="33">
        <f>IF(COUNTIFS($A$2:$A$1001,A924,$C$2:$C$1001,C924)&gt;1,"Duplicate","Unique")</f>
        <v/>
      </c>
      <c r="X924" s="33">
        <f>YEAR(T924)</f>
        <v/>
      </c>
      <c r="Y924" s="33">
        <f>IF(B924&lt;6.5,"&lt;6.5",IF(B924&lt;7,"6.5–6.9",IF(B924&lt;7.5,"7.0–7.4",IF(B924&lt;8,"7.5–7.9","8.0+"))))</f>
        <v/>
      </c>
      <c r="Z924" s="33">
        <f>IF(F924="","Blank",F924)</f>
        <v/>
      </c>
    </row>
    <row r="925" ht="15" customHeight="1" s="34">
      <c r="A925" s="33" t="inlineStr">
        <is>
          <t>M 6.8 - 52 km WSW of Coquimbo, Chile</t>
        </is>
      </c>
      <c r="B925" s="33" t="n">
        <v>6.8</v>
      </c>
      <c r="C925" s="33" t="inlineStr">
        <is>
          <t>06/07/1997 09:54</t>
        </is>
      </c>
      <c r="D925" s="33" t="n">
        <v>0</v>
      </c>
      <c r="E925" s="33" t="n">
        <v>6</v>
      </c>
      <c r="G925" s="33" t="n">
        <v>0</v>
      </c>
      <c r="H925" s="33" t="n">
        <v>711</v>
      </c>
      <c r="I925" s="33" t="inlineStr">
        <is>
          <t>us</t>
        </is>
      </c>
      <c r="J925" s="33" t="n">
        <v>0</v>
      </c>
      <c r="K925" s="33" t="n">
        <v>0</v>
      </c>
      <c r="L925" s="33" t="n">
        <v>0</v>
      </c>
      <c r="M925" s="33" t="inlineStr">
        <is>
          <t>mwc</t>
        </is>
      </c>
      <c r="N925" s="33" t="n">
        <v>19</v>
      </c>
      <c r="O925" s="33" t="n">
        <v>-30.058</v>
      </c>
      <c r="P925" s="33" t="n">
        <v>-71.872</v>
      </c>
      <c r="Q925" s="33" t="inlineStr">
        <is>
          <t>Coquimbo, Chile</t>
        </is>
      </c>
      <c r="T925" s="36">
        <f>DATE(MID(C925,7,4),MID(C925,4,2),MID(C925,1,2))+TIME(MID(C925,12,2),MID(C925,15,2),0)</f>
        <v/>
      </c>
      <c r="U925" s="33">
        <f>IF(ISNUMBER(VALUE(MID(A925,7,1))),"Distance-prefix pattern","Named-region pattern")</f>
        <v/>
      </c>
      <c r="V925" s="33">
        <f>LOWER(M925)</f>
        <v/>
      </c>
      <c r="W925" s="33">
        <f>IF(COUNTIFS($A$2:$A$1001,A925,$C$2:$C$1001,C925)&gt;1,"Duplicate","Unique")</f>
        <v/>
      </c>
      <c r="X925" s="33">
        <f>YEAR(T925)</f>
        <v/>
      </c>
      <c r="Y925" s="33">
        <f>IF(B925&lt;6.5,"&lt;6.5",IF(B925&lt;7,"6.5–6.9",IF(B925&lt;7.5,"7.0–7.4",IF(B925&lt;8,"7.5–7.9","8.0+"))))</f>
        <v/>
      </c>
      <c r="Z925" s="33">
        <f>IF(F925="","Blank",F925)</f>
        <v/>
      </c>
    </row>
    <row r="926" ht="15" customHeight="1" s="34">
      <c r="A926" s="33" t="inlineStr">
        <is>
          <t>M 6.5 - 5 km ENE of Churumuco de Morelos, Mexico</t>
        </is>
      </c>
      <c r="B926" s="33" t="n">
        <v>6.5</v>
      </c>
      <c r="C926" s="33" t="inlineStr">
        <is>
          <t>22/05/1997 07:50</t>
        </is>
      </c>
      <c r="D926" s="33" t="n">
        <v>0</v>
      </c>
      <c r="E926" s="33" t="n">
        <v>6</v>
      </c>
      <c r="G926" s="33" t="n">
        <v>0</v>
      </c>
      <c r="H926" s="33" t="n">
        <v>650</v>
      </c>
      <c r="I926" s="33" t="inlineStr">
        <is>
          <t>us</t>
        </is>
      </c>
      <c r="J926" s="33" t="n">
        <v>0</v>
      </c>
      <c r="K926" s="33" t="n">
        <v>0</v>
      </c>
      <c r="L926" s="33" t="n">
        <v>0</v>
      </c>
      <c r="M926" s="33" t="inlineStr">
        <is>
          <t>mwc</t>
        </is>
      </c>
      <c r="N926" s="33" t="n">
        <v>70</v>
      </c>
      <c r="O926" s="33" t="n">
        <v>18.684</v>
      </c>
      <c r="P926" s="33" t="n">
        <v>-101.604</v>
      </c>
      <c r="Q926" s="33" t="inlineStr">
        <is>
          <t>Churumuco de Morelos, Mexico</t>
        </is>
      </c>
      <c r="R926" s="33" t="inlineStr">
        <is>
          <t>North America</t>
        </is>
      </c>
      <c r="S926" s="33" t="inlineStr">
        <is>
          <t>Mexico</t>
        </is>
      </c>
      <c r="T926" s="36">
        <f>DATE(MID(C926,7,4),MID(C926,4,2),MID(C926,1,2))+TIME(MID(C926,12,2),MID(C926,15,2),0)</f>
        <v/>
      </c>
      <c r="U926" s="33">
        <f>IF(ISNUMBER(VALUE(MID(A926,7,1))),"Distance-prefix pattern","Named-region pattern")</f>
        <v/>
      </c>
      <c r="V926" s="33">
        <f>LOWER(M926)</f>
        <v/>
      </c>
      <c r="W926" s="33">
        <f>IF(COUNTIFS($A$2:$A$1001,A926,$C$2:$C$1001,C926)&gt;1,"Duplicate","Unique")</f>
        <v/>
      </c>
      <c r="X926" s="33">
        <f>YEAR(T926)</f>
        <v/>
      </c>
      <c r="Y926" s="33">
        <f>IF(B926&lt;6.5,"&lt;6.5",IF(B926&lt;7,"6.5–6.9",IF(B926&lt;7.5,"7.0–7.4",IF(B926&lt;8,"7.5–7.9","8.0+"))))</f>
        <v/>
      </c>
      <c r="Z926" s="33">
        <f>IF(F926="","Blank",F926)</f>
        <v/>
      </c>
    </row>
    <row r="927" ht="15" customHeight="1" s="34">
      <c r="A927" s="33" t="inlineStr">
        <is>
          <t>M 6.8 - 99 km S of Isangel, Vanuatu</t>
        </is>
      </c>
      <c r="B927" s="33" t="n">
        <v>6.8</v>
      </c>
      <c r="C927" s="33" t="inlineStr">
        <is>
          <t>21/05/1997 14:10</t>
        </is>
      </c>
      <c r="D927" s="33" t="n">
        <v>0</v>
      </c>
      <c r="E927" s="33" t="n">
        <v>6</v>
      </c>
      <c r="G927" s="33" t="n">
        <v>0</v>
      </c>
      <c r="H927" s="33" t="n">
        <v>711</v>
      </c>
      <c r="I927" s="33" t="inlineStr">
        <is>
          <t>us</t>
        </is>
      </c>
      <c r="J927" s="33" t="n">
        <v>0</v>
      </c>
      <c r="K927" s="33" t="n">
        <v>0</v>
      </c>
      <c r="L927" s="33" t="n">
        <v>0</v>
      </c>
      <c r="M927" s="33" t="inlineStr">
        <is>
          <t>mwc</t>
        </is>
      </c>
      <c r="N927" s="33" t="n">
        <v>57</v>
      </c>
      <c r="O927" s="33" t="n">
        <v>-20.438</v>
      </c>
      <c r="P927" s="33" t="n">
        <v>169.287</v>
      </c>
      <c r="Q927" s="33" t="inlineStr">
        <is>
          <t>Isangel, Vanuatu</t>
        </is>
      </c>
      <c r="T927" s="36">
        <f>DATE(MID(C927,7,4),MID(C927,4,2),MID(C927,1,2))+TIME(MID(C927,12,2),MID(C927,15,2),0)</f>
        <v/>
      </c>
      <c r="U927" s="33">
        <f>IF(ISNUMBER(VALUE(MID(A927,7,1))),"Distance-prefix pattern","Named-region pattern")</f>
        <v/>
      </c>
      <c r="V927" s="33">
        <f>LOWER(M927)</f>
        <v/>
      </c>
      <c r="W927" s="33">
        <f>IF(COUNTIFS($A$2:$A$1001,A927,$C$2:$C$1001,C927)&gt;1,"Duplicate","Unique")</f>
        <v/>
      </c>
      <c r="X927" s="33">
        <f>YEAR(T927)</f>
        <v/>
      </c>
      <c r="Y927" s="33">
        <f>IF(B927&lt;6.5,"&lt;6.5",IF(B927&lt;7,"6.5–6.9",IF(B927&lt;7.5,"7.0–7.4",IF(B927&lt;8,"7.5–7.9","8.0+"))))</f>
        <v/>
      </c>
      <c r="Z927" s="33">
        <f>IF(F927="","Blank",F927)</f>
        <v/>
      </c>
    </row>
    <row r="928" ht="15" customHeight="1" s="34">
      <c r="A928" s="33" t="inlineStr">
        <is>
          <t>M 6.5 - 51 km S of Jurm, Afghanistan</t>
        </is>
      </c>
      <c r="B928" s="33" t="n">
        <v>6.5</v>
      </c>
      <c r="C928" s="33" t="inlineStr">
        <is>
          <t>13/05/1997 14:13</t>
        </is>
      </c>
      <c r="D928" s="33" t="n">
        <v>0</v>
      </c>
      <c r="E928" s="33" t="n">
        <v>4</v>
      </c>
      <c r="G928" s="33" t="n">
        <v>0</v>
      </c>
      <c r="H928" s="33" t="n">
        <v>650</v>
      </c>
      <c r="I928" s="33" t="inlineStr">
        <is>
          <t>us</t>
        </is>
      </c>
      <c r="J928" s="33" t="n">
        <v>0</v>
      </c>
      <c r="K928" s="33" t="n">
        <v>0</v>
      </c>
      <c r="L928" s="33" t="n">
        <v>0</v>
      </c>
      <c r="M928" s="33" t="inlineStr">
        <is>
          <t>mwb</t>
        </is>
      </c>
      <c r="N928" s="33" t="n">
        <v>196</v>
      </c>
      <c r="O928" s="33" t="n">
        <v>36.411</v>
      </c>
      <c r="P928" s="33" t="n">
        <v>70.94499999999999</v>
      </c>
      <c r="Q928" s="33" t="inlineStr">
        <is>
          <t>Jurm, Afghanistan</t>
        </is>
      </c>
      <c r="R928" s="33" t="inlineStr">
        <is>
          <t>Asia</t>
        </is>
      </c>
      <c r="S928" s="33" t="inlineStr">
        <is>
          <t>Afghanistan</t>
        </is>
      </c>
      <c r="T928" s="36">
        <f>DATE(MID(C928,7,4),MID(C928,4,2),MID(C928,1,2))+TIME(MID(C928,12,2),MID(C928,15,2),0)</f>
        <v/>
      </c>
      <c r="U928" s="33">
        <f>IF(ISNUMBER(VALUE(MID(A928,7,1))),"Distance-prefix pattern","Named-region pattern")</f>
        <v/>
      </c>
      <c r="V928" s="33">
        <f>LOWER(M928)</f>
        <v/>
      </c>
      <c r="W928" s="33">
        <f>IF(COUNTIFS($A$2:$A$1001,A928,$C$2:$C$1001,C928)&gt;1,"Duplicate","Unique")</f>
        <v/>
      </c>
      <c r="X928" s="33">
        <f>YEAR(T928)</f>
        <v/>
      </c>
      <c r="Y928" s="33">
        <f>IF(B928&lt;6.5,"&lt;6.5",IF(B928&lt;7,"6.5–6.9",IF(B928&lt;7.5,"7.0–7.4",IF(B928&lt;8,"7.5–7.9","8.0+"))))</f>
        <v/>
      </c>
      <c r="Z928" s="33">
        <f>IF(F928="","Blank",F928)</f>
        <v/>
      </c>
    </row>
    <row r="929" ht="15" customHeight="1" s="34">
      <c r="A929" s="33" t="inlineStr">
        <is>
          <t>M 7.3 - 58 km E of Q?’en, Iran</t>
        </is>
      </c>
      <c r="B929" s="33" t="n">
        <v>7.3</v>
      </c>
      <c r="C929" s="33" t="inlineStr">
        <is>
          <t>10/05/1997 07:57</t>
        </is>
      </c>
      <c r="D929" s="33" t="n">
        <v>0</v>
      </c>
      <c r="E929" s="33" t="n">
        <v>9</v>
      </c>
      <c r="G929" s="33" t="n">
        <v>0</v>
      </c>
      <c r="H929" s="33" t="n">
        <v>820</v>
      </c>
      <c r="I929" s="33" t="inlineStr">
        <is>
          <t>us</t>
        </is>
      </c>
      <c r="J929" s="33" t="n">
        <v>0</v>
      </c>
      <c r="K929" s="33" t="n">
        <v>0</v>
      </c>
      <c r="L929" s="33" t="n">
        <v>0</v>
      </c>
      <c r="M929" s="33" t="inlineStr">
        <is>
          <t>mwb</t>
        </is>
      </c>
      <c r="N929" s="33" t="n">
        <v>10</v>
      </c>
      <c r="O929" s="33" t="n">
        <v>33.825</v>
      </c>
      <c r="P929" s="33" t="n">
        <v>59.809</v>
      </c>
      <c r="Q929" s="33" t="inlineStr">
        <is>
          <t>Q?’en, Iran</t>
        </is>
      </c>
      <c r="R929" s="33" t="inlineStr">
        <is>
          <t>Asia</t>
        </is>
      </c>
      <c r="S929" s="33" t="inlineStr">
        <is>
          <t>Iran</t>
        </is>
      </c>
      <c r="T929" s="36">
        <f>DATE(MID(C929,7,4),MID(C929,4,2),MID(C929,1,2))+TIME(MID(C929,12,2),MID(C929,15,2),0)</f>
        <v/>
      </c>
      <c r="U929" s="33">
        <f>IF(ISNUMBER(VALUE(MID(A929,7,1))),"Distance-prefix pattern","Named-region pattern")</f>
        <v/>
      </c>
      <c r="V929" s="33">
        <f>LOWER(M929)</f>
        <v/>
      </c>
      <c r="W929" s="33">
        <f>IF(COUNTIFS($A$2:$A$1001,A929,$C$2:$C$1001,C929)&gt;1,"Duplicate","Unique")</f>
        <v/>
      </c>
      <c r="X929" s="33">
        <f>YEAR(T929)</f>
        <v/>
      </c>
      <c r="Y929" s="33">
        <f>IF(B929&lt;6.5,"&lt;6.5",IF(B929&lt;7,"6.5–6.9",IF(B929&lt;7.5,"7.0–7.4",IF(B929&lt;8,"7.5–7.9","8.0+"))))</f>
        <v/>
      </c>
      <c r="Z929" s="33">
        <f>IF(F929="","Blank",F929)</f>
        <v/>
      </c>
    </row>
    <row r="930" ht="15" customHeight="1" s="34">
      <c r="A930" s="33" t="inlineStr">
        <is>
          <t>M 6.5 - 49 km N of Yigo Village, Guam</t>
        </is>
      </c>
      <c r="B930" s="33" t="n">
        <v>6.5</v>
      </c>
      <c r="C930" s="33" t="inlineStr">
        <is>
          <t>23/04/1997 19:44</t>
        </is>
      </c>
      <c r="D930" s="33" t="n">
        <v>0</v>
      </c>
      <c r="E930" s="33" t="n">
        <v>6</v>
      </c>
      <c r="G930" s="33" t="n">
        <v>0</v>
      </c>
      <c r="H930" s="33" t="n">
        <v>650</v>
      </c>
      <c r="I930" s="33" t="inlineStr">
        <is>
          <t>us</t>
        </is>
      </c>
      <c r="J930" s="33" t="n">
        <v>0</v>
      </c>
      <c r="K930" s="33" t="n">
        <v>0</v>
      </c>
      <c r="L930" s="33" t="n">
        <v>0</v>
      </c>
      <c r="M930" s="33" t="inlineStr">
        <is>
          <t>mwc</t>
        </is>
      </c>
      <c r="N930" s="33" t="n">
        <v>100.8</v>
      </c>
      <c r="O930" s="33" t="n">
        <v>13.986</v>
      </c>
      <c r="P930" s="33" t="n">
        <v>144.901</v>
      </c>
      <c r="Q930" s="33" t="inlineStr">
        <is>
          <t>Yigo Village, Guam</t>
        </is>
      </c>
      <c r="T930" s="36">
        <f>DATE(MID(C930,7,4),MID(C930,4,2),MID(C930,1,2))+TIME(MID(C930,12,2),MID(C930,15,2),0)</f>
        <v/>
      </c>
      <c r="U930" s="33">
        <f>IF(ISNUMBER(VALUE(MID(A930,7,1))),"Distance-prefix pattern","Named-region pattern")</f>
        <v/>
      </c>
      <c r="V930" s="33">
        <f>LOWER(M930)</f>
        <v/>
      </c>
      <c r="W930" s="33">
        <f>IF(COUNTIFS($A$2:$A$1001,A930,$C$2:$C$1001,C930)&gt;1,"Duplicate","Unique")</f>
        <v/>
      </c>
      <c r="X930" s="33">
        <f>YEAR(T930)</f>
        <v/>
      </c>
      <c r="Y930" s="33">
        <f>IF(B930&lt;6.5,"&lt;6.5",IF(B930&lt;7,"6.5–6.9",IF(B930&lt;7.5,"7.0–7.4",IF(B930&lt;8,"7.5–7.9","8.0+"))))</f>
        <v/>
      </c>
      <c r="Z930" s="33">
        <f>IF(F930="","Blank",F930)</f>
        <v/>
      </c>
    </row>
    <row r="931" ht="15" customHeight="1" s="34">
      <c r="A931" s="33" t="inlineStr">
        <is>
          <t>M 6.7 - 18 km WSW of Scarborough, Trinidad and Tobago</t>
        </is>
      </c>
      <c r="B931" s="33" t="n">
        <v>6.7</v>
      </c>
      <c r="C931" s="33" t="inlineStr">
        <is>
          <t>22/04/1997 09:31</t>
        </is>
      </c>
      <c r="D931" s="33" t="n">
        <v>0</v>
      </c>
      <c r="E931" s="33" t="n">
        <v>7</v>
      </c>
      <c r="G931" s="33" t="n">
        <v>0</v>
      </c>
      <c r="H931" s="33" t="n">
        <v>691</v>
      </c>
      <c r="I931" s="33" t="inlineStr">
        <is>
          <t>us</t>
        </is>
      </c>
      <c r="J931" s="33" t="n">
        <v>0</v>
      </c>
      <c r="K931" s="33" t="n">
        <v>0</v>
      </c>
      <c r="L931" s="33" t="n">
        <v>0</v>
      </c>
      <c r="M931" s="33" t="inlineStr">
        <is>
          <t>mwb</t>
        </is>
      </c>
      <c r="N931" s="33" t="n">
        <v>5</v>
      </c>
      <c r="O931" s="33" t="n">
        <v>11.112</v>
      </c>
      <c r="P931" s="33" t="n">
        <v>-60.892</v>
      </c>
      <c r="Q931" s="33" t="inlineStr">
        <is>
          <t>Scarborough, Trinidad and Tobago</t>
        </is>
      </c>
      <c r="S931" s="33" t="inlineStr">
        <is>
          <t>Trinidad and Tobago</t>
        </is>
      </c>
      <c r="T931" s="36">
        <f>DATE(MID(C931,7,4),MID(C931,4,2),MID(C931,1,2))+TIME(MID(C931,12,2),MID(C931,15,2),0)</f>
        <v/>
      </c>
      <c r="U931" s="33">
        <f>IF(ISNUMBER(VALUE(MID(A931,7,1))),"Distance-prefix pattern","Named-region pattern")</f>
        <v/>
      </c>
      <c r="V931" s="33">
        <f>LOWER(M931)</f>
        <v/>
      </c>
      <c r="W931" s="33">
        <f>IF(COUNTIFS($A$2:$A$1001,A931,$C$2:$C$1001,C931)&gt;1,"Duplicate","Unique")</f>
        <v/>
      </c>
      <c r="X931" s="33">
        <f>YEAR(T931)</f>
        <v/>
      </c>
      <c r="Y931" s="33">
        <f>IF(B931&lt;6.5,"&lt;6.5",IF(B931&lt;7,"6.5–6.9",IF(B931&lt;7.5,"7.0–7.4",IF(B931&lt;8,"7.5–7.9","8.0+"))))</f>
        <v/>
      </c>
      <c r="Z931" s="33">
        <f>IF(F931="","Blank",F931)</f>
        <v/>
      </c>
    </row>
    <row r="932" ht="15" customHeight="1" s="34">
      <c r="A932" s="33" t="inlineStr">
        <is>
          <t>M 7.7 - 171 km NNW of Sola, Vanuatu</t>
        </is>
      </c>
      <c r="B932" s="33" t="n">
        <v>7.7</v>
      </c>
      <c r="C932" s="33" t="inlineStr">
        <is>
          <t>21/04/1997 12:02</t>
        </is>
      </c>
      <c r="D932" s="33" t="n">
        <v>0</v>
      </c>
      <c r="E932" s="33" t="n">
        <v>6</v>
      </c>
      <c r="G932" s="33" t="n">
        <v>0</v>
      </c>
      <c r="H932" s="33" t="n">
        <v>912</v>
      </c>
      <c r="I932" s="33" t="inlineStr">
        <is>
          <t>us</t>
        </is>
      </c>
      <c r="J932" s="33" t="n">
        <v>0</v>
      </c>
      <c r="K932" s="33" t="n">
        <v>0</v>
      </c>
      <c r="L932" s="33" t="n">
        <v>0</v>
      </c>
      <c r="M932" s="33" t="inlineStr">
        <is>
          <t>mwc</t>
        </is>
      </c>
      <c r="N932" s="33" t="n">
        <v>33</v>
      </c>
      <c r="O932" s="33" t="n">
        <v>-12.584</v>
      </c>
      <c r="P932" s="33" t="n">
        <v>166.676</v>
      </c>
      <c r="Q932" s="33" t="inlineStr">
        <is>
          <t>Sola, Vanuatu</t>
        </is>
      </c>
      <c r="T932" s="36">
        <f>DATE(MID(C932,7,4),MID(C932,4,2),MID(C932,1,2))+TIME(MID(C932,12,2),MID(C932,15,2),0)</f>
        <v/>
      </c>
      <c r="U932" s="33">
        <f>IF(ISNUMBER(VALUE(MID(A932,7,1))),"Distance-prefix pattern","Named-region pattern")</f>
        <v/>
      </c>
      <c r="V932" s="33">
        <f>LOWER(M932)</f>
        <v/>
      </c>
      <c r="W932" s="33">
        <f>IF(COUNTIFS($A$2:$A$1001,A932,$C$2:$C$1001,C932)&gt;1,"Duplicate","Unique")</f>
        <v/>
      </c>
      <c r="X932" s="33">
        <f>YEAR(T932)</f>
        <v/>
      </c>
      <c r="Y932" s="33">
        <f>IF(B932&lt;6.5,"&lt;6.5",IF(B932&lt;7,"6.5–6.9",IF(B932&lt;7.5,"7.0–7.4",IF(B932&lt;8,"7.5–7.9","8.0+"))))</f>
        <v/>
      </c>
      <c r="Z932" s="33">
        <f>IF(F932="","Blank",F932)</f>
        <v/>
      </c>
    </row>
    <row r="933" ht="15" customHeight="1" s="34">
      <c r="A933" s="33" t="inlineStr">
        <is>
          <t>M 6.5 - 49 km W of Finschhafen, Papua New Guinea</t>
        </is>
      </c>
      <c r="B933" s="33" t="n">
        <v>6.5</v>
      </c>
      <c r="C933" s="33" t="inlineStr">
        <is>
          <t>05/04/1997 12:23</t>
        </is>
      </c>
      <c r="D933" s="33" t="n">
        <v>0</v>
      </c>
      <c r="E933" s="33" t="n">
        <v>6</v>
      </c>
      <c r="G933" s="33" t="n">
        <v>0</v>
      </c>
      <c r="H933" s="33" t="n">
        <v>650</v>
      </c>
      <c r="I933" s="33" t="inlineStr">
        <is>
          <t>us</t>
        </is>
      </c>
      <c r="J933" s="33" t="n">
        <v>0</v>
      </c>
      <c r="K933" s="33" t="n">
        <v>0</v>
      </c>
      <c r="L933" s="33" t="n">
        <v>0</v>
      </c>
      <c r="M933" s="33" t="inlineStr">
        <is>
          <t>mwc</t>
        </is>
      </c>
      <c r="N933" s="33" t="n">
        <v>69.09999999999999</v>
      </c>
      <c r="O933" s="33" t="n">
        <v>-6.485</v>
      </c>
      <c r="P933" s="33" t="n">
        <v>147.408</v>
      </c>
      <c r="Q933" s="33" t="inlineStr">
        <is>
          <t>Finschhafen, Papua New Guinea</t>
        </is>
      </c>
      <c r="S933" s="33" t="inlineStr">
        <is>
          <t>Papua New Guinea</t>
        </is>
      </c>
      <c r="T933" s="36">
        <f>DATE(MID(C933,7,4),MID(C933,4,2),MID(C933,1,2))+TIME(MID(C933,12,2),MID(C933,15,2),0)</f>
        <v/>
      </c>
      <c r="U933" s="33">
        <f>IF(ISNUMBER(VALUE(MID(A933,7,1))),"Distance-prefix pattern","Named-region pattern")</f>
        <v/>
      </c>
      <c r="V933" s="33">
        <f>LOWER(M933)</f>
        <v/>
      </c>
      <c r="W933" s="33">
        <f>IF(COUNTIFS($A$2:$A$1001,A933,$C$2:$C$1001,C933)&gt;1,"Duplicate","Unique")</f>
        <v/>
      </c>
      <c r="X933" s="33">
        <f>YEAR(T933)</f>
        <v/>
      </c>
      <c r="Y933" s="33">
        <f>IF(B933&lt;6.5,"&lt;6.5",IF(B933&lt;7,"6.5–6.9",IF(B933&lt;7.5,"7.0–7.4",IF(B933&lt;8,"7.5–7.9","8.0+"))))</f>
        <v/>
      </c>
      <c r="Z933" s="33">
        <f>IF(F933="","Blank",F933)</f>
        <v/>
      </c>
    </row>
    <row r="934" ht="15" customHeight="1" s="34">
      <c r="A934" s="33" t="inlineStr">
        <is>
          <t>M 6.9 - 121 km E of Kinablangan, Philippines</t>
        </is>
      </c>
      <c r="B934" s="33" t="n">
        <v>6.9</v>
      </c>
      <c r="C934" s="33" t="inlineStr">
        <is>
          <t>11/03/1997 19:22</t>
        </is>
      </c>
      <c r="D934" s="33" t="n">
        <v>0</v>
      </c>
      <c r="E934" s="33" t="n">
        <v>5</v>
      </c>
      <c r="G934" s="33" t="n">
        <v>0</v>
      </c>
      <c r="H934" s="33" t="n">
        <v>732</v>
      </c>
      <c r="I934" s="33" t="inlineStr">
        <is>
          <t>us</t>
        </is>
      </c>
      <c r="J934" s="33" t="n">
        <v>0</v>
      </c>
      <c r="K934" s="33" t="n">
        <v>0</v>
      </c>
      <c r="L934" s="33" t="n">
        <v>0</v>
      </c>
      <c r="M934" s="33" t="inlineStr">
        <is>
          <t>mwb</t>
        </is>
      </c>
      <c r="N934" s="33" t="n">
        <v>10</v>
      </c>
      <c r="O934" s="33" t="n">
        <v>7.742</v>
      </c>
      <c r="P934" s="33" t="n">
        <v>127.647</v>
      </c>
      <c r="Q934" s="33" t="inlineStr">
        <is>
          <t>Kinablangan, Philippines</t>
        </is>
      </c>
      <c r="T934" s="36">
        <f>DATE(MID(C934,7,4),MID(C934,4,2),MID(C934,1,2))+TIME(MID(C934,12,2),MID(C934,15,2),0)</f>
        <v/>
      </c>
      <c r="U934" s="33">
        <f>IF(ISNUMBER(VALUE(MID(A934,7,1))),"Distance-prefix pattern","Named-region pattern")</f>
        <v/>
      </c>
      <c r="V934" s="33">
        <f>LOWER(M934)</f>
        <v/>
      </c>
      <c r="W934" s="33">
        <f>IF(COUNTIFS($A$2:$A$1001,A934,$C$2:$C$1001,C934)&gt;1,"Duplicate","Unique")</f>
        <v/>
      </c>
      <c r="X934" s="33">
        <f>YEAR(T934)</f>
        <v/>
      </c>
      <c r="Y934" s="33">
        <f>IF(B934&lt;6.5,"&lt;6.5",IF(B934&lt;7,"6.5–6.9",IF(B934&lt;7.5,"7.0–7.4",IF(B934&lt;8,"7.5–7.9","8.0+"))))</f>
        <v/>
      </c>
      <c r="Z934" s="33">
        <f>IF(F934="","Blank",F934)</f>
        <v/>
      </c>
    </row>
    <row r="935" ht="15" customHeight="1" s="34">
      <c r="A935" s="33" t="inlineStr">
        <is>
          <t>M 7.1 - 29 km ESE of Harnai, Pakistan</t>
        </is>
      </c>
      <c r="B935" s="33" t="n">
        <v>7.1</v>
      </c>
      <c r="C935" s="33" t="inlineStr">
        <is>
          <t>27/02/1997 21:08</t>
        </is>
      </c>
      <c r="D935" s="33" t="n">
        <v>0</v>
      </c>
      <c r="E935" s="33" t="n">
        <v>6</v>
      </c>
      <c r="G935" s="33" t="n">
        <v>0</v>
      </c>
      <c r="H935" s="33" t="n">
        <v>776</v>
      </c>
      <c r="I935" s="33" t="inlineStr">
        <is>
          <t>us</t>
        </is>
      </c>
      <c r="J935" s="33" t="n">
        <v>0</v>
      </c>
      <c r="K935" s="33" t="n">
        <v>0</v>
      </c>
      <c r="L935" s="33" t="n">
        <v>0</v>
      </c>
      <c r="M935" s="33" t="inlineStr">
        <is>
          <t>mwc</t>
        </is>
      </c>
      <c r="N935" s="33" t="n">
        <v>33</v>
      </c>
      <c r="O935" s="33" t="n">
        <v>29.976</v>
      </c>
      <c r="P935" s="33" t="n">
        <v>68.208</v>
      </c>
      <c r="Q935" s="33" t="inlineStr">
        <is>
          <t>Harnai, Pakistan</t>
        </is>
      </c>
      <c r="R935" s="33" t="inlineStr">
        <is>
          <t>Asia</t>
        </is>
      </c>
      <c r="S935" s="33" t="inlineStr">
        <is>
          <t>Pakistan</t>
        </is>
      </c>
      <c r="T935" s="36">
        <f>DATE(MID(C935,7,4),MID(C935,4,2),MID(C935,1,2))+TIME(MID(C935,12,2),MID(C935,15,2),0)</f>
        <v/>
      </c>
      <c r="U935" s="33">
        <f>IF(ISNUMBER(VALUE(MID(A935,7,1))),"Distance-prefix pattern","Named-region pattern")</f>
        <v/>
      </c>
      <c r="V935" s="33">
        <f>LOWER(M935)</f>
        <v/>
      </c>
      <c r="W935" s="33">
        <f>IF(COUNTIFS($A$2:$A$1001,A935,$C$2:$C$1001,C935)&gt;1,"Duplicate","Unique")</f>
        <v/>
      </c>
      <c r="X935" s="33">
        <f>YEAR(T935)</f>
        <v/>
      </c>
      <c r="Y935" s="33">
        <f>IF(B935&lt;6.5,"&lt;6.5",IF(B935&lt;7,"6.5–6.9",IF(B935&lt;7.5,"7.0–7.4",IF(B935&lt;8,"7.5–7.9","8.0+"))))</f>
        <v/>
      </c>
      <c r="Z935" s="33">
        <f>IF(F935="","Blank",F935)</f>
        <v/>
      </c>
    </row>
    <row r="936" ht="15" customHeight="1" s="34">
      <c r="A936" s="33" t="inlineStr">
        <is>
          <t>M 6.5 - Turkmenistan-Iran border region</t>
        </is>
      </c>
      <c r="B936" s="33" t="n">
        <v>6.5</v>
      </c>
      <c r="C936" s="33" t="inlineStr">
        <is>
          <t>04/02/1997 10:37</t>
        </is>
      </c>
      <c r="D936" s="33" t="n">
        <v>0</v>
      </c>
      <c r="E936" s="33" t="n">
        <v>8</v>
      </c>
      <c r="G936" s="33" t="n">
        <v>0</v>
      </c>
      <c r="H936" s="33" t="n">
        <v>650</v>
      </c>
      <c r="I936" s="33" t="inlineStr">
        <is>
          <t>us</t>
        </is>
      </c>
      <c r="J936" s="33" t="n">
        <v>0</v>
      </c>
      <c r="K936" s="33" t="n">
        <v>0</v>
      </c>
      <c r="L936" s="33" t="n">
        <v>0</v>
      </c>
      <c r="M936" s="33" t="inlineStr">
        <is>
          <t>mwc</t>
        </is>
      </c>
      <c r="N936" s="33" t="n">
        <v>10</v>
      </c>
      <c r="O936" s="33" t="n">
        <v>37.661</v>
      </c>
      <c r="P936" s="33" t="n">
        <v>57.291</v>
      </c>
      <c r="Q936" s="33" t="inlineStr">
        <is>
          <t>Turkmenistan-Iran border region</t>
        </is>
      </c>
      <c r="R936" s="33" t="inlineStr">
        <is>
          <t>Asia</t>
        </is>
      </c>
      <c r="S936" s="33" t="inlineStr">
        <is>
          <t>Iran</t>
        </is>
      </c>
      <c r="T936" s="36">
        <f>DATE(MID(C936,7,4),MID(C936,4,2),MID(C936,1,2))+TIME(MID(C936,12,2),MID(C936,15,2),0)</f>
        <v/>
      </c>
      <c r="U936" s="33">
        <f>IF(ISNUMBER(VALUE(MID(A936,7,1))),"Distance-prefix pattern","Named-region pattern")</f>
        <v/>
      </c>
      <c r="V936" s="33">
        <f>LOWER(M936)</f>
        <v/>
      </c>
      <c r="W936" s="33">
        <f>IF(COUNTIFS($A$2:$A$1001,A936,$C$2:$C$1001,C936)&gt;1,"Duplicate","Unique")</f>
        <v/>
      </c>
      <c r="X936" s="33">
        <f>YEAR(T936)</f>
        <v/>
      </c>
      <c r="Y936" s="33">
        <f>IF(B936&lt;6.5,"&lt;6.5",IF(B936&lt;7,"6.5–6.9",IF(B936&lt;7.5,"7.0–7.4",IF(B936&lt;8,"7.5–7.9","8.0+"))))</f>
        <v/>
      </c>
      <c r="Z936" s="33">
        <f>IF(F936="","Blank",F936)</f>
        <v/>
      </c>
    </row>
    <row r="937" ht="15" customHeight="1" s="34">
      <c r="A937" s="33" t="inlineStr">
        <is>
          <t>M 7.2 - 46 km WNW of El Habillal, Mexico</t>
        </is>
      </c>
      <c r="B937" s="33" t="n">
        <v>7.2</v>
      </c>
      <c r="C937" s="33" t="inlineStr">
        <is>
          <t>11/01/1997 20:28</t>
        </is>
      </c>
      <c r="D937" s="33" t="n">
        <v>0</v>
      </c>
      <c r="E937" s="33" t="n">
        <v>7</v>
      </c>
      <c r="G937" s="33" t="n">
        <v>0</v>
      </c>
      <c r="H937" s="33" t="n">
        <v>798</v>
      </c>
      <c r="I937" s="33" t="inlineStr">
        <is>
          <t>us</t>
        </is>
      </c>
      <c r="J937" s="33" t="n">
        <v>0</v>
      </c>
      <c r="K937" s="33" t="n">
        <v>0</v>
      </c>
      <c r="L937" s="33" t="n">
        <v>0</v>
      </c>
      <c r="M937" s="33" t="inlineStr">
        <is>
          <t>mwb</t>
        </is>
      </c>
      <c r="N937" s="33" t="n">
        <v>33</v>
      </c>
      <c r="O937" s="33" t="n">
        <v>18.219</v>
      </c>
      <c r="P937" s="33" t="n">
        <v>-102.756</v>
      </c>
      <c r="Q937" s="33" t="inlineStr">
        <is>
          <t>El Habillal, Mexico</t>
        </is>
      </c>
      <c r="R937" s="33" t="inlineStr">
        <is>
          <t>North America</t>
        </is>
      </c>
      <c r="S937" s="33" t="inlineStr">
        <is>
          <t>Mexico</t>
        </is>
      </c>
      <c r="T937" s="36">
        <f>DATE(MID(C937,7,4),MID(C937,4,2),MID(C937,1,2))+TIME(MID(C937,12,2),MID(C937,15,2),0)</f>
        <v/>
      </c>
      <c r="U937" s="33">
        <f>IF(ISNUMBER(VALUE(MID(A937,7,1))),"Distance-prefix pattern","Named-region pattern")</f>
        <v/>
      </c>
      <c r="V937" s="33">
        <f>LOWER(M937)</f>
        <v/>
      </c>
      <c r="W937" s="33">
        <f>IF(COUNTIFS($A$2:$A$1001,A937,$C$2:$C$1001,C937)&gt;1,"Duplicate","Unique")</f>
        <v/>
      </c>
      <c r="X937" s="33">
        <f>YEAR(T937)</f>
        <v/>
      </c>
      <c r="Y937" s="33">
        <f>IF(B937&lt;6.5,"&lt;6.5",IF(B937&lt;7,"6.5–6.9",IF(B937&lt;7.5,"7.0–7.4",IF(B937&lt;8,"7.5–7.9","8.0+"))))</f>
        <v/>
      </c>
      <c r="Z937" s="33">
        <f>IF(F937="","Blank",F937)</f>
        <v/>
      </c>
    </row>
    <row r="938" ht="15" customHeight="1" s="34">
      <c r="A938" s="33" t="inlineStr">
        <is>
          <t>M 6.5 - 131 km W of Iwanai, Japan</t>
        </is>
      </c>
      <c r="B938" s="33" t="n">
        <v>6.5</v>
      </c>
      <c r="C938" s="33" t="inlineStr">
        <is>
          <t>22/12/1996 14:53</t>
        </is>
      </c>
      <c r="D938" s="33" t="n">
        <v>0</v>
      </c>
      <c r="E938" s="33" t="n">
        <v>4</v>
      </c>
      <c r="G938" s="33" t="n">
        <v>0</v>
      </c>
      <c r="H938" s="33" t="n">
        <v>650</v>
      </c>
      <c r="I938" s="33" t="inlineStr">
        <is>
          <t>us</t>
        </is>
      </c>
      <c r="J938" s="33" t="n">
        <v>0</v>
      </c>
      <c r="K938" s="33" t="n">
        <v>0</v>
      </c>
      <c r="L938" s="33" t="n">
        <v>0</v>
      </c>
      <c r="M938" s="33" t="inlineStr">
        <is>
          <t>mwc</t>
        </is>
      </c>
      <c r="N938" s="33" t="n">
        <v>226.5</v>
      </c>
      <c r="O938" s="33" t="n">
        <v>43.207</v>
      </c>
      <c r="P938" s="33" t="n">
        <v>138.92</v>
      </c>
      <c r="Q938" s="33" t="inlineStr">
        <is>
          <t>Iwanai, Japan</t>
        </is>
      </c>
      <c r="T938" s="36">
        <f>DATE(MID(C938,7,4),MID(C938,4,2),MID(C938,1,2))+TIME(MID(C938,12,2),MID(C938,15,2),0)</f>
        <v/>
      </c>
      <c r="U938" s="33">
        <f>IF(ISNUMBER(VALUE(MID(A938,7,1))),"Distance-prefix pattern","Named-region pattern")</f>
        <v/>
      </c>
      <c r="V938" s="33">
        <f>LOWER(M938)</f>
        <v/>
      </c>
      <c r="W938" s="33">
        <f>IF(COUNTIFS($A$2:$A$1001,A938,$C$2:$C$1001,C938)&gt;1,"Duplicate","Unique")</f>
        <v/>
      </c>
      <c r="X938" s="33">
        <f>YEAR(T938)</f>
        <v/>
      </c>
      <c r="Y938" s="33">
        <f>IF(B938&lt;6.5,"&lt;6.5",IF(B938&lt;7,"6.5–6.9",IF(B938&lt;7.5,"7.0–7.4",IF(B938&lt;8,"7.5–7.9","8.0+"))))</f>
        <v/>
      </c>
      <c r="Z938" s="33">
        <f>IF(F938="","Blank",F938)</f>
        <v/>
      </c>
    </row>
    <row r="939" ht="15" customHeight="1" s="34">
      <c r="A939" s="33" t="inlineStr">
        <is>
          <t>M 6.7 - 17 km SW of Miyazaki, Japan</t>
        </is>
      </c>
      <c r="B939" s="33" t="n">
        <v>6.7</v>
      </c>
      <c r="C939" s="33" t="inlineStr">
        <is>
          <t>02/12/1996 22:17</t>
        </is>
      </c>
      <c r="D939" s="33" t="n">
        <v>0</v>
      </c>
      <c r="E939" s="33" t="n">
        <v>6</v>
      </c>
      <c r="G939" s="33" t="n">
        <v>0</v>
      </c>
      <c r="H939" s="33" t="n">
        <v>691</v>
      </c>
      <c r="I939" s="33" t="inlineStr">
        <is>
          <t>us</t>
        </is>
      </c>
      <c r="J939" s="33" t="n">
        <v>0</v>
      </c>
      <c r="K939" s="33" t="n">
        <v>0</v>
      </c>
      <c r="L939" s="33" t="n">
        <v>0</v>
      </c>
      <c r="M939" s="33" t="inlineStr">
        <is>
          <t>mwc</t>
        </is>
      </c>
      <c r="N939" s="33" t="n">
        <v>49.2</v>
      </c>
      <c r="O939" s="33" t="n">
        <v>31.789</v>
      </c>
      <c r="P939" s="33" t="n">
        <v>131.314</v>
      </c>
      <c r="Q939" s="33" t="inlineStr">
        <is>
          <t>Miyazaki, Japan</t>
        </is>
      </c>
      <c r="R939" s="33" t="inlineStr">
        <is>
          <t>Asia</t>
        </is>
      </c>
      <c r="S939" s="33" t="inlineStr">
        <is>
          <t>Japan</t>
        </is>
      </c>
      <c r="T939" s="36">
        <f>DATE(MID(C939,7,4),MID(C939,4,2),MID(C939,1,2))+TIME(MID(C939,12,2),MID(C939,15,2),0)</f>
        <v/>
      </c>
      <c r="U939" s="33">
        <f>IF(ISNUMBER(VALUE(MID(A939,7,1))),"Distance-prefix pattern","Named-region pattern")</f>
        <v/>
      </c>
      <c r="V939" s="33">
        <f>LOWER(M939)</f>
        <v/>
      </c>
      <c r="W939" s="33">
        <f>IF(COUNTIFS($A$2:$A$1001,A939,$C$2:$C$1001,C939)&gt;1,"Duplicate","Unique")</f>
        <v/>
      </c>
      <c r="X939" s="33">
        <f>YEAR(T939)</f>
        <v/>
      </c>
      <c r="Y939" s="33">
        <f>IF(B939&lt;6.5,"&lt;6.5",IF(B939&lt;7,"6.5–6.9",IF(B939&lt;7.5,"7.0–7.4",IF(B939&lt;8,"7.5–7.9","8.0+"))))</f>
        <v/>
      </c>
      <c r="Z939" s="33">
        <f>IF(F939="","Blank",F939)</f>
        <v/>
      </c>
    </row>
    <row r="940" ht="15" customHeight="1" s="34">
      <c r="A940" s="33" t="inlineStr">
        <is>
          <t>M 6.9 - 130 km ENE of Thang, India</t>
        </is>
      </c>
      <c r="B940" s="33" t="n">
        <v>6.9</v>
      </c>
      <c r="C940" s="33" t="inlineStr">
        <is>
          <t>19/11/1996 10:44</t>
        </is>
      </c>
      <c r="D940" s="33" t="n">
        <v>0</v>
      </c>
      <c r="E940" s="33" t="n">
        <v>7</v>
      </c>
      <c r="G940" s="33" t="n">
        <v>0</v>
      </c>
      <c r="H940" s="33" t="n">
        <v>732</v>
      </c>
      <c r="I940" s="33" t="inlineStr">
        <is>
          <t>us</t>
        </is>
      </c>
      <c r="J940" s="33" t="n">
        <v>0</v>
      </c>
      <c r="K940" s="33" t="n">
        <v>0</v>
      </c>
      <c r="L940" s="33" t="n">
        <v>0</v>
      </c>
      <c r="M940" s="33" t="inlineStr">
        <is>
          <t>mwc</t>
        </is>
      </c>
      <c r="N940" s="33" t="n">
        <v>33</v>
      </c>
      <c r="O940" s="33" t="n">
        <v>35.345</v>
      </c>
      <c r="P940" s="33" t="n">
        <v>78.133</v>
      </c>
      <c r="Q940" s="33" t="inlineStr">
        <is>
          <t>Thang, India</t>
        </is>
      </c>
      <c r="R940" s="33" t="inlineStr">
        <is>
          <t>Asia</t>
        </is>
      </c>
      <c r="S940" s="33" t="inlineStr">
        <is>
          <t>People's Republic of China</t>
        </is>
      </c>
      <c r="T940" s="36">
        <f>DATE(MID(C940,7,4),MID(C940,4,2),MID(C940,1,2))+TIME(MID(C940,12,2),MID(C940,15,2),0)</f>
        <v/>
      </c>
      <c r="U940" s="33">
        <f>IF(ISNUMBER(VALUE(MID(A940,7,1))),"Distance-prefix pattern","Named-region pattern")</f>
        <v/>
      </c>
      <c r="V940" s="33">
        <f>LOWER(M940)</f>
        <v/>
      </c>
      <c r="W940" s="33">
        <f>IF(COUNTIFS($A$2:$A$1001,A940,$C$2:$C$1001,C940)&gt;1,"Duplicate","Unique")</f>
        <v/>
      </c>
      <c r="X940" s="33">
        <f>YEAR(T940)</f>
        <v/>
      </c>
      <c r="Y940" s="33">
        <f>IF(B940&lt;6.5,"&lt;6.5",IF(B940&lt;7,"6.5–6.9",IF(B940&lt;7.5,"7.0–7.4",IF(B940&lt;8,"7.5–7.9","8.0+"))))</f>
        <v/>
      </c>
      <c r="Z940" s="33">
        <f>IF(F940="","Blank",F940)</f>
        <v/>
      </c>
    </row>
    <row r="941" ht="15" customHeight="1" s="34">
      <c r="A941" s="33" t="inlineStr">
        <is>
          <t>M 7.7 - 60 km SW of Changuillo, Peru</t>
        </is>
      </c>
      <c r="B941" s="33" t="n">
        <v>7.7</v>
      </c>
      <c r="C941" s="33" t="inlineStr">
        <is>
          <t>12/11/1996 16:59</t>
        </is>
      </c>
      <c r="D941" s="33" t="n">
        <v>0</v>
      </c>
      <c r="E941" s="33" t="n">
        <v>7</v>
      </c>
      <c r="G941" s="33" t="n">
        <v>0</v>
      </c>
      <c r="H941" s="33" t="n">
        <v>912</v>
      </c>
      <c r="I941" s="33" t="inlineStr">
        <is>
          <t>us</t>
        </is>
      </c>
      <c r="J941" s="33" t="n">
        <v>0</v>
      </c>
      <c r="K941" s="33" t="n">
        <v>0</v>
      </c>
      <c r="L941" s="33" t="n">
        <v>0</v>
      </c>
      <c r="M941" s="33" t="inlineStr">
        <is>
          <t>mwc</t>
        </is>
      </c>
      <c r="N941" s="33" t="n">
        <v>33</v>
      </c>
      <c r="O941" s="33" t="n">
        <v>-14.993</v>
      </c>
      <c r="P941" s="33" t="n">
        <v>-75.675</v>
      </c>
      <c r="Q941" s="33" t="inlineStr">
        <is>
          <t>Changuillo, Peru</t>
        </is>
      </c>
      <c r="S941" s="33" t="inlineStr">
        <is>
          <t>Peru</t>
        </is>
      </c>
      <c r="T941" s="36">
        <f>DATE(MID(C941,7,4),MID(C941,4,2),MID(C941,1,2))+TIME(MID(C941,12,2),MID(C941,15,2),0)</f>
        <v/>
      </c>
      <c r="U941" s="33">
        <f>IF(ISNUMBER(VALUE(MID(A941,7,1))),"Distance-prefix pattern","Named-region pattern")</f>
        <v/>
      </c>
      <c r="V941" s="33">
        <f>LOWER(M941)</f>
        <v/>
      </c>
      <c r="W941" s="33">
        <f>IF(COUNTIFS($A$2:$A$1001,A941,$C$2:$C$1001,C941)&gt;1,"Duplicate","Unique")</f>
        <v/>
      </c>
      <c r="X941" s="33">
        <f>YEAR(T941)</f>
        <v/>
      </c>
      <c r="Y941" s="33">
        <f>IF(B941&lt;6.5,"&lt;6.5",IF(B941&lt;7,"6.5–6.9",IF(B941&lt;7.5,"7.0–7.4",IF(B941&lt;8,"7.5–7.9","8.0+"))))</f>
        <v/>
      </c>
      <c r="Z941" s="33">
        <f>IF(F941="","Blank",F941)</f>
        <v/>
      </c>
    </row>
    <row r="942" ht="15" customHeight="1" s="34">
      <c r="A942" s="33" t="inlineStr">
        <is>
          <t>M 6.7 - 5 km SE of Miyazaki, Japan</t>
        </is>
      </c>
      <c r="B942" s="33" t="n">
        <v>6.7</v>
      </c>
      <c r="C942" s="33" t="inlineStr">
        <is>
          <t>19/10/1996 14:44</t>
        </is>
      </c>
      <c r="D942" s="33" t="n">
        <v>0</v>
      </c>
      <c r="E942" s="33" t="n">
        <v>7</v>
      </c>
      <c r="G942" s="33" t="n">
        <v>0</v>
      </c>
      <c r="H942" s="33" t="n">
        <v>691</v>
      </c>
      <c r="I942" s="33" t="inlineStr">
        <is>
          <t>us</t>
        </is>
      </c>
      <c r="J942" s="33" t="n">
        <v>0</v>
      </c>
      <c r="K942" s="33" t="n">
        <v>0</v>
      </c>
      <c r="L942" s="33" t="n">
        <v>0</v>
      </c>
      <c r="M942" s="33" t="inlineStr">
        <is>
          <t>mwc</t>
        </is>
      </c>
      <c r="N942" s="33" t="n">
        <v>22</v>
      </c>
      <c r="O942" s="33" t="n">
        <v>31.885</v>
      </c>
      <c r="P942" s="33" t="n">
        <v>131.468</v>
      </c>
      <c r="Q942" s="33" t="inlineStr">
        <is>
          <t>Miyazaki, Japan</t>
        </is>
      </c>
      <c r="R942" s="33" t="inlineStr">
        <is>
          <t>Asia</t>
        </is>
      </c>
      <c r="S942" s="33" t="inlineStr">
        <is>
          <t>Japan</t>
        </is>
      </c>
      <c r="T942" s="36">
        <f>DATE(MID(C942,7,4),MID(C942,4,2),MID(C942,1,2))+TIME(MID(C942,12,2),MID(C942,15,2),0)</f>
        <v/>
      </c>
      <c r="U942" s="33">
        <f>IF(ISNUMBER(VALUE(MID(A942,7,1))),"Distance-prefix pattern","Named-region pattern")</f>
        <v/>
      </c>
      <c r="V942" s="33">
        <f>LOWER(M942)</f>
        <v/>
      </c>
      <c r="W942" s="33">
        <f>IF(COUNTIFS($A$2:$A$1001,A942,$C$2:$C$1001,C942)&gt;1,"Duplicate","Unique")</f>
        <v/>
      </c>
      <c r="X942" s="33">
        <f>YEAR(T942)</f>
        <v/>
      </c>
      <c r="Y942" s="33">
        <f>IF(B942&lt;6.5,"&lt;6.5",IF(B942&lt;7,"6.5–6.9",IF(B942&lt;7.5,"7.0–7.4",IF(B942&lt;8,"7.5–7.9","8.0+"))))</f>
        <v/>
      </c>
      <c r="Z942" s="33">
        <f>IF(F942="","Blank",F942)</f>
        <v/>
      </c>
    </row>
    <row r="943" ht="15" customHeight="1" s="34">
      <c r="A943" s="33" t="inlineStr">
        <is>
          <t>M 6.6 - 20 km SSE of Nishinoomote, Japan</t>
        </is>
      </c>
      <c r="B943" s="33" t="n">
        <v>6.6</v>
      </c>
      <c r="C943" s="33" t="inlineStr">
        <is>
          <t>18/10/1996 10:50</t>
        </is>
      </c>
      <c r="D943" s="33" t="n">
        <v>0</v>
      </c>
      <c r="E943" s="33" t="n">
        <v>7</v>
      </c>
      <c r="G943" s="33" t="n">
        <v>0</v>
      </c>
      <c r="H943" s="33" t="n">
        <v>670</v>
      </c>
      <c r="I943" s="33" t="inlineStr">
        <is>
          <t>us</t>
        </is>
      </c>
      <c r="J943" s="33" t="n">
        <v>0</v>
      </c>
      <c r="K943" s="33" t="n">
        <v>0</v>
      </c>
      <c r="L943" s="33" t="n">
        <v>0</v>
      </c>
      <c r="M943" s="33" t="inlineStr">
        <is>
          <t>mwc</t>
        </is>
      </c>
      <c r="N943" s="33" t="n">
        <v>10</v>
      </c>
      <c r="O943" s="33" t="n">
        <v>30.568</v>
      </c>
      <c r="P943" s="33" t="n">
        <v>131.093</v>
      </c>
      <c r="Q943" s="33" t="inlineStr">
        <is>
          <t>Nishinoomote, Japan</t>
        </is>
      </c>
      <c r="R943" s="33" t="inlineStr">
        <is>
          <t>Asia</t>
        </is>
      </c>
      <c r="S943" s="33" t="inlineStr">
        <is>
          <t>Japan</t>
        </is>
      </c>
      <c r="T943" s="36">
        <f>DATE(MID(C943,7,4),MID(C943,4,2),MID(C943,1,2))+TIME(MID(C943,12,2),MID(C943,15,2),0)</f>
        <v/>
      </c>
      <c r="U943" s="33">
        <f>IF(ISNUMBER(VALUE(MID(A943,7,1))),"Distance-prefix pattern","Named-region pattern")</f>
        <v/>
      </c>
      <c r="V943" s="33">
        <f>LOWER(M943)</f>
        <v/>
      </c>
      <c r="W943" s="33">
        <f>IF(COUNTIFS($A$2:$A$1001,A943,$C$2:$C$1001,C943)&gt;1,"Duplicate","Unique")</f>
        <v/>
      </c>
      <c r="X943" s="33">
        <f>YEAR(T943)</f>
        <v/>
      </c>
      <c r="Y943" s="33">
        <f>IF(B943&lt;6.5,"&lt;6.5",IF(B943&lt;7,"6.5–6.9",IF(B943&lt;7.5,"7.0–7.4",IF(B943&lt;8,"7.5–7.9","8.0+"))))</f>
        <v/>
      </c>
      <c r="Z943" s="33">
        <f>IF(F943="","Blank",F943)</f>
        <v/>
      </c>
    </row>
    <row r="944" ht="15" customHeight="1" s="34">
      <c r="A944" s="33" t="inlineStr">
        <is>
          <t>M 6.8 - 90 km S of Panguna, Papua New Guinea</t>
        </is>
      </c>
      <c r="B944" s="33" t="n">
        <v>6.8</v>
      </c>
      <c r="C944" s="33" t="inlineStr">
        <is>
          <t>14/10/1996 23:26</t>
        </is>
      </c>
      <c r="D944" s="33" t="n">
        <v>0</v>
      </c>
      <c r="E944" s="33" t="n">
        <v>6</v>
      </c>
      <c r="G944" s="33" t="n">
        <v>0</v>
      </c>
      <c r="H944" s="33" t="n">
        <v>711</v>
      </c>
      <c r="I944" s="33" t="inlineStr">
        <is>
          <t>us</t>
        </is>
      </c>
      <c r="J944" s="33" t="n">
        <v>0</v>
      </c>
      <c r="K944" s="33" t="n">
        <v>0</v>
      </c>
      <c r="L944" s="33" t="n">
        <v>0</v>
      </c>
      <c r="M944" s="33" t="inlineStr">
        <is>
          <t>mwc</t>
        </is>
      </c>
      <c r="N944" s="33" t="n">
        <v>24</v>
      </c>
      <c r="O944" s="33" t="n">
        <v>-7.133</v>
      </c>
      <c r="P944" s="33" t="n">
        <v>155.568</v>
      </c>
      <c r="Q944" s="33" t="inlineStr">
        <is>
          <t>Panguna, Papua New Guinea</t>
        </is>
      </c>
      <c r="S944" s="33" t="inlineStr">
        <is>
          <t>Solomon Islands</t>
        </is>
      </c>
      <c r="T944" s="36">
        <f>DATE(MID(C944,7,4),MID(C944,4,2),MID(C944,1,2))+TIME(MID(C944,12,2),MID(C944,15,2),0)</f>
        <v/>
      </c>
      <c r="U944" s="33">
        <f>IF(ISNUMBER(VALUE(MID(A944,7,1))),"Distance-prefix pattern","Named-region pattern")</f>
        <v/>
      </c>
      <c r="V944" s="33">
        <f>LOWER(M944)</f>
        <v/>
      </c>
      <c r="W944" s="33">
        <f>IF(COUNTIFS($A$2:$A$1001,A944,$C$2:$C$1001,C944)&gt;1,"Duplicate","Unique")</f>
        <v/>
      </c>
      <c r="X944" s="33">
        <f>YEAR(T944)</f>
        <v/>
      </c>
      <c r="Y944" s="33">
        <f>IF(B944&lt;6.5,"&lt;6.5",IF(B944&lt;7,"6.5–6.9",IF(B944&lt;7.5,"7.0–7.4",IF(B944&lt;8,"7.5–7.9","8.0+"))))</f>
        <v/>
      </c>
      <c r="Z944" s="33">
        <f>IF(F944="","Blank",F944)</f>
        <v/>
      </c>
    </row>
    <row r="945" ht="15" customHeight="1" s="34">
      <c r="A945" s="33" t="inlineStr">
        <is>
          <t>M 6.8 - 36 km SW of Paphos, Cyprus</t>
        </is>
      </c>
      <c r="B945" s="33" t="n">
        <v>6.8</v>
      </c>
      <c r="C945" s="33" t="inlineStr">
        <is>
          <t>09/10/1996 13:10</t>
        </is>
      </c>
      <c r="D945" s="33" t="n">
        <v>0</v>
      </c>
      <c r="E945" s="33" t="n">
        <v>6</v>
      </c>
      <c r="G945" s="33" t="n">
        <v>0</v>
      </c>
      <c r="H945" s="33" t="n">
        <v>711</v>
      </c>
      <c r="I945" s="33" t="inlineStr">
        <is>
          <t>us</t>
        </is>
      </c>
      <c r="J945" s="33" t="n">
        <v>0</v>
      </c>
      <c r="K945" s="33" t="n">
        <v>0</v>
      </c>
      <c r="L945" s="33" t="n">
        <v>0</v>
      </c>
      <c r="M945" s="33" t="inlineStr">
        <is>
          <t>mwc</t>
        </is>
      </c>
      <c r="N945" s="33" t="n">
        <v>33</v>
      </c>
      <c r="O945" s="33" t="n">
        <v>34.556</v>
      </c>
      <c r="P945" s="33" t="n">
        <v>32.126</v>
      </c>
      <c r="Q945" s="33" t="inlineStr">
        <is>
          <t>Paphos, Cyprus</t>
        </is>
      </c>
      <c r="R945" s="33" t="inlineStr">
        <is>
          <t>Asia</t>
        </is>
      </c>
      <c r="T945" s="36">
        <f>DATE(MID(C945,7,4),MID(C945,4,2),MID(C945,1,2))+TIME(MID(C945,12,2),MID(C945,15,2),0)</f>
        <v/>
      </c>
      <c r="U945" s="33">
        <f>IF(ISNUMBER(VALUE(MID(A945,7,1))),"Distance-prefix pattern","Named-region pattern")</f>
        <v/>
      </c>
      <c r="V945" s="33">
        <f>LOWER(M945)</f>
        <v/>
      </c>
      <c r="W945" s="33">
        <f>IF(COUNTIFS($A$2:$A$1001,A945,$C$2:$C$1001,C945)&gt;1,"Duplicate","Unique")</f>
        <v/>
      </c>
      <c r="X945" s="33">
        <f>YEAR(T945)</f>
        <v/>
      </c>
      <c r="Y945" s="33">
        <f>IF(B945&lt;6.5,"&lt;6.5",IF(B945&lt;7,"6.5–6.9",IF(B945&lt;7.5,"7.0–7.4",IF(B945&lt;8,"7.5–7.9","8.0+"))))</f>
        <v/>
      </c>
      <c r="Z945" s="33">
        <f>IF(F945="","Blank",F945)</f>
        <v/>
      </c>
    </row>
    <row r="946" ht="15" customHeight="1" s="34">
      <c r="A946" s="33" t="inlineStr">
        <is>
          <t>M 6.6 - 24 km NE of Cortes, Philippines</t>
        </is>
      </c>
      <c r="B946" s="33" t="n">
        <v>6.6</v>
      </c>
      <c r="C946" s="33" t="inlineStr">
        <is>
          <t>20/09/1996 04:11</t>
        </is>
      </c>
      <c r="D946" s="33" t="n">
        <v>0</v>
      </c>
      <c r="E946" s="33" t="n">
        <v>6</v>
      </c>
      <c r="G946" s="33" t="n">
        <v>0</v>
      </c>
      <c r="H946" s="33" t="n">
        <v>670</v>
      </c>
      <c r="I946" s="33" t="inlineStr">
        <is>
          <t>us</t>
        </is>
      </c>
      <c r="J946" s="33" t="n">
        <v>0</v>
      </c>
      <c r="K946" s="33" t="n">
        <v>0</v>
      </c>
      <c r="L946" s="33" t="n">
        <v>0</v>
      </c>
      <c r="M946" s="33" t="inlineStr">
        <is>
          <t>mwc</t>
        </is>
      </c>
      <c r="N946" s="33" t="n">
        <v>33</v>
      </c>
      <c r="O946" s="33" t="n">
        <v>9.454000000000001</v>
      </c>
      <c r="P946" s="33" t="n">
        <v>126.334</v>
      </c>
      <c r="Q946" s="33" t="inlineStr">
        <is>
          <t>Cortes, Philippines</t>
        </is>
      </c>
      <c r="S946" s="33" t="inlineStr">
        <is>
          <t>Philippines</t>
        </is>
      </c>
      <c r="T946" s="36">
        <f>DATE(MID(C946,7,4),MID(C946,4,2),MID(C946,1,2))+TIME(MID(C946,12,2),MID(C946,15,2),0)</f>
        <v/>
      </c>
      <c r="U946" s="33">
        <f>IF(ISNUMBER(VALUE(MID(A946,7,1))),"Distance-prefix pattern","Named-region pattern")</f>
        <v/>
      </c>
      <c r="V946" s="33">
        <f>LOWER(M946)</f>
        <v/>
      </c>
      <c r="W946" s="33">
        <f>IF(COUNTIFS($A$2:$A$1001,A946,$C$2:$C$1001,C946)&gt;1,"Duplicate","Unique")</f>
        <v/>
      </c>
      <c r="X946" s="33">
        <f>YEAR(T946)</f>
        <v/>
      </c>
      <c r="Y946" s="33">
        <f>IF(B946&lt;6.5,"&lt;6.5",IF(B946&lt;7,"6.5–6.9",IF(B946&lt;7.5,"7.0–7.4",IF(B946&lt;8,"7.5–7.9","8.0+"))))</f>
        <v/>
      </c>
      <c r="Z946" s="33">
        <f>IF(F946="","Blank",F946)</f>
        <v/>
      </c>
    </row>
    <row r="947" ht="15" customHeight="1" s="34">
      <c r="A947" s="33" t="inlineStr">
        <is>
          <t>M 6.6 - 22 km NNE of Cortes, Philippines</t>
        </is>
      </c>
      <c r="B947" s="33" t="n">
        <v>6.6</v>
      </c>
      <c r="C947" s="33" t="inlineStr">
        <is>
          <t>20/09/1996 04:10</t>
        </is>
      </c>
      <c r="D947" s="33" t="n">
        <v>0</v>
      </c>
      <c r="E947" s="33" t="n">
        <v>6</v>
      </c>
      <c r="G947" s="33" t="n">
        <v>0</v>
      </c>
      <c r="H947" s="33" t="n">
        <v>670</v>
      </c>
      <c r="I947" s="33" t="inlineStr">
        <is>
          <t>us</t>
        </is>
      </c>
      <c r="J947" s="33" t="n">
        <v>0</v>
      </c>
      <c r="K947" s="33" t="n">
        <v>0</v>
      </c>
      <c r="L947" s="33" t="n">
        <v>0</v>
      </c>
      <c r="M947" s="33" t="inlineStr">
        <is>
          <t>mwc</t>
        </is>
      </c>
      <c r="N947" s="33" t="n">
        <v>33</v>
      </c>
      <c r="O947" s="33" t="n">
        <v>9.462999999999999</v>
      </c>
      <c r="P947" s="33" t="n">
        <v>126.284</v>
      </c>
      <c r="Q947" s="33" t="inlineStr">
        <is>
          <t>Cortes, Philippines</t>
        </is>
      </c>
      <c r="S947" s="33" t="inlineStr">
        <is>
          <t>Philippines</t>
        </is>
      </c>
      <c r="T947" s="36">
        <f>DATE(MID(C947,7,4),MID(C947,4,2),MID(C947,1,2))+TIME(MID(C947,12,2),MID(C947,15,2),0)</f>
        <v/>
      </c>
      <c r="U947" s="33">
        <f>IF(ISNUMBER(VALUE(MID(A947,7,1))),"Distance-prefix pattern","Named-region pattern")</f>
        <v/>
      </c>
      <c r="V947" s="33">
        <f>LOWER(M947)</f>
        <v/>
      </c>
      <c r="W947" s="33">
        <f>IF(COUNTIFS($A$2:$A$1001,A947,$C$2:$C$1001,C947)&gt;1,"Duplicate","Unique")</f>
        <v/>
      </c>
      <c r="X947" s="33">
        <f>YEAR(T947)</f>
        <v/>
      </c>
      <c r="Y947" s="33">
        <f>IF(B947&lt;6.5,"&lt;6.5",IF(B947&lt;7,"6.5–6.9",IF(B947&lt;7.5,"7.0–7.4",IF(B947&lt;8,"7.5–7.9","8.0+"))))</f>
        <v/>
      </c>
      <c r="Z947" s="33">
        <f>IF(F947="","Blank",F947)</f>
        <v/>
      </c>
    </row>
    <row r="948" ht="15" customHeight="1" s="34">
      <c r="A948" s="33" t="inlineStr">
        <is>
          <t>M 6.8 - 78 km E of Hengchun, Taiwan</t>
        </is>
      </c>
      <c r="B948" s="33" t="n">
        <v>6.8</v>
      </c>
      <c r="C948" s="33" t="inlineStr">
        <is>
          <t>05/09/1996 23:42</t>
        </is>
      </c>
      <c r="D948" s="33" t="n">
        <v>0</v>
      </c>
      <c r="E948" s="33" t="n">
        <v>6</v>
      </c>
      <c r="G948" s="33" t="n">
        <v>0</v>
      </c>
      <c r="H948" s="33" t="n">
        <v>711</v>
      </c>
      <c r="I948" s="33" t="inlineStr">
        <is>
          <t>us</t>
        </is>
      </c>
      <c r="J948" s="33" t="n">
        <v>0</v>
      </c>
      <c r="K948" s="33" t="n">
        <v>0</v>
      </c>
      <c r="L948" s="33" t="n">
        <v>0</v>
      </c>
      <c r="M948" s="33" t="inlineStr">
        <is>
          <t>mwc</t>
        </is>
      </c>
      <c r="N948" s="33" t="n">
        <v>20</v>
      </c>
      <c r="O948" s="33" t="n">
        <v>21.898</v>
      </c>
      <c r="P948" s="33" t="n">
        <v>121.498</v>
      </c>
      <c r="Q948" s="33" t="inlineStr">
        <is>
          <t>Hengchun, Taiwan</t>
        </is>
      </c>
      <c r="S948" s="33" t="inlineStr">
        <is>
          <t>Taiwan</t>
        </is>
      </c>
      <c r="T948" s="36">
        <f>DATE(MID(C948,7,4),MID(C948,4,2),MID(C948,1,2))+TIME(MID(C948,12,2),MID(C948,15,2),0)</f>
        <v/>
      </c>
      <c r="U948" s="33">
        <f>IF(ISNUMBER(VALUE(MID(A948,7,1))),"Distance-prefix pattern","Named-region pattern")</f>
        <v/>
      </c>
      <c r="V948" s="33">
        <f>LOWER(M948)</f>
        <v/>
      </c>
      <c r="W948" s="33">
        <f>IF(COUNTIFS($A$2:$A$1001,A948,$C$2:$C$1001,C948)&gt;1,"Duplicate","Unique")</f>
        <v/>
      </c>
      <c r="X948" s="33">
        <f>YEAR(T948)</f>
        <v/>
      </c>
      <c r="Y948" s="33">
        <f>IF(B948&lt;6.5,"&lt;6.5",IF(B948&lt;7,"6.5–6.9",IF(B948&lt;7.5,"7.0–7.4",IF(B948&lt;8,"7.5–7.9","8.0+"))))</f>
        <v/>
      </c>
      <c r="Z948" s="33">
        <f>IF(F948="","Blank",F948)</f>
        <v/>
      </c>
    </row>
    <row r="949" ht="15" customHeight="1" s="34">
      <c r="A949" s="33" t="inlineStr">
        <is>
          <t>M 6.9 - 62 km WSW of Kirakira, Solomon Islands</t>
        </is>
      </c>
      <c r="B949" s="33" t="n">
        <v>6.9</v>
      </c>
      <c r="C949" s="33" t="inlineStr">
        <is>
          <t>02/08/1996 12:55</t>
        </is>
      </c>
      <c r="D949" s="33" t="n">
        <v>0</v>
      </c>
      <c r="E949" s="33" t="n">
        <v>6</v>
      </c>
      <c r="G949" s="33" t="n">
        <v>0</v>
      </c>
      <c r="H949" s="33" t="n">
        <v>732</v>
      </c>
      <c r="I949" s="33" t="inlineStr">
        <is>
          <t>us</t>
        </is>
      </c>
      <c r="J949" s="33" t="n">
        <v>0</v>
      </c>
      <c r="K949" s="33" t="n">
        <v>0</v>
      </c>
      <c r="L949" s="33" t="n">
        <v>0</v>
      </c>
      <c r="M949" s="33" t="inlineStr">
        <is>
          <t>mwc</t>
        </is>
      </c>
      <c r="N949" s="33" t="n">
        <v>33</v>
      </c>
      <c r="O949" s="33" t="n">
        <v>-10.769</v>
      </c>
      <c r="P949" s="33" t="n">
        <v>161.445</v>
      </c>
      <c r="Q949" s="33" t="inlineStr">
        <is>
          <t>Kirakira, Solomon Islands</t>
        </is>
      </c>
      <c r="S949" s="33" t="inlineStr">
        <is>
          <t>Solomon Islands</t>
        </is>
      </c>
      <c r="T949" s="36">
        <f>DATE(MID(C949,7,4),MID(C949,4,2),MID(C949,1,2))+TIME(MID(C949,12,2),MID(C949,15,2),0)</f>
        <v/>
      </c>
      <c r="U949" s="33">
        <f>IF(ISNUMBER(VALUE(MID(A949,7,1))),"Distance-prefix pattern","Named-region pattern")</f>
        <v/>
      </c>
      <c r="V949" s="33">
        <f>LOWER(M949)</f>
        <v/>
      </c>
      <c r="W949" s="33">
        <f>IF(COUNTIFS($A$2:$A$1001,A949,$C$2:$C$1001,C949)&gt;1,"Duplicate","Unique")</f>
        <v/>
      </c>
      <c r="X949" s="33">
        <f>YEAR(T949)</f>
        <v/>
      </c>
      <c r="Y949" s="33">
        <f>IF(B949&lt;6.5,"&lt;6.5",IF(B949&lt;7,"6.5–6.9",IF(B949&lt;7.5,"7.0–7.4",IF(B949&lt;8,"7.5–7.9","8.0+"))))</f>
        <v/>
      </c>
      <c r="Z949" s="33">
        <f>IF(F949="","Blank",F949)</f>
        <v/>
      </c>
    </row>
    <row r="950" ht="15" customHeight="1" s="34">
      <c r="A950" s="33" t="inlineStr">
        <is>
          <t>M 7.0 - 220 km NNE of Palu, Indonesia</t>
        </is>
      </c>
      <c r="B950" s="33" t="n">
        <v>7</v>
      </c>
      <c r="C950" s="33" t="inlineStr">
        <is>
          <t>22/07/1996 14:19</t>
        </is>
      </c>
      <c r="D950" s="33" t="n">
        <v>0</v>
      </c>
      <c r="E950" s="33" t="n">
        <v>6</v>
      </c>
      <c r="G950" s="33" t="n">
        <v>0</v>
      </c>
      <c r="H950" s="33" t="n">
        <v>754</v>
      </c>
      <c r="I950" s="33" t="inlineStr">
        <is>
          <t>us</t>
        </is>
      </c>
      <c r="J950" s="33" t="n">
        <v>0</v>
      </c>
      <c r="K950" s="33" t="n">
        <v>0</v>
      </c>
      <c r="L950" s="33" t="n">
        <v>0</v>
      </c>
      <c r="M950" s="33" t="inlineStr">
        <is>
          <t>mwc</t>
        </is>
      </c>
      <c r="N950" s="33" t="n">
        <v>33</v>
      </c>
      <c r="O950" s="33" t="n">
        <v>1</v>
      </c>
      <c r="P950" s="33" t="n">
        <v>120.45</v>
      </c>
      <c r="Q950" s="33" t="inlineStr">
        <is>
          <t>Palu, Indonesia</t>
        </is>
      </c>
      <c r="S950" s="33" t="inlineStr">
        <is>
          <t>Indonesia</t>
        </is>
      </c>
      <c r="T950" s="36">
        <f>DATE(MID(C950,7,4),MID(C950,4,2),MID(C950,1,2))+TIME(MID(C950,12,2),MID(C950,15,2),0)</f>
        <v/>
      </c>
      <c r="U950" s="33">
        <f>IF(ISNUMBER(VALUE(MID(A950,7,1))),"Distance-prefix pattern","Named-region pattern")</f>
        <v/>
      </c>
      <c r="V950" s="33">
        <f>LOWER(M950)</f>
        <v/>
      </c>
      <c r="W950" s="33">
        <f>IF(COUNTIFS($A$2:$A$1001,A950,$C$2:$C$1001,C950)&gt;1,"Duplicate","Unique")</f>
        <v/>
      </c>
      <c r="X950" s="33">
        <f>YEAR(T950)</f>
        <v/>
      </c>
      <c r="Y950" s="33">
        <f>IF(B950&lt;6.5,"&lt;6.5",IF(B950&lt;7,"6.5–6.9",IF(B950&lt;7.5,"7.0–7.4",IF(B950&lt;8,"7.5–7.9","8.0+"))))</f>
        <v/>
      </c>
      <c r="Z950" s="33">
        <f>IF(F950="","Blank",F950)</f>
        <v/>
      </c>
    </row>
    <row r="951" ht="15" customHeight="1" s="34">
      <c r="A951" s="33" t="inlineStr">
        <is>
          <t>M 6.6 - 217 km NNE of Palu, Indonesia</t>
        </is>
      </c>
      <c r="B951" s="33" t="n">
        <v>6.6</v>
      </c>
      <c r="C951" s="33" t="inlineStr">
        <is>
          <t>16/07/1996 10:07</t>
        </is>
      </c>
      <c r="D951" s="33" t="n">
        <v>0</v>
      </c>
      <c r="E951" s="33" t="n">
        <v>6</v>
      </c>
      <c r="G951" s="33" t="n">
        <v>0</v>
      </c>
      <c r="H951" s="33" t="n">
        <v>670</v>
      </c>
      <c r="I951" s="33" t="inlineStr">
        <is>
          <t>us</t>
        </is>
      </c>
      <c r="J951" s="33" t="n">
        <v>0</v>
      </c>
      <c r="K951" s="33" t="n">
        <v>0</v>
      </c>
      <c r="L951" s="33" t="n">
        <v>0</v>
      </c>
      <c r="M951" s="33" t="inlineStr">
        <is>
          <t>mwb</t>
        </is>
      </c>
      <c r="N951" s="33" t="n">
        <v>33</v>
      </c>
      <c r="O951" s="33" t="n">
        <v>1.016</v>
      </c>
      <c r="P951" s="33" t="n">
        <v>120.254</v>
      </c>
      <c r="Q951" s="33" t="inlineStr">
        <is>
          <t>Palu, Indonesia</t>
        </is>
      </c>
      <c r="S951" s="33" t="inlineStr">
        <is>
          <t>Indonesia</t>
        </is>
      </c>
      <c r="T951" s="36">
        <f>DATE(MID(C951,7,4),MID(C951,4,2),MID(C951,1,2))+TIME(MID(C951,12,2),MID(C951,15,2),0)</f>
        <v/>
      </c>
      <c r="U951" s="33">
        <f>IF(ISNUMBER(VALUE(MID(A951,7,1))),"Distance-prefix pattern","Named-region pattern")</f>
        <v/>
      </c>
      <c r="V951" s="33">
        <f>LOWER(M951)</f>
        <v/>
      </c>
      <c r="W951" s="33">
        <f>IF(COUNTIFS($A$2:$A$1001,A951,$C$2:$C$1001,C951)&gt;1,"Duplicate","Unique")</f>
        <v/>
      </c>
      <c r="X951" s="33">
        <f>YEAR(T951)</f>
        <v/>
      </c>
      <c r="Y951" s="33">
        <f>IF(B951&lt;6.5,"&lt;6.5",IF(B951&lt;7,"6.5–6.9",IF(B951&lt;7.5,"7.0–7.4",IF(B951&lt;8,"7.5–7.9","8.0+"))))</f>
        <v/>
      </c>
      <c r="Z951" s="33">
        <f>IF(F951="","Blank",F951)</f>
        <v/>
      </c>
    </row>
    <row r="952" ht="15" customHeight="1" s="34">
      <c r="A952" s="33" t="inlineStr">
        <is>
          <t>M 6.8 - 26 km NNE of Coyuquilla Norte, Mexico</t>
        </is>
      </c>
      <c r="B952" s="33" t="n">
        <v>6.8</v>
      </c>
      <c r="C952" s="33" t="inlineStr">
        <is>
          <t>15/07/1996 21:23</t>
        </is>
      </c>
      <c r="D952" s="33" t="n">
        <v>0</v>
      </c>
      <c r="E952" s="33" t="n">
        <v>6</v>
      </c>
      <c r="G952" s="33" t="n">
        <v>0</v>
      </c>
      <c r="H952" s="33" t="n">
        <v>711</v>
      </c>
      <c r="I952" s="33" t="inlineStr">
        <is>
          <t>us</t>
        </is>
      </c>
      <c r="J952" s="33" t="n">
        <v>0</v>
      </c>
      <c r="K952" s="33" t="n">
        <v>0</v>
      </c>
      <c r="L952" s="33" t="n">
        <v>0</v>
      </c>
      <c r="M952" s="33" t="inlineStr">
        <is>
          <t>mwb</t>
        </is>
      </c>
      <c r="N952" s="33" t="n">
        <v>18.3</v>
      </c>
      <c r="O952" s="33" t="n">
        <v>17.6</v>
      </c>
      <c r="P952" s="33" t="n">
        <v>-100.965</v>
      </c>
      <c r="Q952" s="33" t="inlineStr">
        <is>
          <t>Coyuquilla Norte, Mexico</t>
        </is>
      </c>
      <c r="R952" s="33" t="inlineStr">
        <is>
          <t>North America</t>
        </is>
      </c>
      <c r="S952" s="33" t="inlineStr">
        <is>
          <t>Mexico</t>
        </is>
      </c>
      <c r="T952" s="36">
        <f>DATE(MID(C952,7,4),MID(C952,4,2),MID(C952,1,2))+TIME(MID(C952,12,2),MID(C952,15,2),0)</f>
        <v/>
      </c>
      <c r="U952" s="33">
        <f>IF(ISNUMBER(VALUE(MID(A952,7,1))),"Distance-prefix pattern","Named-region pattern")</f>
        <v/>
      </c>
      <c r="V952" s="33">
        <f>LOWER(M952)</f>
        <v/>
      </c>
      <c r="W952" s="33">
        <f>IF(COUNTIFS($A$2:$A$1001,A952,$C$2:$C$1001,C952)&gt;1,"Duplicate","Unique")</f>
        <v/>
      </c>
      <c r="X952" s="33">
        <f>YEAR(T952)</f>
        <v/>
      </c>
      <c r="Y952" s="33">
        <f>IF(B952&lt;6.5,"&lt;6.5",IF(B952&lt;7,"6.5–6.9",IF(B952&lt;7.5,"7.0–7.4",IF(B952&lt;8,"7.5–7.9","8.0+"))))</f>
        <v/>
      </c>
      <c r="Z952" s="33">
        <f>IF(F952="","Blank",F952)</f>
        <v/>
      </c>
    </row>
    <row r="953" ht="15" customHeight="1" s="34">
      <c r="A953" s="33" t="inlineStr">
        <is>
          <t>M 7.9 - 169 km NNE of Maumere, Indonesia</t>
        </is>
      </c>
      <c r="B953" s="33" t="n">
        <v>7.9</v>
      </c>
      <c r="C953" s="33" t="inlineStr">
        <is>
          <t>17/06/1996 11:22</t>
        </is>
      </c>
      <c r="D953" s="33" t="n">
        <v>0</v>
      </c>
      <c r="E953" s="33" t="n">
        <v>4</v>
      </c>
      <c r="G953" s="33" t="n">
        <v>0</v>
      </c>
      <c r="H953" s="33" t="n">
        <v>960</v>
      </c>
      <c r="I953" s="33" t="inlineStr">
        <is>
          <t>us</t>
        </is>
      </c>
      <c r="J953" s="33" t="n">
        <v>0</v>
      </c>
      <c r="K953" s="33" t="n">
        <v>0</v>
      </c>
      <c r="L953" s="33" t="n">
        <v>0</v>
      </c>
      <c r="M953" s="33" t="inlineStr">
        <is>
          <t>mwc</t>
        </is>
      </c>
      <c r="N953" s="33" t="n">
        <v>587.3</v>
      </c>
      <c r="O953" s="33" t="n">
        <v>-7.137</v>
      </c>
      <c r="P953" s="33" t="n">
        <v>122.589</v>
      </c>
      <c r="Q953" s="33" t="inlineStr">
        <is>
          <t>Maumere, Indonesia</t>
        </is>
      </c>
      <c r="S953" s="33" t="inlineStr">
        <is>
          <t>Indonesia</t>
        </is>
      </c>
      <c r="T953" s="36">
        <f>DATE(MID(C953,7,4),MID(C953,4,2),MID(C953,1,2))+TIME(MID(C953,12,2),MID(C953,15,2),0)</f>
        <v/>
      </c>
      <c r="U953" s="33">
        <f>IF(ISNUMBER(VALUE(MID(A953,7,1))),"Distance-prefix pattern","Named-region pattern")</f>
        <v/>
      </c>
      <c r="V953" s="33">
        <f>LOWER(M953)</f>
        <v/>
      </c>
      <c r="W953" s="33">
        <f>IF(COUNTIFS($A$2:$A$1001,A953,$C$2:$C$1001,C953)&gt;1,"Duplicate","Unique")</f>
        <v/>
      </c>
      <c r="X953" s="33">
        <f>YEAR(T953)</f>
        <v/>
      </c>
      <c r="Y953" s="33">
        <f>IF(B953&lt;6.5,"&lt;6.5",IF(B953&lt;7,"6.5–6.9",IF(B953&lt;7.5,"7.0–7.4",IF(B953&lt;8,"7.5–7.9","8.0+"))))</f>
        <v/>
      </c>
      <c r="Z953" s="33">
        <f>IF(F953="","Blank",F953)</f>
        <v/>
      </c>
    </row>
    <row r="954" ht="15" customHeight="1" s="34">
      <c r="A954" s="33" t="inlineStr">
        <is>
          <t>M 7.1 - 8 km NNE of Palapag, Philippines</t>
        </is>
      </c>
      <c r="B954" s="33" t="n">
        <v>7.1</v>
      </c>
      <c r="C954" s="33" t="inlineStr">
        <is>
          <t>11/06/1996 18:22</t>
        </is>
      </c>
      <c r="D954" s="33" t="n">
        <v>0</v>
      </c>
      <c r="E954" s="33" t="n">
        <v>6</v>
      </c>
      <c r="G954" s="33" t="n">
        <v>0</v>
      </c>
      <c r="H954" s="33" t="n">
        <v>776</v>
      </c>
      <c r="I954" s="33" t="inlineStr">
        <is>
          <t>us</t>
        </is>
      </c>
      <c r="J954" s="33" t="n">
        <v>0</v>
      </c>
      <c r="K954" s="33" t="n">
        <v>0</v>
      </c>
      <c r="L954" s="33" t="n">
        <v>0</v>
      </c>
      <c r="M954" s="33" t="inlineStr">
        <is>
          <t>mwc</t>
        </is>
      </c>
      <c r="N954" s="33" t="n">
        <v>33</v>
      </c>
      <c r="O954" s="33" t="n">
        <v>12.614</v>
      </c>
      <c r="P954" s="33" t="n">
        <v>125.154</v>
      </c>
      <c r="Q954" s="33" t="inlineStr">
        <is>
          <t>Palapag, Philippines</t>
        </is>
      </c>
      <c r="S954" s="33" t="inlineStr">
        <is>
          <t>Philippines</t>
        </is>
      </c>
      <c r="T954" s="36">
        <f>DATE(MID(C954,7,4),MID(C954,4,2),MID(C954,1,2))+TIME(MID(C954,12,2),MID(C954,15,2),0)</f>
        <v/>
      </c>
      <c r="U954" s="33">
        <f>IF(ISNUMBER(VALUE(MID(A954,7,1))),"Distance-prefix pattern","Named-region pattern")</f>
        <v/>
      </c>
      <c r="V954" s="33">
        <f>LOWER(M954)</f>
        <v/>
      </c>
      <c r="W954" s="33">
        <f>IF(COUNTIFS($A$2:$A$1001,A954,$C$2:$C$1001,C954)&gt;1,"Duplicate","Unique")</f>
        <v/>
      </c>
      <c r="X954" s="33">
        <f>YEAR(T954)</f>
        <v/>
      </c>
      <c r="Y954" s="33">
        <f>IF(B954&lt;6.5,"&lt;6.5",IF(B954&lt;7,"6.5–6.9",IF(B954&lt;7.5,"7.0–7.4",IF(B954&lt;8,"7.5–7.9","8.0+"))))</f>
        <v/>
      </c>
      <c r="Z954" s="33">
        <f>IF(F954="","Blank",F954)</f>
        <v/>
      </c>
    </row>
    <row r="955" ht="15" customHeight="1" s="34">
      <c r="A955" s="33" t="inlineStr">
        <is>
          <t>M 7.3 - 46 km SSW of Adak, Alaska</t>
        </is>
      </c>
      <c r="B955" s="33" t="n">
        <v>7.3</v>
      </c>
      <c r="C955" s="33" t="inlineStr">
        <is>
          <t>10/06/1996 15:24</t>
        </is>
      </c>
      <c r="D955" s="33" t="n">
        <v>0</v>
      </c>
      <c r="E955" s="33" t="n">
        <v>7</v>
      </c>
      <c r="G955" s="33" t="n">
        <v>0</v>
      </c>
      <c r="H955" s="33" t="n">
        <v>820</v>
      </c>
      <c r="I955" s="33" t="inlineStr">
        <is>
          <t>us</t>
        </is>
      </c>
      <c r="J955" s="33" t="n">
        <v>0</v>
      </c>
      <c r="K955" s="33" t="n">
        <v>0</v>
      </c>
      <c r="L955" s="33" t="n">
        <v>0</v>
      </c>
      <c r="M955" s="33" t="inlineStr">
        <is>
          <t>mwc</t>
        </is>
      </c>
      <c r="N955" s="33" t="n">
        <v>26.3</v>
      </c>
      <c r="O955" s="33" t="n">
        <v>51.478</v>
      </c>
      <c r="P955" s="33" t="n">
        <v>-176.847</v>
      </c>
      <c r="Q955" s="33" t="inlineStr">
        <is>
          <t>Adak, Alaska</t>
        </is>
      </c>
      <c r="R955" s="33" t="inlineStr">
        <is>
          <t>North America</t>
        </is>
      </c>
      <c r="S955" s="33" t="inlineStr">
        <is>
          <t>United States of America</t>
        </is>
      </c>
      <c r="T955" s="36">
        <f>DATE(MID(C955,7,4),MID(C955,4,2),MID(C955,1,2))+TIME(MID(C955,12,2),MID(C955,15,2),0)</f>
        <v/>
      </c>
      <c r="U955" s="33">
        <f>IF(ISNUMBER(VALUE(MID(A955,7,1))),"Distance-prefix pattern","Named-region pattern")</f>
        <v/>
      </c>
      <c r="V955" s="33">
        <f>LOWER(M955)</f>
        <v/>
      </c>
      <c r="W955" s="33">
        <f>IF(COUNTIFS($A$2:$A$1001,A955,$C$2:$C$1001,C955)&gt;1,"Duplicate","Unique")</f>
        <v/>
      </c>
      <c r="X955" s="33">
        <f>YEAR(T955)</f>
        <v/>
      </c>
      <c r="Y955" s="33">
        <f>IF(B955&lt;6.5,"&lt;6.5",IF(B955&lt;7,"6.5–6.9",IF(B955&lt;7.5,"7.0–7.4",IF(B955&lt;8,"7.5–7.9","8.0+"))))</f>
        <v/>
      </c>
      <c r="Z955" s="33">
        <f>IF(F955="","Blank",F955)</f>
        <v/>
      </c>
    </row>
    <row r="956" ht="15" customHeight="1" s="34">
      <c r="A956" s="33" t="inlineStr">
        <is>
          <t>M 7.9 - 77 km WSW of Adak, Alaska</t>
        </is>
      </c>
      <c r="B956" s="33" t="n">
        <v>7.9</v>
      </c>
      <c r="C956" s="33" t="inlineStr">
        <is>
          <t>10/06/1996 04:03</t>
        </is>
      </c>
      <c r="D956" s="33" t="n">
        <v>0</v>
      </c>
      <c r="E956" s="33" t="n">
        <v>7</v>
      </c>
      <c r="G956" s="33" t="n">
        <v>0</v>
      </c>
      <c r="H956" s="33" t="n">
        <v>960</v>
      </c>
      <c r="I956" s="33" t="inlineStr">
        <is>
          <t>us</t>
        </is>
      </c>
      <c r="J956" s="33" t="n">
        <v>0</v>
      </c>
      <c r="K956" s="33" t="n">
        <v>0</v>
      </c>
      <c r="L956" s="33" t="n">
        <v>0</v>
      </c>
      <c r="M956" s="33" t="inlineStr">
        <is>
          <t>mwc</t>
        </is>
      </c>
      <c r="N956" s="33" t="n">
        <v>33</v>
      </c>
      <c r="O956" s="33" t="n">
        <v>51.564</v>
      </c>
      <c r="P956" s="33" t="n">
        <v>-177.632</v>
      </c>
      <c r="Q956" s="33" t="inlineStr">
        <is>
          <t>Adak, Alaska</t>
        </is>
      </c>
      <c r="R956" s="33" t="inlineStr">
        <is>
          <t>North America</t>
        </is>
      </c>
      <c r="S956" s="33" t="inlineStr">
        <is>
          <t>United States of America</t>
        </is>
      </c>
      <c r="T956" s="36">
        <f>DATE(MID(C956,7,4),MID(C956,4,2),MID(C956,1,2))+TIME(MID(C956,12,2),MID(C956,15,2),0)</f>
        <v/>
      </c>
      <c r="U956" s="33">
        <f>IF(ISNUMBER(VALUE(MID(A956,7,1))),"Distance-prefix pattern","Named-region pattern")</f>
        <v/>
      </c>
      <c r="V956" s="33">
        <f>LOWER(M956)</f>
        <v/>
      </c>
      <c r="W956" s="33">
        <f>IF(COUNTIFS($A$2:$A$1001,A956,$C$2:$C$1001,C956)&gt;1,"Duplicate","Unique")</f>
        <v/>
      </c>
      <c r="X956" s="33">
        <f>YEAR(T956)</f>
        <v/>
      </c>
      <c r="Y956" s="33">
        <f>IF(B956&lt;6.5,"&lt;6.5",IF(B956&lt;7,"6.5–6.9",IF(B956&lt;7.5,"7.0–7.4",IF(B956&lt;8,"7.5–7.9","8.0+"))))</f>
        <v/>
      </c>
      <c r="Z956" s="33">
        <f>IF(F956="","Blank",F956)</f>
        <v/>
      </c>
    </row>
    <row r="957" ht="15" customHeight="1" s="34">
      <c r="A957" s="33" t="inlineStr">
        <is>
          <t>M 6.7 - 63 km NW of Sola, Vanuatu</t>
        </is>
      </c>
      <c r="B957" s="33" t="n">
        <v>6.7</v>
      </c>
      <c r="C957" s="33" t="inlineStr">
        <is>
          <t>10/06/1996 01:04</t>
        </is>
      </c>
      <c r="D957" s="33" t="n">
        <v>0</v>
      </c>
      <c r="E957" s="33" t="n">
        <v>4</v>
      </c>
      <c r="G957" s="33" t="n">
        <v>0</v>
      </c>
      <c r="H957" s="33" t="n">
        <v>691</v>
      </c>
      <c r="I957" s="33" t="inlineStr">
        <is>
          <t>us</t>
        </is>
      </c>
      <c r="J957" s="33" t="n">
        <v>0</v>
      </c>
      <c r="K957" s="33" t="n">
        <v>0</v>
      </c>
      <c r="L957" s="33" t="n">
        <v>0</v>
      </c>
      <c r="M957" s="33" t="inlineStr">
        <is>
          <t>mwc</t>
        </is>
      </c>
      <c r="N957" s="33" t="n">
        <v>200.1</v>
      </c>
      <c r="O957" s="33" t="n">
        <v>-13.481</v>
      </c>
      <c r="P957" s="33" t="n">
        <v>167.13</v>
      </c>
      <c r="Q957" s="33" t="inlineStr">
        <is>
          <t>Sola, Vanuatu</t>
        </is>
      </c>
      <c r="S957" s="33" t="inlineStr">
        <is>
          <t>Vanuatu</t>
        </is>
      </c>
      <c r="T957" s="36">
        <f>DATE(MID(C957,7,4),MID(C957,4,2),MID(C957,1,2))+TIME(MID(C957,12,2),MID(C957,15,2),0)</f>
        <v/>
      </c>
      <c r="U957" s="33">
        <f>IF(ISNUMBER(VALUE(MID(A957,7,1))),"Distance-prefix pattern","Named-region pattern")</f>
        <v/>
      </c>
      <c r="V957" s="33">
        <f>LOWER(M957)</f>
        <v/>
      </c>
      <c r="W957" s="33">
        <f>IF(COUNTIFS($A$2:$A$1001,A957,$C$2:$C$1001,C957)&gt;1,"Duplicate","Unique")</f>
        <v/>
      </c>
      <c r="X957" s="33">
        <f>YEAR(T957)</f>
        <v/>
      </c>
      <c r="Y957" s="33">
        <f>IF(B957&lt;6.5,"&lt;6.5",IF(B957&lt;7,"6.5–6.9",IF(B957&lt;7.5,"7.0–7.4",IF(B957&lt;8,"7.5–7.9","8.0+"))))</f>
        <v/>
      </c>
      <c r="Z957" s="33">
        <f>IF(F957="","Blank",F957)</f>
        <v/>
      </c>
    </row>
    <row r="958" ht="15" customHeight="1" s="34">
      <c r="A958" s="33" t="inlineStr">
        <is>
          <t>M 7.2 - 58 km WSW of Panguna, Papua New Guinea</t>
        </is>
      </c>
      <c r="B958" s="33" t="n">
        <v>7.2</v>
      </c>
      <c r="C958" s="33" t="inlineStr">
        <is>
          <t>29/04/1996 14:40</t>
        </is>
      </c>
      <c r="D958" s="33" t="n">
        <v>0</v>
      </c>
      <c r="E958" s="33" t="n">
        <v>6</v>
      </c>
      <c r="G958" s="33" t="n">
        <v>0</v>
      </c>
      <c r="H958" s="33" t="n">
        <v>798</v>
      </c>
      <c r="I958" s="33" t="inlineStr">
        <is>
          <t>us</t>
        </is>
      </c>
      <c r="J958" s="33" t="n">
        <v>0</v>
      </c>
      <c r="K958" s="33" t="n">
        <v>0</v>
      </c>
      <c r="L958" s="33" t="n">
        <v>0</v>
      </c>
      <c r="M958" s="33" t="inlineStr">
        <is>
          <t>mwc</t>
        </is>
      </c>
      <c r="N958" s="33" t="n">
        <v>44</v>
      </c>
      <c r="O958" s="33" t="n">
        <v>-6.518</v>
      </c>
      <c r="P958" s="33" t="n">
        <v>154.999</v>
      </c>
      <c r="Q958" s="33" t="inlineStr">
        <is>
          <t>Panguna, Papua New Guinea</t>
        </is>
      </c>
      <c r="S958" s="33" t="inlineStr">
        <is>
          <t>Papua New Guinea</t>
        </is>
      </c>
      <c r="T958" s="36">
        <f>DATE(MID(C958,7,4),MID(C958,4,2),MID(C958,1,2))+TIME(MID(C958,12,2),MID(C958,15,2),0)</f>
        <v/>
      </c>
      <c r="U958" s="33">
        <f>IF(ISNUMBER(VALUE(MID(A958,7,1))),"Distance-prefix pattern","Named-region pattern")</f>
        <v/>
      </c>
      <c r="V958" s="33">
        <f>LOWER(M958)</f>
        <v/>
      </c>
      <c r="W958" s="33">
        <f>IF(COUNTIFS($A$2:$A$1001,A958,$C$2:$C$1001,C958)&gt;1,"Duplicate","Unique")</f>
        <v/>
      </c>
      <c r="X958" s="33">
        <f>YEAR(T958)</f>
        <v/>
      </c>
      <c r="Y958" s="33">
        <f>IF(B958&lt;6.5,"&lt;6.5",IF(B958&lt;7,"6.5–6.9",IF(B958&lt;7.5,"7.0–7.4",IF(B958&lt;8,"7.5–7.9","8.0+"))))</f>
        <v/>
      </c>
      <c r="Z958" s="33">
        <f>IF(F958="","Blank",F958)</f>
        <v/>
      </c>
    </row>
    <row r="959" ht="15" customHeight="1" s="34">
      <c r="A959" s="33" t="inlineStr">
        <is>
          <t>M 6.6 - 44 km SE of Antofagasta, Chile</t>
        </is>
      </c>
      <c r="B959" s="33" t="n">
        <v>6.6</v>
      </c>
      <c r="C959" s="33" t="inlineStr">
        <is>
          <t>19/04/1996 00:19</t>
        </is>
      </c>
      <c r="D959" s="33" t="n">
        <v>0</v>
      </c>
      <c r="E959" s="33" t="n">
        <v>7</v>
      </c>
      <c r="G959" s="33" t="n">
        <v>0</v>
      </c>
      <c r="H959" s="33" t="n">
        <v>670</v>
      </c>
      <c r="I959" s="33" t="inlineStr">
        <is>
          <t>us</t>
        </is>
      </c>
      <c r="J959" s="33" t="n">
        <v>0</v>
      </c>
      <c r="K959" s="33" t="n">
        <v>0</v>
      </c>
      <c r="L959" s="33" t="n">
        <v>0</v>
      </c>
      <c r="M959" s="33" t="inlineStr">
        <is>
          <t>mwb</t>
        </is>
      </c>
      <c r="N959" s="33" t="n">
        <v>49.5</v>
      </c>
      <c r="O959" s="33" t="n">
        <v>-23.944</v>
      </c>
      <c r="P959" s="33" t="n">
        <v>-70.093</v>
      </c>
      <c r="Q959" s="33" t="inlineStr">
        <is>
          <t>Ant</t>
        </is>
      </c>
      <c r="R959" s="33" t="inlineStr">
        <is>
          <t>South America</t>
        </is>
      </c>
      <c r="S959" s="33" t="inlineStr">
        <is>
          <t>Chile</t>
        </is>
      </c>
      <c r="T959" s="36">
        <f>DATE(MID(C959,7,4),MID(C959,4,2),MID(C959,1,2))+TIME(MID(C959,12,2),MID(C959,15,2),0)</f>
        <v/>
      </c>
      <c r="U959" s="33">
        <f>IF(ISNUMBER(VALUE(MID(A959,7,1))),"Distance-prefix pattern","Named-region pattern")</f>
        <v/>
      </c>
      <c r="V959" s="33">
        <f>LOWER(M959)</f>
        <v/>
      </c>
      <c r="W959" s="33">
        <f>IF(COUNTIFS($A$2:$A$1001,A959,$C$2:$C$1001,C959)&gt;1,"Duplicate","Unique")</f>
        <v/>
      </c>
      <c r="X959" s="33">
        <f>YEAR(T959)</f>
        <v/>
      </c>
      <c r="Y959" s="33">
        <f>IF(B959&lt;6.5,"&lt;6.5",IF(B959&lt;7,"6.5–6.9",IF(B959&lt;7.5,"7.0–7.4",IF(B959&lt;8,"7.5–7.9","8.0+"))))</f>
        <v/>
      </c>
      <c r="Z959" s="33">
        <f>IF(F959="","Blank",F959)</f>
        <v/>
      </c>
    </row>
    <row r="960" ht="15" customHeight="1" s="34">
      <c r="A960" s="33" t="inlineStr">
        <is>
          <t>M 6.7 - 44 km NNE of Port-Olry, Vanuatu</t>
        </is>
      </c>
      <c r="B960" s="33" t="n">
        <v>6.7</v>
      </c>
      <c r="C960" s="33" t="inlineStr">
        <is>
          <t>17/03/1996 14:48</t>
        </is>
      </c>
      <c r="D960" s="33" t="n">
        <v>0</v>
      </c>
      <c r="E960" s="33" t="n">
        <v>5</v>
      </c>
      <c r="G960" s="33" t="n">
        <v>0</v>
      </c>
      <c r="H960" s="33" t="n">
        <v>691</v>
      </c>
      <c r="I960" s="33" t="inlineStr">
        <is>
          <t>us</t>
        </is>
      </c>
      <c r="J960" s="33" t="n">
        <v>0</v>
      </c>
      <c r="K960" s="33" t="n">
        <v>0</v>
      </c>
      <c r="L960" s="33" t="n">
        <v>0</v>
      </c>
      <c r="M960" s="33" t="inlineStr">
        <is>
          <t>mwc</t>
        </is>
      </c>
      <c r="N960" s="33" t="n">
        <v>164.4</v>
      </c>
      <c r="O960" s="33" t="n">
        <v>-14.705</v>
      </c>
      <c r="P960" s="33" t="n">
        <v>167.297</v>
      </c>
      <c r="Q960" s="33" t="inlineStr">
        <is>
          <t>Port-Olry, Vanuatu</t>
        </is>
      </c>
      <c r="S960" s="33" t="inlineStr">
        <is>
          <t>Vanuatu</t>
        </is>
      </c>
      <c r="T960" s="36">
        <f>DATE(MID(C960,7,4),MID(C960,4,2),MID(C960,1,2))+TIME(MID(C960,12,2),MID(C960,15,2),0)</f>
        <v/>
      </c>
      <c r="U960" s="33">
        <f>IF(ISNUMBER(VALUE(MID(A960,7,1))),"Distance-prefix pattern","Named-region pattern")</f>
        <v/>
      </c>
      <c r="V960" s="33">
        <f>LOWER(M960)</f>
        <v/>
      </c>
      <c r="W960" s="33">
        <f>IF(COUNTIFS($A$2:$A$1001,A960,$C$2:$C$1001,C960)&gt;1,"Duplicate","Unique")</f>
        <v/>
      </c>
      <c r="X960" s="33">
        <f>YEAR(T960)</f>
        <v/>
      </c>
      <c r="Y960" s="33">
        <f>IF(B960&lt;6.5,"&lt;6.5",IF(B960&lt;7,"6.5–6.9",IF(B960&lt;7.5,"7.0–7.4",IF(B960&lt;8,"7.5–7.9","8.0+"))))</f>
        <v/>
      </c>
      <c r="Z960" s="33">
        <f>IF(F960="","Blank",F960)</f>
        <v/>
      </c>
    </row>
    <row r="961" ht="15" customHeight="1" s="34">
      <c r="A961" s="33" t="inlineStr">
        <is>
          <t>M 6.7 - 30 km WSW of Villa El Carmen, Nicaragua</t>
        </is>
      </c>
      <c r="B961" s="33" t="n">
        <v>6.7</v>
      </c>
      <c r="C961" s="33" t="inlineStr">
        <is>
          <t>03/03/1996 16:37</t>
        </is>
      </c>
      <c r="D961" s="33" t="n">
        <v>0</v>
      </c>
      <c r="E961" s="33" t="n">
        <v>6</v>
      </c>
      <c r="G961" s="33" t="n">
        <v>0</v>
      </c>
      <c r="H961" s="33" t="n">
        <v>691</v>
      </c>
      <c r="I961" s="33" t="inlineStr">
        <is>
          <t>us</t>
        </is>
      </c>
      <c r="J961" s="33" t="n">
        <v>0</v>
      </c>
      <c r="K961" s="33" t="n">
        <v>0</v>
      </c>
      <c r="L961" s="33" t="n">
        <v>0</v>
      </c>
      <c r="M961" s="33" t="inlineStr">
        <is>
          <t>mwc</t>
        </is>
      </c>
      <c r="N961" s="33" t="n">
        <v>33</v>
      </c>
      <c r="O961" s="33" t="n">
        <v>11.905</v>
      </c>
      <c r="P961" s="33" t="n">
        <v>-86.77200000000001</v>
      </c>
      <c r="Q961" s="33" t="inlineStr">
        <is>
          <t>Villa El Carmen, Nicaragua</t>
        </is>
      </c>
      <c r="S961" s="33" t="inlineStr">
        <is>
          <t>Nicaragua</t>
        </is>
      </c>
      <c r="T961" s="36">
        <f>DATE(MID(C961,7,4),MID(C961,4,2),MID(C961,1,2))+TIME(MID(C961,12,2),MID(C961,15,2),0)</f>
        <v/>
      </c>
      <c r="U961" s="33">
        <f>IF(ISNUMBER(VALUE(MID(A961,7,1))),"Distance-prefix pattern","Named-region pattern")</f>
        <v/>
      </c>
      <c r="V961" s="33">
        <f>LOWER(M961)</f>
        <v/>
      </c>
      <c r="W961" s="33">
        <f>IF(COUNTIFS($A$2:$A$1001,A961,$C$2:$C$1001,C961)&gt;1,"Duplicate","Unique")</f>
        <v/>
      </c>
      <c r="X961" s="33">
        <f>YEAR(T961)</f>
        <v/>
      </c>
      <c r="Y961" s="33">
        <f>IF(B961&lt;6.5,"&lt;6.5",IF(B961&lt;7,"6.5–6.9",IF(B961&lt;7.5,"7.0–7.4",IF(B961&lt;8,"7.5–7.9","8.0+"))))</f>
        <v/>
      </c>
      <c r="Z961" s="33">
        <f>IF(F961="","Blank",F961)</f>
        <v/>
      </c>
    </row>
    <row r="962" ht="15" customHeight="1" s="34">
      <c r="A962" s="33" t="inlineStr">
        <is>
          <t>M 6.6 - 39 km WSW of Masachapa, Nicaragua</t>
        </is>
      </c>
      <c r="B962" s="33" t="n">
        <v>6.6</v>
      </c>
      <c r="C962" s="33" t="inlineStr">
        <is>
          <t>03/03/1996 14:55</t>
        </is>
      </c>
      <c r="D962" s="33" t="n">
        <v>0</v>
      </c>
      <c r="E962" s="33" t="n">
        <v>6</v>
      </c>
      <c r="G962" s="33" t="n">
        <v>0</v>
      </c>
      <c r="H962" s="33" t="n">
        <v>670</v>
      </c>
      <c r="I962" s="33" t="inlineStr">
        <is>
          <t>us</t>
        </is>
      </c>
      <c r="J962" s="33" t="n">
        <v>0</v>
      </c>
      <c r="K962" s="33" t="n">
        <v>0</v>
      </c>
      <c r="L962" s="33" t="n">
        <v>0</v>
      </c>
      <c r="M962" s="33" t="inlineStr">
        <is>
          <t>mwc</t>
        </is>
      </c>
      <c r="N962" s="33" t="n">
        <v>33</v>
      </c>
      <c r="O962" s="33" t="n">
        <v>11.657</v>
      </c>
      <c r="P962" s="33" t="n">
        <v>-86.85599999999999</v>
      </c>
      <c r="Q962" s="33" t="inlineStr">
        <is>
          <t>Masachapa, Nicaragua</t>
        </is>
      </c>
      <c r="T962" s="36">
        <f>DATE(MID(C962,7,4),MID(C962,4,2),MID(C962,1,2))+TIME(MID(C962,12,2),MID(C962,15,2),0)</f>
        <v/>
      </c>
      <c r="U962" s="33">
        <f>IF(ISNUMBER(VALUE(MID(A962,7,1))),"Distance-prefix pattern","Named-region pattern")</f>
        <v/>
      </c>
      <c r="V962" s="33">
        <f>LOWER(M962)</f>
        <v/>
      </c>
      <c r="W962" s="33">
        <f>IF(COUNTIFS($A$2:$A$1001,A962,$C$2:$C$1001,C962)&gt;1,"Duplicate","Unique")</f>
        <v/>
      </c>
      <c r="X962" s="33">
        <f>YEAR(T962)</f>
        <v/>
      </c>
      <c r="Y962" s="33">
        <f>IF(B962&lt;6.5,"&lt;6.5",IF(B962&lt;7,"6.5–6.9",IF(B962&lt;7.5,"7.0–7.4",IF(B962&lt;8,"7.5–7.9","8.0+"))))</f>
        <v/>
      </c>
      <c r="Z962" s="33">
        <f>IF(F962="","Blank",F962)</f>
        <v/>
      </c>
    </row>
    <row r="963" ht="15" customHeight="1" s="34">
      <c r="A963" s="33" t="inlineStr">
        <is>
          <t>M 7.1 - 24 km SSW of Santa María Chico Ometepec, Mexico</t>
        </is>
      </c>
      <c r="B963" s="33" t="n">
        <v>7.1</v>
      </c>
      <c r="C963" s="33" t="inlineStr">
        <is>
          <t>25/02/1996 03:08</t>
        </is>
      </c>
      <c r="D963" s="33" t="n">
        <v>0</v>
      </c>
      <c r="E963" s="33" t="n">
        <v>7</v>
      </c>
      <c r="G963" s="33" t="n">
        <v>0</v>
      </c>
      <c r="H963" s="33" t="n">
        <v>776</v>
      </c>
      <c r="I963" s="33" t="inlineStr">
        <is>
          <t>us</t>
        </is>
      </c>
      <c r="J963" s="33" t="n">
        <v>0</v>
      </c>
      <c r="K963" s="33" t="n">
        <v>0</v>
      </c>
      <c r="L963" s="33" t="n">
        <v>0</v>
      </c>
      <c r="M963" s="33" t="inlineStr">
        <is>
          <t>mw</t>
        </is>
      </c>
      <c r="N963" s="33" t="n">
        <v>21.1</v>
      </c>
      <c r="O963" s="33" t="n">
        <v>15.978</v>
      </c>
      <c r="P963" s="33" t="n">
        <v>-98.06999999999999</v>
      </c>
      <c r="Q963" s="33" t="inlineStr">
        <is>
          <t>Santa María Chico Ometepec, Mexico</t>
        </is>
      </c>
      <c r="R963" s="33" t="inlineStr">
        <is>
          <t>North America</t>
        </is>
      </c>
      <c r="S963" s="33" t="inlineStr">
        <is>
          <t>Mexico</t>
        </is>
      </c>
      <c r="T963" s="36">
        <f>DATE(MID(C963,7,4),MID(C963,4,2),MID(C963,1,2))+TIME(MID(C963,12,2),MID(C963,15,2),0)</f>
        <v/>
      </c>
      <c r="U963" s="33">
        <f>IF(ISNUMBER(VALUE(MID(A963,7,1))),"Distance-prefix pattern","Named-region pattern")</f>
        <v/>
      </c>
      <c r="V963" s="33">
        <f>LOWER(M963)</f>
        <v/>
      </c>
      <c r="W963" s="33">
        <f>IF(COUNTIFS($A$2:$A$1001,A963,$C$2:$C$1001,C963)&gt;1,"Duplicate","Unique")</f>
        <v/>
      </c>
      <c r="X963" s="33">
        <f>YEAR(T963)</f>
        <v/>
      </c>
      <c r="Y963" s="33">
        <f>IF(B963&lt;6.5,"&lt;6.5",IF(B963&lt;7,"6.5–6.9",IF(B963&lt;7.5,"7.0–7.4",IF(B963&lt;8,"7.5–7.9","8.0+"))))</f>
        <v/>
      </c>
      <c r="Z963" s="33">
        <f>IF(F963="","Blank",F963)</f>
        <v/>
      </c>
    </row>
    <row r="964" ht="15" customHeight="1" s="34">
      <c r="A964" s="33" t="inlineStr">
        <is>
          <t>M 7.5 - 123 km WSW of Puerto Santa, Peru</t>
        </is>
      </c>
      <c r="B964" s="33" t="n">
        <v>7.5</v>
      </c>
      <c r="C964" s="33" t="inlineStr">
        <is>
          <t>21/02/1996 12:51</t>
        </is>
      </c>
      <c r="D964" s="33" t="n">
        <v>0</v>
      </c>
      <c r="E964" s="33" t="n">
        <v>6</v>
      </c>
      <c r="G964" s="33" t="n">
        <v>0</v>
      </c>
      <c r="H964" s="33" t="n">
        <v>865</v>
      </c>
      <c r="I964" s="33" t="inlineStr">
        <is>
          <t>us</t>
        </is>
      </c>
      <c r="J964" s="33" t="n">
        <v>0</v>
      </c>
      <c r="K964" s="33" t="n">
        <v>0</v>
      </c>
      <c r="L964" s="33" t="n">
        <v>0</v>
      </c>
      <c r="M964" s="33" t="inlineStr">
        <is>
          <t>mw</t>
        </is>
      </c>
      <c r="N964" s="33" t="n">
        <v>10</v>
      </c>
      <c r="O964" s="33" t="n">
        <v>-9.593</v>
      </c>
      <c r="P964" s="33" t="n">
        <v>-79.587</v>
      </c>
      <c r="Q964" s="33" t="inlineStr">
        <is>
          <t>Puerto Santa, Peru</t>
        </is>
      </c>
      <c r="S964" s="33" t="inlineStr">
        <is>
          <t>Peru</t>
        </is>
      </c>
      <c r="T964" s="36">
        <f>DATE(MID(C964,7,4),MID(C964,4,2),MID(C964,1,2))+TIME(MID(C964,12,2),MID(C964,15,2),0)</f>
        <v/>
      </c>
      <c r="U964" s="33">
        <f>IF(ISNUMBER(VALUE(MID(A964,7,1))),"Distance-prefix pattern","Named-region pattern")</f>
        <v/>
      </c>
      <c r="V964" s="33">
        <f>LOWER(M964)</f>
        <v/>
      </c>
      <c r="W964" s="33">
        <f>IF(COUNTIFS($A$2:$A$1001,A964,$C$2:$C$1001,C964)&gt;1,"Duplicate","Unique")</f>
        <v/>
      </c>
      <c r="X964" s="33">
        <f>YEAR(T964)</f>
        <v/>
      </c>
      <c r="Y964" s="33">
        <f>IF(B964&lt;6.5,"&lt;6.5",IF(B964&lt;7,"6.5–6.9",IF(B964&lt;7.5,"7.0–7.4",IF(B964&lt;8,"7.5–7.9","8.0+"))))</f>
        <v/>
      </c>
      <c r="Z964" s="33">
        <f>IF(F964="","Blank",F964)</f>
        <v/>
      </c>
    </row>
    <row r="965" ht="15" customHeight="1" s="34">
      <c r="A965" s="33" t="inlineStr">
        <is>
          <t>M 6.5 - 32 km NNE of Biak, Indonesia</t>
        </is>
      </c>
      <c r="B965" s="33" t="n">
        <v>6.5</v>
      </c>
      <c r="C965" s="33" t="inlineStr">
        <is>
          <t>17/02/1996 20:18</t>
        </is>
      </c>
      <c r="D965" s="33" t="n">
        <v>0</v>
      </c>
      <c r="E965" s="33" t="n">
        <v>6</v>
      </c>
      <c r="G965" s="33" t="n">
        <v>0</v>
      </c>
      <c r="H965" s="33" t="n">
        <v>650</v>
      </c>
      <c r="I965" s="33" t="inlineStr">
        <is>
          <t>us</t>
        </is>
      </c>
      <c r="J965" s="33" t="n">
        <v>0</v>
      </c>
      <c r="K965" s="33" t="n">
        <v>0</v>
      </c>
      <c r="L965" s="33" t="n">
        <v>0</v>
      </c>
      <c r="M965" s="33" t="inlineStr">
        <is>
          <t>mw</t>
        </is>
      </c>
      <c r="N965" s="33" t="n">
        <v>31.9</v>
      </c>
      <c r="O965" s="33" t="n">
        <v>-0.917</v>
      </c>
      <c r="P965" s="33" t="n">
        <v>136.225</v>
      </c>
      <c r="Q965" s="33" t="inlineStr">
        <is>
          <t>Biak, Indonesia</t>
        </is>
      </c>
      <c r="S965" s="33" t="inlineStr">
        <is>
          <t>Indonesia</t>
        </is>
      </c>
      <c r="T965" s="36">
        <f>DATE(MID(C965,7,4),MID(C965,4,2),MID(C965,1,2))+TIME(MID(C965,12,2),MID(C965,15,2),0)</f>
        <v/>
      </c>
      <c r="U965" s="33">
        <f>IF(ISNUMBER(VALUE(MID(A965,7,1))),"Distance-prefix pattern","Named-region pattern")</f>
        <v/>
      </c>
      <c r="V965" s="33">
        <f>LOWER(M965)</f>
        <v/>
      </c>
      <c r="W965" s="33">
        <f>IF(COUNTIFS($A$2:$A$1001,A965,$C$2:$C$1001,C965)&gt;1,"Duplicate","Unique")</f>
        <v/>
      </c>
      <c r="X965" s="33">
        <f>YEAR(T965)</f>
        <v/>
      </c>
      <c r="Y965" s="33">
        <f>IF(B965&lt;6.5,"&lt;6.5",IF(B965&lt;7,"6.5–6.9",IF(B965&lt;7.5,"7.0–7.4",IF(B965&lt;8,"7.5–7.9","8.0+"))))</f>
        <v/>
      </c>
      <c r="Z965" s="33">
        <f>IF(F965="","Blank",F965)</f>
        <v/>
      </c>
    </row>
    <row r="966" ht="15" customHeight="1" s="34">
      <c r="A966" s="33" t="inlineStr">
        <is>
          <t>M 6.5 - 67 km NNW of Insrom, Indonesia</t>
        </is>
      </c>
      <c r="B966" s="33" t="n">
        <v>6.5</v>
      </c>
      <c r="C966" s="33" t="inlineStr">
        <is>
          <t>17/02/1996 14:21</t>
        </is>
      </c>
      <c r="D966" s="33" t="n">
        <v>0</v>
      </c>
      <c r="E966" s="33" t="n">
        <v>6</v>
      </c>
      <c r="G966" s="33" t="n">
        <v>0</v>
      </c>
      <c r="H966" s="33" t="n">
        <v>650</v>
      </c>
      <c r="I966" s="33" t="inlineStr">
        <is>
          <t>us</t>
        </is>
      </c>
      <c r="J966" s="33" t="n">
        <v>0</v>
      </c>
      <c r="K966" s="33" t="n">
        <v>0</v>
      </c>
      <c r="L966" s="33" t="n">
        <v>0</v>
      </c>
      <c r="M966" s="33" t="inlineStr">
        <is>
          <t>mw</t>
        </is>
      </c>
      <c r="N966" s="33" t="n">
        <v>19.2</v>
      </c>
      <c r="O966" s="33" t="n">
        <v>-0.5669999999999999</v>
      </c>
      <c r="P966" s="33" t="n">
        <v>135.84</v>
      </c>
      <c r="Q966" s="33" t="inlineStr">
        <is>
          <t>Insrom, Indonesia</t>
        </is>
      </c>
      <c r="S966" s="33" t="inlineStr">
        <is>
          <t>Indonesia</t>
        </is>
      </c>
      <c r="T966" s="36">
        <f>DATE(MID(C966,7,4),MID(C966,4,2),MID(C966,1,2))+TIME(MID(C966,12,2),MID(C966,15,2),0)</f>
        <v/>
      </c>
      <c r="U966" s="33">
        <f>IF(ISNUMBER(VALUE(MID(A966,7,1))),"Distance-prefix pattern","Named-region pattern")</f>
        <v/>
      </c>
      <c r="V966" s="33">
        <f>LOWER(M966)</f>
        <v/>
      </c>
      <c r="W966" s="33">
        <f>IF(COUNTIFS($A$2:$A$1001,A966,$C$2:$C$1001,C966)&gt;1,"Duplicate","Unique")</f>
        <v/>
      </c>
      <c r="X966" s="33">
        <f>YEAR(T966)</f>
        <v/>
      </c>
      <c r="Y966" s="33">
        <f>IF(B966&lt;6.5,"&lt;6.5",IF(B966&lt;7,"6.5–6.9",IF(B966&lt;7.5,"7.0–7.4",IF(B966&lt;8,"7.5–7.9","8.0+"))))</f>
        <v/>
      </c>
      <c r="Z966" s="33">
        <f>IF(F966="","Blank",F966)</f>
        <v/>
      </c>
    </row>
    <row r="967" ht="15" customHeight="1" s="34">
      <c r="A967" s="33" t="inlineStr">
        <is>
          <t>M 8.1 - 101 km ENE of Biak, Indonesia</t>
        </is>
      </c>
      <c r="B967" s="33" t="n">
        <v>8.09</v>
      </c>
      <c r="C967" s="33" t="inlineStr">
        <is>
          <t>17/02/1996 05:59</t>
        </is>
      </c>
      <c r="D967" s="33" t="n">
        <v>0</v>
      </c>
      <c r="E967" s="33" t="n">
        <v>8</v>
      </c>
      <c r="G967" s="33" t="n">
        <v>0</v>
      </c>
      <c r="H967" s="33" t="n">
        <v>1007</v>
      </c>
      <c r="I967" s="33" t="inlineStr">
        <is>
          <t>official</t>
        </is>
      </c>
      <c r="J967" s="33" t="n">
        <v>0</v>
      </c>
      <c r="K967" s="33" t="n">
        <v>0</v>
      </c>
      <c r="L967" s="33" t="n">
        <v>0</v>
      </c>
      <c r="M967" s="33" t="inlineStr">
        <is>
          <t>mww</t>
        </is>
      </c>
      <c r="N967" s="33" t="n">
        <v>33</v>
      </c>
      <c r="O967" s="33" t="n">
        <v>-0.891</v>
      </c>
      <c r="P967" s="33" t="n">
        <v>136.952</v>
      </c>
      <c r="Q967" s="33" t="inlineStr">
        <is>
          <t>Biak, Indonesia</t>
        </is>
      </c>
      <c r="T967" s="36">
        <f>DATE(MID(C967,7,4),MID(C967,4,2),MID(C967,1,2))+TIME(MID(C967,12,2),MID(C967,15,2),0)</f>
        <v/>
      </c>
      <c r="U967" s="33">
        <f>IF(ISNUMBER(VALUE(MID(A967,7,1))),"Distance-prefix pattern","Named-region pattern")</f>
        <v/>
      </c>
      <c r="V967" s="33">
        <f>LOWER(M967)</f>
        <v/>
      </c>
      <c r="W967" s="33">
        <f>IF(COUNTIFS($A$2:$A$1001,A967,$C$2:$C$1001,C967)&gt;1,"Duplicate","Unique")</f>
        <v/>
      </c>
      <c r="X967" s="33">
        <f>YEAR(T967)</f>
        <v/>
      </c>
      <c r="Y967" s="33">
        <f>IF(B967&lt;6.5,"&lt;6.5",IF(B967&lt;7,"6.5–6.9",IF(B967&lt;7.5,"7.0–7.4",IF(B967&lt;8,"7.5–7.9","8.0+"))))</f>
        <v/>
      </c>
      <c r="Z967" s="33">
        <f>IF(F967="","Blank",F967)</f>
        <v/>
      </c>
    </row>
    <row r="968" ht="15" customHeight="1" s="34">
      <c r="A968" s="33" t="inlineStr">
        <is>
          <t>M 6.7 - 123 km E of Namie, Japan</t>
        </is>
      </c>
      <c r="B968" s="33" t="n">
        <v>6.7</v>
      </c>
      <c r="C968" s="33" t="inlineStr">
        <is>
          <t>16/02/1996 15:22</t>
        </is>
      </c>
      <c r="D968" s="33" t="n">
        <v>0</v>
      </c>
      <c r="E968" s="33" t="n">
        <v>4</v>
      </c>
      <c r="G968" s="33" t="n">
        <v>0</v>
      </c>
      <c r="H968" s="33" t="n">
        <v>691</v>
      </c>
      <c r="I968" s="33" t="inlineStr">
        <is>
          <t>us</t>
        </is>
      </c>
      <c r="J968" s="33" t="n">
        <v>0</v>
      </c>
      <c r="K968" s="33" t="n">
        <v>0</v>
      </c>
      <c r="L968" s="33" t="n">
        <v>0</v>
      </c>
      <c r="M968" s="33" t="inlineStr">
        <is>
          <t>mw</t>
        </is>
      </c>
      <c r="N968" s="33" t="n">
        <v>40.8</v>
      </c>
      <c r="O968" s="33" t="n">
        <v>37.353</v>
      </c>
      <c r="P968" s="33" t="n">
        <v>142.38</v>
      </c>
      <c r="Q968" s="33" t="inlineStr">
        <is>
          <t>Namie, Japan</t>
        </is>
      </c>
      <c r="T968" s="36">
        <f>DATE(MID(C968,7,4),MID(C968,4,2),MID(C968,1,2))+TIME(MID(C968,12,2),MID(C968,15,2),0)</f>
        <v/>
      </c>
      <c r="U968" s="33">
        <f>IF(ISNUMBER(VALUE(MID(A968,7,1))),"Distance-prefix pattern","Named-region pattern")</f>
        <v/>
      </c>
      <c r="V968" s="33">
        <f>LOWER(M968)</f>
        <v/>
      </c>
      <c r="W968" s="33">
        <f>IF(COUNTIFS($A$2:$A$1001,A968,$C$2:$C$1001,C968)&gt;1,"Duplicate","Unique")</f>
        <v/>
      </c>
      <c r="X968" s="33">
        <f>YEAR(T968)</f>
        <v/>
      </c>
      <c r="Y968" s="33">
        <f>IF(B968&lt;6.5,"&lt;6.5",IF(B968&lt;7,"6.5–6.9",IF(B968&lt;7.5,"7.0–7.4",IF(B968&lt;8,"7.5–7.9","8.0+"))))</f>
        <v/>
      </c>
      <c r="Z968" s="33">
        <f>IF(F968="","Blank",F968)</f>
        <v/>
      </c>
    </row>
    <row r="969" ht="15" customHeight="1" s="34">
      <c r="A969" s="33" t="inlineStr">
        <is>
          <t>M 7.2 - 158 km E of Kuril’sk, Russia</t>
        </is>
      </c>
      <c r="B969" s="33" t="n">
        <v>7.2</v>
      </c>
      <c r="C969" s="33" t="inlineStr">
        <is>
          <t>07/02/1996 21:36</t>
        </is>
      </c>
      <c r="D969" s="33" t="n">
        <v>0</v>
      </c>
      <c r="E969" s="33" t="n">
        <v>6</v>
      </c>
      <c r="G969" s="33" t="n">
        <v>0</v>
      </c>
      <c r="H969" s="33" t="n">
        <v>798</v>
      </c>
      <c r="I969" s="33" t="inlineStr">
        <is>
          <t>us</t>
        </is>
      </c>
      <c r="J969" s="33" t="n">
        <v>0</v>
      </c>
      <c r="K969" s="33" t="n">
        <v>0</v>
      </c>
      <c r="L969" s="33" t="n">
        <v>0</v>
      </c>
      <c r="M969" s="33" t="inlineStr">
        <is>
          <t>mw</t>
        </is>
      </c>
      <c r="N969" s="33" t="n">
        <v>42.6</v>
      </c>
      <c r="O969" s="33" t="n">
        <v>45.324</v>
      </c>
      <c r="P969" s="33" t="n">
        <v>149.892</v>
      </c>
      <c r="Q969" s="33" t="inlineStr">
        <is>
          <t>Kuril’sk, Russia</t>
        </is>
      </c>
      <c r="T969" s="36">
        <f>DATE(MID(C969,7,4),MID(C969,4,2),MID(C969,1,2))+TIME(MID(C969,12,2),MID(C969,15,2),0)</f>
        <v/>
      </c>
      <c r="U969" s="33">
        <f>IF(ISNUMBER(VALUE(MID(A969,7,1))),"Distance-prefix pattern","Named-region pattern")</f>
        <v/>
      </c>
      <c r="V969" s="33">
        <f>LOWER(M969)</f>
        <v/>
      </c>
      <c r="W969" s="33">
        <f>IF(COUNTIFS($A$2:$A$1001,A969,$C$2:$C$1001,C969)&gt;1,"Duplicate","Unique")</f>
        <v/>
      </c>
      <c r="X969" s="33">
        <f>YEAR(T969)</f>
        <v/>
      </c>
      <c r="Y969" s="33">
        <f>IF(B969&lt;6.5,"&lt;6.5",IF(B969&lt;7,"6.5–6.9",IF(B969&lt;7.5,"7.0–7.4",IF(B969&lt;8,"7.5–7.9","8.0+"))))</f>
        <v/>
      </c>
      <c r="Z969" s="33">
        <f>IF(F969="","Blank",F969)</f>
        <v/>
      </c>
    </row>
    <row r="970" ht="15" customHeight="1" s="34">
      <c r="A970" s="33" t="inlineStr">
        <is>
          <t>M 6.6 - 47 km N of Lijiang, China</t>
        </is>
      </c>
      <c r="B970" s="33" t="n">
        <v>6.6</v>
      </c>
      <c r="C970" s="33" t="inlineStr">
        <is>
          <t>03/02/1996 11:14</t>
        </is>
      </c>
      <c r="D970" s="33" t="n">
        <v>0</v>
      </c>
      <c r="E970" s="33" t="n">
        <v>10</v>
      </c>
      <c r="G970" s="33" t="n">
        <v>0</v>
      </c>
      <c r="H970" s="33" t="n">
        <v>670</v>
      </c>
      <c r="I970" s="33" t="inlineStr">
        <is>
          <t>us</t>
        </is>
      </c>
      <c r="J970" s="33" t="n">
        <v>0</v>
      </c>
      <c r="K970" s="33" t="n">
        <v>0</v>
      </c>
      <c r="L970" s="33" t="n">
        <v>0</v>
      </c>
      <c r="M970" s="33" t="inlineStr">
        <is>
          <t>mw</t>
        </is>
      </c>
      <c r="N970" s="33" t="n">
        <v>11.1</v>
      </c>
      <c r="O970" s="33" t="n">
        <v>27.291</v>
      </c>
      <c r="P970" s="33" t="n">
        <v>100.276</v>
      </c>
      <c r="Q970" s="33" t="inlineStr">
        <is>
          <t>Lijiang, China</t>
        </is>
      </c>
      <c r="R970" s="33" t="inlineStr">
        <is>
          <t>Asia</t>
        </is>
      </c>
      <c r="S970" s="33" t="inlineStr">
        <is>
          <t>People's Republic of China</t>
        </is>
      </c>
      <c r="T970" s="36">
        <f>DATE(MID(C970,7,4),MID(C970,4,2),MID(C970,1,2))+TIME(MID(C970,12,2),MID(C970,15,2),0)</f>
        <v/>
      </c>
      <c r="U970" s="33">
        <f>IF(ISNUMBER(VALUE(MID(A970,7,1))),"Distance-prefix pattern","Named-region pattern")</f>
        <v/>
      </c>
      <c r="V970" s="33">
        <f>LOWER(M970)</f>
        <v/>
      </c>
      <c r="W970" s="33">
        <f>IF(COUNTIFS($A$2:$A$1001,A970,$C$2:$C$1001,C970)&gt;1,"Duplicate","Unique")</f>
        <v/>
      </c>
      <c r="X970" s="33">
        <f>YEAR(T970)</f>
        <v/>
      </c>
      <c r="Y970" s="33">
        <f>IF(B970&lt;6.5,"&lt;6.5",IF(B970&lt;7,"6.5–6.9",IF(B970&lt;7.5,"7.0–7.4",IF(B970&lt;8,"7.5–7.9","8.0+"))))</f>
        <v/>
      </c>
      <c r="Z970" s="33">
        <f>IF(F970="","Blank",F970)</f>
        <v/>
      </c>
    </row>
    <row r="971" ht="15" customHeight="1" s="34">
      <c r="A971" s="33" t="inlineStr">
        <is>
          <t>M 6.6 - 106 km NE of Yelizovo, Russia</t>
        </is>
      </c>
      <c r="B971" s="33" t="n">
        <v>6.6</v>
      </c>
      <c r="C971" s="33" t="inlineStr">
        <is>
          <t>01/01/1996 09:57</t>
        </is>
      </c>
      <c r="D971" s="33" t="n">
        <v>0</v>
      </c>
      <c r="E971" s="33" t="n">
        <v>7</v>
      </c>
      <c r="G971" s="33" t="n">
        <v>0</v>
      </c>
      <c r="H971" s="33" t="n">
        <v>670</v>
      </c>
      <c r="I971" s="33" t="inlineStr">
        <is>
          <t>us</t>
        </is>
      </c>
      <c r="J971" s="33" t="n">
        <v>0</v>
      </c>
      <c r="K971" s="33" t="n">
        <v>0</v>
      </c>
      <c r="L971" s="33" t="n">
        <v>0</v>
      </c>
      <c r="M971" s="33" t="inlineStr">
        <is>
          <t>ms</t>
        </is>
      </c>
      <c r="N971" s="33" t="n">
        <v>33</v>
      </c>
      <c r="O971" s="33" t="n">
        <v>53.826</v>
      </c>
      <c r="P971" s="33" t="n">
        <v>159.586</v>
      </c>
      <c r="Q971" s="33" t="inlineStr">
        <is>
          <t>Yelizovo, Russia</t>
        </is>
      </c>
      <c r="R971" s="33" t="inlineStr">
        <is>
          <t>Asia</t>
        </is>
      </c>
      <c r="S971" s="33" t="inlineStr">
        <is>
          <t>Russia</t>
        </is>
      </c>
      <c r="T971" s="36">
        <f>DATE(MID(C971,7,4),MID(C971,4,2),MID(C971,1,2))+TIME(MID(C971,12,2),MID(C971,15,2),0)</f>
        <v/>
      </c>
      <c r="U971" s="33">
        <f>IF(ISNUMBER(VALUE(MID(A971,7,1))),"Distance-prefix pattern","Named-region pattern")</f>
        <v/>
      </c>
      <c r="V971" s="33">
        <f>LOWER(M971)</f>
        <v/>
      </c>
      <c r="W971" s="33">
        <f>IF(COUNTIFS($A$2:$A$1001,A971,$C$2:$C$1001,C971)&gt;1,"Duplicate","Unique")</f>
        <v/>
      </c>
      <c r="X971" s="33">
        <f>YEAR(T971)</f>
        <v/>
      </c>
      <c r="Y971" s="33">
        <f>IF(B971&lt;6.5,"&lt;6.5",IF(B971&lt;7,"6.5–6.9",IF(B971&lt;7.5,"7.0–7.4",IF(B971&lt;8,"7.5–7.9","8.0+"))))</f>
        <v/>
      </c>
      <c r="Z971" s="33">
        <f>IF(F971="","Blank",F971)</f>
        <v/>
      </c>
    </row>
    <row r="972" ht="15" customHeight="1" s="34">
      <c r="A972" s="33" t="inlineStr">
        <is>
          <t>M 7.9 - 181 km N of Palu, Indonesia</t>
        </is>
      </c>
      <c r="B972" s="33" t="n">
        <v>7.9</v>
      </c>
      <c r="C972" s="33" t="inlineStr">
        <is>
          <t>01/01/1996 08:05</t>
        </is>
      </c>
      <c r="D972" s="33" t="n">
        <v>0</v>
      </c>
      <c r="E972" s="33" t="n">
        <v>8</v>
      </c>
      <c r="G972" s="33" t="n">
        <v>0</v>
      </c>
      <c r="H972" s="33" t="n">
        <v>960</v>
      </c>
      <c r="I972" s="33" t="inlineStr">
        <is>
          <t>us</t>
        </is>
      </c>
      <c r="J972" s="33" t="n">
        <v>0</v>
      </c>
      <c r="K972" s="33" t="n">
        <v>0</v>
      </c>
      <c r="L972" s="33" t="n">
        <v>0</v>
      </c>
      <c r="M972" s="33" t="inlineStr">
        <is>
          <t>mw</t>
        </is>
      </c>
      <c r="N972" s="33" t="n">
        <v>24</v>
      </c>
      <c r="O972" s="33" t="n">
        <v>0.729</v>
      </c>
      <c r="P972" s="33" t="n">
        <v>119.931</v>
      </c>
      <c r="Q972" s="33" t="inlineStr">
        <is>
          <t>Palu, Indonesia</t>
        </is>
      </c>
      <c r="S972" s="33" t="inlineStr">
        <is>
          <t>Indonesia</t>
        </is>
      </c>
      <c r="T972" s="36">
        <f>DATE(MID(C972,7,4),MID(C972,4,2),MID(C972,1,2))+TIME(MID(C972,12,2),MID(C972,15,2),0)</f>
        <v/>
      </c>
      <c r="U972" s="33">
        <f>IF(ISNUMBER(VALUE(MID(A972,7,1))),"Distance-prefix pattern","Named-region pattern")</f>
        <v/>
      </c>
      <c r="V972" s="33">
        <f>LOWER(M972)</f>
        <v/>
      </c>
      <c r="W972" s="33">
        <f>IF(COUNTIFS($A$2:$A$1001,A972,$C$2:$C$1001,C972)&gt;1,"Duplicate","Unique")</f>
        <v/>
      </c>
      <c r="X972" s="33">
        <f>YEAR(T972)</f>
        <v/>
      </c>
      <c r="Y972" s="33">
        <f>IF(B972&lt;6.5,"&lt;6.5",IF(B972&lt;7,"6.5–6.9",IF(B972&lt;7.5,"7.0–7.4",IF(B972&lt;8,"7.5–7.9","8.0+"))))</f>
        <v/>
      </c>
      <c r="Z972" s="33">
        <f>IF(F972="","Blank",F972)</f>
        <v/>
      </c>
    </row>
    <row r="973" ht="15" customHeight="1" s="34">
      <c r="A973" s="33" t="inlineStr">
        <is>
          <t>M 7.1 - 297 km NE of Lospalos, Timor Leste</t>
        </is>
      </c>
      <c r="B973" s="33" t="n">
        <v>7.1</v>
      </c>
      <c r="C973" s="33" t="inlineStr">
        <is>
          <t>25/12/1995 04:43</t>
        </is>
      </c>
      <c r="D973" s="33" t="n">
        <v>0</v>
      </c>
      <c r="E973" s="33" t="n">
        <v>6</v>
      </c>
      <c r="G973" s="33" t="n">
        <v>0</v>
      </c>
      <c r="H973" s="33" t="n">
        <v>776</v>
      </c>
      <c r="I973" s="33" t="inlineStr">
        <is>
          <t>us</t>
        </is>
      </c>
      <c r="J973" s="33" t="n">
        <v>0</v>
      </c>
      <c r="K973" s="33" t="n">
        <v>0</v>
      </c>
      <c r="L973" s="33" t="n">
        <v>0</v>
      </c>
      <c r="M973" s="33" t="inlineStr">
        <is>
          <t>mw</t>
        </is>
      </c>
      <c r="N973" s="33" t="n">
        <v>141.9</v>
      </c>
      <c r="O973" s="33" t="n">
        <v>-6.903</v>
      </c>
      <c r="P973" s="33" t="n">
        <v>129.151</v>
      </c>
      <c r="Q973" s="33" t="inlineStr">
        <is>
          <t>Lospalos, Timor Leste</t>
        </is>
      </c>
      <c r="S973" s="33" t="inlineStr">
        <is>
          <t>Indonesia</t>
        </is>
      </c>
      <c r="T973" s="36">
        <f>DATE(MID(C973,7,4),MID(C973,4,2),MID(C973,1,2))+TIME(MID(C973,12,2),MID(C973,15,2),0)</f>
        <v/>
      </c>
      <c r="U973" s="33">
        <f>IF(ISNUMBER(VALUE(MID(A973,7,1))),"Distance-prefix pattern","Named-region pattern")</f>
        <v/>
      </c>
      <c r="V973" s="33">
        <f>LOWER(M973)</f>
        <v/>
      </c>
      <c r="W973" s="33">
        <f>IF(COUNTIFS($A$2:$A$1001,A973,$C$2:$C$1001,C973)&gt;1,"Duplicate","Unique")</f>
        <v/>
      </c>
      <c r="X973" s="33">
        <f>YEAR(T973)</f>
        <v/>
      </c>
      <c r="Y973" s="33">
        <f>IF(B973&lt;6.5,"&lt;6.5",IF(B973&lt;7,"6.5–6.9",IF(B973&lt;7.5,"7.0–7.4",IF(B973&lt;8,"7.5–7.9","8.0+"))))</f>
        <v/>
      </c>
      <c r="Z973" s="33">
        <f>IF(F973="","Blank",F973)</f>
        <v/>
      </c>
    </row>
    <row r="974" ht="15" customHeight="1" s="34">
      <c r="A974" s="33" t="inlineStr">
        <is>
          <t>M 6.5 - 130 km SSW of Abepura, Indonesia</t>
        </is>
      </c>
      <c r="B974" s="33" t="n">
        <v>6.5</v>
      </c>
      <c r="C974" s="33" t="inlineStr">
        <is>
          <t>19/12/1995 23:28</t>
        </is>
      </c>
      <c r="D974" s="33" t="n">
        <v>0</v>
      </c>
      <c r="E974" s="33" t="n">
        <v>6</v>
      </c>
      <c r="G974" s="33" t="n">
        <v>0</v>
      </c>
      <c r="H974" s="33" t="n">
        <v>650</v>
      </c>
      <c r="I974" s="33" t="inlineStr">
        <is>
          <t>us</t>
        </is>
      </c>
      <c r="J974" s="33" t="n">
        <v>0</v>
      </c>
      <c r="K974" s="33" t="n">
        <v>0</v>
      </c>
      <c r="L974" s="33" t="n">
        <v>0</v>
      </c>
      <c r="M974" s="33" t="inlineStr">
        <is>
          <t>mwb</t>
        </is>
      </c>
      <c r="N974" s="33" t="n">
        <v>63.4</v>
      </c>
      <c r="O974" s="33" t="n">
        <v>-3.703</v>
      </c>
      <c r="P974" s="33" t="n">
        <v>140.233</v>
      </c>
      <c r="Q974" s="33" t="inlineStr">
        <is>
          <t>Abepura, Indonesia</t>
        </is>
      </c>
      <c r="S974" s="33" t="inlineStr">
        <is>
          <t>Indonesia</t>
        </is>
      </c>
      <c r="T974" s="36">
        <f>DATE(MID(C974,7,4),MID(C974,4,2),MID(C974,1,2))+TIME(MID(C974,12,2),MID(C974,15,2),0)</f>
        <v/>
      </c>
      <c r="U974" s="33">
        <f>IF(ISNUMBER(VALUE(MID(A974,7,1))),"Distance-prefix pattern","Named-region pattern")</f>
        <v/>
      </c>
      <c r="V974" s="33">
        <f>LOWER(M974)</f>
        <v/>
      </c>
      <c r="W974" s="33">
        <f>IF(COUNTIFS($A$2:$A$1001,A974,$C$2:$C$1001,C974)&gt;1,"Duplicate","Unique")</f>
        <v/>
      </c>
      <c r="X974" s="33">
        <f>YEAR(T974)</f>
        <v/>
      </c>
      <c r="Y974" s="33">
        <f>IF(B974&lt;6.5,"&lt;6.5",IF(B974&lt;7,"6.5–6.9",IF(B974&lt;7.5,"7.0–7.4",IF(B974&lt;8,"7.5–7.9","8.0+"))))</f>
        <v/>
      </c>
      <c r="Z974" s="33">
        <f>IF(F974="","Blank",F974)</f>
        <v/>
      </c>
    </row>
    <row r="975" ht="15" customHeight="1" s="34">
      <c r="A975" s="33" t="inlineStr">
        <is>
          <t>M 7.9 - 128 km ESE of Kuril’sk, Russia</t>
        </is>
      </c>
      <c r="B975" s="33" t="n">
        <v>7.9</v>
      </c>
      <c r="C975" s="33" t="inlineStr">
        <is>
          <t>03/12/1995 18:01</t>
        </is>
      </c>
      <c r="D975" s="33" t="n">
        <v>0</v>
      </c>
      <c r="E975" s="33" t="n">
        <v>6</v>
      </c>
      <c r="G975" s="33" t="n">
        <v>0</v>
      </c>
      <c r="H975" s="33" t="n">
        <v>960</v>
      </c>
      <c r="I975" s="33" t="inlineStr">
        <is>
          <t>us</t>
        </is>
      </c>
      <c r="J975" s="33" t="n">
        <v>0</v>
      </c>
      <c r="K975" s="33" t="n">
        <v>0</v>
      </c>
      <c r="L975" s="33" t="n">
        <v>0</v>
      </c>
      <c r="M975" s="33" t="inlineStr">
        <is>
          <t>mw</t>
        </is>
      </c>
      <c r="N975" s="33" t="n">
        <v>33</v>
      </c>
      <c r="O975" s="33" t="n">
        <v>44.663</v>
      </c>
      <c r="P975" s="33" t="n">
        <v>149.3</v>
      </c>
      <c r="Q975" s="33" t="inlineStr">
        <is>
          <t>Kuril’sk, Russia</t>
        </is>
      </c>
      <c r="T975" s="36">
        <f>DATE(MID(C975,7,4),MID(C975,4,2),MID(C975,1,2))+TIME(MID(C975,12,2),MID(C975,15,2),0)</f>
        <v/>
      </c>
      <c r="U975" s="33">
        <f>IF(ISNUMBER(VALUE(MID(A975,7,1))),"Distance-prefix pattern","Named-region pattern")</f>
        <v/>
      </c>
      <c r="V975" s="33">
        <f>LOWER(M975)</f>
        <v/>
      </c>
      <c r="W975" s="33">
        <f>IF(COUNTIFS($A$2:$A$1001,A975,$C$2:$C$1001,C975)&gt;1,"Duplicate","Unique")</f>
        <v/>
      </c>
      <c r="X975" s="33">
        <f>YEAR(T975)</f>
        <v/>
      </c>
      <c r="Y975" s="33">
        <f>IF(B975&lt;6.5,"&lt;6.5",IF(B975&lt;7,"6.5–6.9",IF(B975&lt;7.5,"7.0–7.4",IF(B975&lt;8,"7.5–7.9","8.0+"))))</f>
        <v/>
      </c>
      <c r="Z975" s="33">
        <f>IF(F975="","Blank",F975)</f>
        <v/>
      </c>
    </row>
    <row r="976" ht="15" customHeight="1" s="34">
      <c r="A976" s="33" t="inlineStr">
        <is>
          <t>M 7.2 - 27 km SSE of Nuwaybi‘a, Egypt</t>
        </is>
      </c>
      <c r="B976" s="33" t="n">
        <v>7.2</v>
      </c>
      <c r="C976" s="33" t="inlineStr">
        <is>
          <t>22/11/1995 04:15</t>
        </is>
      </c>
      <c r="D976" s="33" t="n">
        <v>0</v>
      </c>
      <c r="E976" s="33" t="n">
        <v>9</v>
      </c>
      <c r="G976" s="33" t="n">
        <v>0</v>
      </c>
      <c r="H976" s="33" t="n">
        <v>798</v>
      </c>
      <c r="I976" s="33" t="inlineStr">
        <is>
          <t>us</t>
        </is>
      </c>
      <c r="J976" s="33" t="n">
        <v>0</v>
      </c>
      <c r="K976" s="33" t="n">
        <v>0</v>
      </c>
      <c r="L976" s="33" t="n">
        <v>0</v>
      </c>
      <c r="M976" s="33" t="inlineStr">
        <is>
          <t>mw</t>
        </is>
      </c>
      <c r="N976" s="33" t="n">
        <v>10</v>
      </c>
      <c r="O976" s="33" t="n">
        <v>28.826</v>
      </c>
      <c r="P976" s="33" t="n">
        <v>34.799</v>
      </c>
      <c r="Q976" s="33" t="inlineStr">
        <is>
          <t>Nuwaybi‘a, Egypt</t>
        </is>
      </c>
      <c r="R976" s="33" t="inlineStr">
        <is>
          <t>Asia</t>
        </is>
      </c>
      <c r="S976" s="33" t="inlineStr">
        <is>
          <t>Saudi Arabia</t>
        </is>
      </c>
      <c r="T976" s="36">
        <f>DATE(MID(C976,7,4),MID(C976,4,2),MID(C976,1,2))+TIME(MID(C976,12,2),MID(C976,15,2),0)</f>
        <v/>
      </c>
      <c r="U976" s="33">
        <f>IF(ISNUMBER(VALUE(MID(A976,7,1))),"Distance-prefix pattern","Named-region pattern")</f>
        <v/>
      </c>
      <c r="V976" s="33">
        <f>LOWER(M976)</f>
        <v/>
      </c>
      <c r="W976" s="33">
        <f>IF(COUNTIFS($A$2:$A$1001,A976,$C$2:$C$1001,C976)&gt;1,"Duplicate","Unique")</f>
        <v/>
      </c>
      <c r="X976" s="33">
        <f>YEAR(T976)</f>
        <v/>
      </c>
      <c r="Y976" s="33">
        <f>IF(B976&lt;6.5,"&lt;6.5",IF(B976&lt;7,"6.5–6.9",IF(B976&lt;7.5,"7.0–7.4",IF(B976&lt;8,"7.5–7.9","8.0+"))))</f>
        <v/>
      </c>
      <c r="Z976" s="33">
        <f>IF(F976="","Blank",F976)</f>
        <v/>
      </c>
    </row>
    <row r="977" ht="15" customHeight="1" s="34">
      <c r="A977" s="33" t="inlineStr">
        <is>
          <t>M 6.7 - 73 km WSW of Vallenar, Chile</t>
        </is>
      </c>
      <c r="B977" s="33" t="n">
        <v>6.7</v>
      </c>
      <c r="C977" s="33" t="inlineStr">
        <is>
          <t>01/11/1995 00:35</t>
        </is>
      </c>
      <c r="D977" s="33" t="n">
        <v>0</v>
      </c>
      <c r="E977" s="33" t="n">
        <v>7</v>
      </c>
      <c r="G977" s="33" t="n">
        <v>0</v>
      </c>
      <c r="H977" s="33" t="n">
        <v>691</v>
      </c>
      <c r="I977" s="33" t="inlineStr">
        <is>
          <t>us</t>
        </is>
      </c>
      <c r="J977" s="33" t="n">
        <v>0</v>
      </c>
      <c r="K977" s="33" t="n">
        <v>0</v>
      </c>
      <c r="L977" s="33" t="n">
        <v>0</v>
      </c>
      <c r="M977" s="33" t="inlineStr">
        <is>
          <t>mw</t>
        </is>
      </c>
      <c r="N977" s="33" t="n">
        <v>19.9</v>
      </c>
      <c r="O977" s="33" t="n">
        <v>-28.906</v>
      </c>
      <c r="P977" s="33" t="n">
        <v>-71.417</v>
      </c>
      <c r="Q977" s="33" t="inlineStr">
        <is>
          <t>Vallenar, Chile</t>
        </is>
      </c>
      <c r="S977" s="33" t="inlineStr">
        <is>
          <t>Chile</t>
        </is>
      </c>
      <c r="T977" s="36">
        <f>DATE(MID(C977,7,4),MID(C977,4,2),MID(C977,1,2))+TIME(MID(C977,12,2),MID(C977,15,2),0)</f>
        <v/>
      </c>
      <c r="U977" s="33">
        <f>IF(ISNUMBER(VALUE(MID(A977,7,1))),"Distance-prefix pattern","Named-region pattern")</f>
        <v/>
      </c>
      <c r="V977" s="33">
        <f>LOWER(M977)</f>
        <v/>
      </c>
      <c r="W977" s="33">
        <f>IF(COUNTIFS($A$2:$A$1001,A977,$C$2:$C$1001,C977)&gt;1,"Duplicate","Unique")</f>
        <v/>
      </c>
      <c r="X977" s="33">
        <f>YEAR(T977)</f>
        <v/>
      </c>
      <c r="Y977" s="33">
        <f>IF(B977&lt;6.5,"&lt;6.5",IF(B977&lt;7,"6.5–6.9",IF(B977&lt;7.5,"7.0–7.4",IF(B977&lt;8,"7.5–7.9","8.0+"))))</f>
        <v/>
      </c>
      <c r="Z977" s="33">
        <f>IF(F977="","Blank",F977)</f>
        <v/>
      </c>
    </row>
    <row r="978" ht="15" customHeight="1" s="34">
      <c r="A978" s="33" t="inlineStr">
        <is>
          <t>M 7.2 - 13 km NW of Ocozocoautla de Espinosa, Mexico</t>
        </is>
      </c>
      <c r="B978" s="33" t="n">
        <v>7.2</v>
      </c>
      <c r="C978" s="33" t="inlineStr">
        <is>
          <t>21/10/1995 02:38</t>
        </is>
      </c>
      <c r="D978" s="33" t="n">
        <v>0</v>
      </c>
      <c r="E978" s="33" t="n">
        <v>6</v>
      </c>
      <c r="G978" s="33" t="n">
        <v>0</v>
      </c>
      <c r="H978" s="33" t="n">
        <v>798</v>
      </c>
      <c r="I978" s="33" t="inlineStr">
        <is>
          <t>us</t>
        </is>
      </c>
      <c r="J978" s="33" t="n">
        <v>0</v>
      </c>
      <c r="K978" s="33" t="n">
        <v>0</v>
      </c>
      <c r="L978" s="33" t="n">
        <v>0</v>
      </c>
      <c r="M978" s="33" t="inlineStr">
        <is>
          <t>mw</t>
        </is>
      </c>
      <c r="N978" s="33" t="n">
        <v>159.3</v>
      </c>
      <c r="O978" s="33" t="n">
        <v>16.84</v>
      </c>
      <c r="P978" s="33" t="n">
        <v>-93.46899999999999</v>
      </c>
      <c r="Q978" s="33" t="inlineStr">
        <is>
          <t>Ocozocoautla de Espinosa, Mexico</t>
        </is>
      </c>
      <c r="S978" s="33" t="inlineStr">
        <is>
          <t>Mexico</t>
        </is>
      </c>
      <c r="T978" s="36">
        <f>DATE(MID(C978,7,4),MID(C978,4,2),MID(C978,1,2))+TIME(MID(C978,12,2),MID(C978,15,2),0)</f>
        <v/>
      </c>
      <c r="U978" s="33">
        <f>IF(ISNUMBER(VALUE(MID(A978,7,1))),"Distance-prefix pattern","Named-region pattern")</f>
        <v/>
      </c>
      <c r="V978" s="33">
        <f>LOWER(M978)</f>
        <v/>
      </c>
      <c r="W978" s="33">
        <f>IF(COUNTIFS($A$2:$A$1001,A978,$C$2:$C$1001,C978)&gt;1,"Duplicate","Unique")</f>
        <v/>
      </c>
      <c r="X978" s="33">
        <f>YEAR(T978)</f>
        <v/>
      </c>
      <c r="Y978" s="33">
        <f>IF(B978&lt;6.5,"&lt;6.5",IF(B978&lt;7,"6.5–6.9",IF(B978&lt;7.5,"7.0–7.4",IF(B978&lt;8,"7.5–7.9","8.0+"))))</f>
        <v/>
      </c>
      <c r="Z978" s="33">
        <f>IF(F978="","Blank",F978)</f>
        <v/>
      </c>
    </row>
    <row r="979" ht="15" customHeight="1" s="34">
      <c r="A979" s="33" t="inlineStr">
        <is>
          <t>M 6.8 - 71 km ESE of Naze, Japan</t>
        </is>
      </c>
      <c r="B979" s="33" t="n">
        <v>6.8</v>
      </c>
      <c r="C979" s="33" t="inlineStr">
        <is>
          <t>19/10/1995 02:41</t>
        </is>
      </c>
      <c r="D979" s="33" t="n">
        <v>0</v>
      </c>
      <c r="E979" s="33" t="n">
        <v>6</v>
      </c>
      <c r="G979" s="33" t="n">
        <v>0</v>
      </c>
      <c r="H979" s="33" t="n">
        <v>711</v>
      </c>
      <c r="I979" s="33" t="inlineStr">
        <is>
          <t>us</t>
        </is>
      </c>
      <c r="J979" s="33" t="n">
        <v>0</v>
      </c>
      <c r="K979" s="33" t="n">
        <v>0</v>
      </c>
      <c r="L979" s="33" t="n">
        <v>0</v>
      </c>
      <c r="M979" s="33" t="inlineStr">
        <is>
          <t>mw</t>
        </is>
      </c>
      <c r="N979" s="33" t="n">
        <v>19.7</v>
      </c>
      <c r="O979" s="33" t="n">
        <v>28.094</v>
      </c>
      <c r="P979" s="33" t="n">
        <v>130.148</v>
      </c>
      <c r="Q979" s="33" t="inlineStr">
        <is>
          <t>Naze, Japan</t>
        </is>
      </c>
      <c r="T979" s="36">
        <f>DATE(MID(C979,7,4),MID(C979,4,2),MID(C979,1,2))+TIME(MID(C979,12,2),MID(C979,15,2),0)</f>
        <v/>
      </c>
      <c r="U979" s="33">
        <f>IF(ISNUMBER(VALUE(MID(A979,7,1))),"Distance-prefix pattern","Named-region pattern")</f>
        <v/>
      </c>
      <c r="V979" s="33">
        <f>LOWER(M979)</f>
        <v/>
      </c>
      <c r="W979" s="33">
        <f>IF(COUNTIFS($A$2:$A$1001,A979,$C$2:$C$1001,C979)&gt;1,"Duplicate","Unique")</f>
        <v/>
      </c>
      <c r="X979" s="33">
        <f>YEAR(T979)</f>
        <v/>
      </c>
      <c r="Y979" s="33">
        <f>IF(B979&lt;6.5,"&lt;6.5",IF(B979&lt;7,"6.5–6.9",IF(B979&lt;7.5,"7.0–7.4",IF(B979&lt;8,"7.5–7.9","8.0+"))))</f>
        <v/>
      </c>
      <c r="Z979" s="33">
        <f>IF(F979="","Blank",F979)</f>
        <v/>
      </c>
    </row>
    <row r="980" ht="15" customHeight="1" s="34">
      <c r="A980" s="33" t="inlineStr">
        <is>
          <t>M 7.1 - 83 km SE of Naze, Japan</t>
        </is>
      </c>
      <c r="B980" s="33" t="n">
        <v>7.1</v>
      </c>
      <c r="C980" s="33" t="inlineStr">
        <is>
          <t>18/10/1995 10:37</t>
        </is>
      </c>
      <c r="D980" s="33" t="n">
        <v>0</v>
      </c>
      <c r="E980" s="33" t="n">
        <v>6</v>
      </c>
      <c r="G980" s="33" t="n">
        <v>0</v>
      </c>
      <c r="H980" s="33" t="n">
        <v>776</v>
      </c>
      <c r="I980" s="33" t="inlineStr">
        <is>
          <t>us</t>
        </is>
      </c>
      <c r="J980" s="33" t="n">
        <v>0</v>
      </c>
      <c r="K980" s="33" t="n">
        <v>0</v>
      </c>
      <c r="L980" s="33" t="n">
        <v>0</v>
      </c>
      <c r="M980" s="33" t="inlineStr">
        <is>
          <t>mw</t>
        </is>
      </c>
      <c r="N980" s="33" t="n">
        <v>28.4</v>
      </c>
      <c r="O980" s="33" t="n">
        <v>27.929</v>
      </c>
      <c r="P980" s="33" t="n">
        <v>130.175</v>
      </c>
      <c r="Q980" s="33" t="inlineStr">
        <is>
          <t>Naze, Japan</t>
        </is>
      </c>
      <c r="T980" s="36">
        <f>DATE(MID(C980,7,4),MID(C980,4,2),MID(C980,1,2))+TIME(MID(C980,12,2),MID(C980,15,2),0)</f>
        <v/>
      </c>
      <c r="U980" s="33">
        <f>IF(ISNUMBER(VALUE(MID(A980,7,1))),"Distance-prefix pattern","Named-region pattern")</f>
        <v/>
      </c>
      <c r="V980" s="33">
        <f>LOWER(M980)</f>
        <v/>
      </c>
      <c r="W980" s="33">
        <f>IF(COUNTIFS($A$2:$A$1001,A980,$C$2:$C$1001,C980)&gt;1,"Duplicate","Unique")</f>
        <v/>
      </c>
      <c r="X980" s="33">
        <f>YEAR(T980)</f>
        <v/>
      </c>
      <c r="Y980" s="33">
        <f>IF(B980&lt;6.5,"&lt;6.5",IF(B980&lt;7,"6.5–6.9",IF(B980&lt;7.5,"7.0–7.4",IF(B980&lt;8,"7.5–7.9","8.0+"))))</f>
        <v/>
      </c>
      <c r="Z980" s="33">
        <f>IF(F980="","Blank",F980)</f>
        <v/>
      </c>
    </row>
    <row r="981" ht="15" customHeight="1" s="34">
      <c r="A981" s="33" t="inlineStr">
        <is>
          <t>M 8.0 - 5 km E of El Colomo, Mexico</t>
        </is>
      </c>
      <c r="B981" s="33" t="n">
        <v>8</v>
      </c>
      <c r="C981" s="33" t="inlineStr">
        <is>
          <t>09/10/1995 15:35</t>
        </is>
      </c>
      <c r="D981" s="33" t="n">
        <v>0</v>
      </c>
      <c r="E981" s="33" t="n">
        <v>8</v>
      </c>
      <c r="G981" s="33" t="n">
        <v>0</v>
      </c>
      <c r="H981" s="33" t="n">
        <v>985</v>
      </c>
      <c r="I981" s="33" t="inlineStr">
        <is>
          <t>us</t>
        </is>
      </c>
      <c r="J981" s="33" t="n">
        <v>0</v>
      </c>
      <c r="K981" s="33" t="n">
        <v>0</v>
      </c>
      <c r="L981" s="33" t="n">
        <v>0</v>
      </c>
      <c r="M981" s="33" t="inlineStr">
        <is>
          <t>mw</t>
        </is>
      </c>
      <c r="N981" s="33" t="n">
        <v>33</v>
      </c>
      <c r="O981" s="33" t="n">
        <v>19.055</v>
      </c>
      <c r="P981" s="33" t="n">
        <v>-104.205</v>
      </c>
      <c r="Q981" s="33" t="inlineStr">
        <is>
          <t>El Colomo, Mexico</t>
        </is>
      </c>
      <c r="R981" s="33" t="inlineStr">
        <is>
          <t>North America</t>
        </is>
      </c>
      <c r="S981" s="33" t="inlineStr">
        <is>
          <t>Mexico</t>
        </is>
      </c>
      <c r="T981" s="36">
        <f>DATE(MID(C981,7,4),MID(C981,4,2),MID(C981,1,2))+TIME(MID(C981,12,2),MID(C981,15,2),0)</f>
        <v/>
      </c>
      <c r="U981" s="33">
        <f>IF(ISNUMBER(VALUE(MID(A981,7,1))),"Distance-prefix pattern","Named-region pattern")</f>
        <v/>
      </c>
      <c r="V981" s="33">
        <f>LOWER(M981)</f>
        <v/>
      </c>
      <c r="W981" s="33">
        <f>IF(COUNTIFS($A$2:$A$1001,A981,$C$2:$C$1001,C981)&gt;1,"Duplicate","Unique")</f>
        <v/>
      </c>
      <c r="X981" s="33">
        <f>YEAR(T981)</f>
        <v/>
      </c>
      <c r="Y981" s="33">
        <f>IF(B981&lt;6.5,"&lt;6.5",IF(B981&lt;7,"6.5–6.9",IF(B981&lt;7.5,"7.0–7.4",IF(B981&lt;8,"7.5–7.9","8.0+"))))</f>
        <v/>
      </c>
      <c r="Z981" s="33">
        <f>IF(F981="","Blank",F981)</f>
        <v/>
      </c>
    </row>
    <row r="982" ht="15" customHeight="1" s="34">
      <c r="A982" s="33" t="inlineStr">
        <is>
          <t>M 6.8 - 5 km ENE of Sungai Penuh, Indonesia</t>
        </is>
      </c>
      <c r="B982" s="33" t="n">
        <v>6.8</v>
      </c>
      <c r="C982" s="33" t="inlineStr">
        <is>
          <t>06/10/1995 18:09</t>
        </is>
      </c>
      <c r="D982" s="33" t="n">
        <v>0</v>
      </c>
      <c r="E982" s="33" t="n">
        <v>7</v>
      </c>
      <c r="G982" s="33" t="n">
        <v>0</v>
      </c>
      <c r="H982" s="33" t="n">
        <v>711</v>
      </c>
      <c r="I982" s="33" t="inlineStr">
        <is>
          <t>us</t>
        </is>
      </c>
      <c r="J982" s="33" t="n">
        <v>0</v>
      </c>
      <c r="K982" s="33" t="n">
        <v>0</v>
      </c>
      <c r="L982" s="33" t="n">
        <v>0</v>
      </c>
      <c r="M982" s="33" t="inlineStr">
        <is>
          <t>mw</t>
        </is>
      </c>
      <c r="N982" s="33" t="n">
        <v>33</v>
      </c>
      <c r="O982" s="33" t="n">
        <v>-2.045</v>
      </c>
      <c r="P982" s="33" t="n">
        <v>101.436</v>
      </c>
      <c r="Q982" s="33" t="inlineStr">
        <is>
          <t>Sungai Penuh, Indonesia</t>
        </is>
      </c>
      <c r="S982" s="33" t="inlineStr">
        <is>
          <t>Indonesia</t>
        </is>
      </c>
      <c r="T982" s="36">
        <f>DATE(MID(C982,7,4),MID(C982,4,2),MID(C982,1,2))+TIME(MID(C982,12,2),MID(C982,15,2),0)</f>
        <v/>
      </c>
      <c r="U982" s="33">
        <f>IF(ISNUMBER(VALUE(MID(A982,7,1))),"Distance-prefix pattern","Named-region pattern")</f>
        <v/>
      </c>
      <c r="V982" s="33">
        <f>LOWER(M982)</f>
        <v/>
      </c>
      <c r="W982" s="33">
        <f>IF(COUNTIFS($A$2:$A$1001,A982,$C$2:$C$1001,C982)&gt;1,"Duplicate","Unique")</f>
        <v/>
      </c>
      <c r="X982" s="33">
        <f>YEAR(T982)</f>
        <v/>
      </c>
      <c r="Y982" s="33">
        <f>IF(B982&lt;6.5,"&lt;6.5",IF(B982&lt;7,"6.5–6.9",IF(B982&lt;7.5,"7.0–7.4",IF(B982&lt;8,"7.5–7.9","8.0+"))))</f>
        <v/>
      </c>
      <c r="Z982" s="33">
        <f>IF(F982="","Blank",F982)</f>
        <v/>
      </c>
    </row>
    <row r="983" ht="15" customHeight="1" s="34">
      <c r="A983" s="33" t="inlineStr">
        <is>
          <t>M 6.5 - 50 km SE of Sucúa, Ecuador</t>
        </is>
      </c>
      <c r="B983" s="33" t="n">
        <v>6.5</v>
      </c>
      <c r="C983" s="33" t="inlineStr">
        <is>
          <t>03/10/1995 12:44</t>
        </is>
      </c>
      <c r="D983" s="33" t="n">
        <v>0</v>
      </c>
      <c r="E983" s="33" t="n">
        <v>7</v>
      </c>
      <c r="G983" s="33" t="n">
        <v>0</v>
      </c>
      <c r="H983" s="33" t="n">
        <v>650</v>
      </c>
      <c r="I983" s="33" t="inlineStr">
        <is>
          <t>us</t>
        </is>
      </c>
      <c r="J983" s="33" t="n">
        <v>0</v>
      </c>
      <c r="K983" s="33" t="n">
        <v>0</v>
      </c>
      <c r="L983" s="33" t="n">
        <v>0</v>
      </c>
      <c r="M983" s="33" t="inlineStr">
        <is>
          <t>mw</t>
        </is>
      </c>
      <c r="N983" s="33" t="n">
        <v>16.7</v>
      </c>
      <c r="O983" s="33" t="n">
        <v>-2.778</v>
      </c>
      <c r="P983" s="33" t="n">
        <v>-77.851</v>
      </c>
      <c r="Q983" s="33" t="inlineStr">
        <is>
          <t>Sucúa, Ecuador</t>
        </is>
      </c>
      <c r="R983" s="33" t="inlineStr">
        <is>
          <t>South America</t>
        </is>
      </c>
      <c r="S983" s="33" t="inlineStr">
        <is>
          <t>Ecuador</t>
        </is>
      </c>
      <c r="T983" s="36">
        <f>DATE(MID(C983,7,4),MID(C983,4,2),MID(C983,1,2))+TIME(MID(C983,12,2),MID(C983,15,2),0)</f>
        <v/>
      </c>
      <c r="U983" s="33">
        <f>IF(ISNUMBER(VALUE(MID(A983,7,1))),"Distance-prefix pattern","Named-region pattern")</f>
        <v/>
      </c>
      <c r="V983" s="33">
        <f>LOWER(M983)</f>
        <v/>
      </c>
      <c r="W983" s="33">
        <f>IF(COUNTIFS($A$2:$A$1001,A983,$C$2:$C$1001,C983)&gt;1,"Duplicate","Unique")</f>
        <v/>
      </c>
      <c r="X983" s="33">
        <f>YEAR(T983)</f>
        <v/>
      </c>
      <c r="Y983" s="33">
        <f>IF(B983&lt;6.5,"&lt;6.5",IF(B983&lt;7,"6.5–6.9",IF(B983&lt;7.5,"7.0–7.4",IF(B983&lt;8,"7.5–7.9","8.0+"))))</f>
        <v/>
      </c>
      <c r="Z983" s="33">
        <f>IF(F983="","Blank",F983)</f>
        <v/>
      </c>
    </row>
    <row r="984" ht="15" customHeight="1" s="34">
      <c r="A984" s="33" t="inlineStr">
        <is>
          <t>M 7.0 - 45 km SE of Sucúa, Ecuador</t>
        </is>
      </c>
      <c r="B984" s="33" t="n">
        <v>7</v>
      </c>
      <c r="C984" s="33" t="inlineStr">
        <is>
          <t>03/10/1995 01:51</t>
        </is>
      </c>
      <c r="D984" s="33" t="n">
        <v>0</v>
      </c>
      <c r="E984" s="33" t="n">
        <v>7</v>
      </c>
      <c r="G984" s="33" t="n">
        <v>0</v>
      </c>
      <c r="H984" s="33" t="n">
        <v>754</v>
      </c>
      <c r="I984" s="33" t="inlineStr">
        <is>
          <t>us</t>
        </is>
      </c>
      <c r="J984" s="33" t="n">
        <v>0</v>
      </c>
      <c r="K984" s="33" t="n">
        <v>0</v>
      </c>
      <c r="L984" s="33" t="n">
        <v>0</v>
      </c>
      <c r="M984" s="33" t="inlineStr">
        <is>
          <t>mw</t>
        </is>
      </c>
      <c r="N984" s="33" t="n">
        <v>24.4</v>
      </c>
      <c r="O984" s="33" t="n">
        <v>-2.75</v>
      </c>
      <c r="P984" s="33" t="n">
        <v>-77.881</v>
      </c>
      <c r="Q984" s="33" t="inlineStr">
        <is>
          <t>Sucúa, Ecuador</t>
        </is>
      </c>
      <c r="R984" s="33" t="inlineStr">
        <is>
          <t>South America</t>
        </is>
      </c>
      <c r="S984" s="33" t="inlineStr">
        <is>
          <t>Ecuador</t>
        </is>
      </c>
      <c r="T984" s="36">
        <f>DATE(MID(C984,7,4),MID(C984,4,2),MID(C984,1,2))+TIME(MID(C984,12,2),MID(C984,15,2),0)</f>
        <v/>
      </c>
      <c r="U984" s="33">
        <f>IF(ISNUMBER(VALUE(MID(A984,7,1))),"Distance-prefix pattern","Named-region pattern")</f>
        <v/>
      </c>
      <c r="V984" s="33">
        <f>LOWER(M984)</f>
        <v/>
      </c>
      <c r="W984" s="33">
        <f>IF(COUNTIFS($A$2:$A$1001,A984,$C$2:$C$1001,C984)&gt;1,"Duplicate","Unique")</f>
        <v/>
      </c>
      <c r="X984" s="33">
        <f>YEAR(T984)</f>
        <v/>
      </c>
      <c r="Y984" s="33">
        <f>IF(B984&lt;6.5,"&lt;6.5",IF(B984&lt;7,"6.5–6.9",IF(B984&lt;7.5,"7.0–7.4",IF(B984&lt;8,"7.5–7.9","8.0+"))))</f>
        <v/>
      </c>
      <c r="Z984" s="33">
        <f>IF(F984="","Blank",F984)</f>
        <v/>
      </c>
    </row>
    <row r="985" ht="15" customHeight="1" s="34">
      <c r="A985" s="33" t="inlineStr">
        <is>
          <t>M 6.5 - 81 km W of Paramonga, Peru</t>
        </is>
      </c>
      <c r="B985" s="33" t="n">
        <v>6.5</v>
      </c>
      <c r="C985" s="33" t="inlineStr">
        <is>
          <t>23/09/1995 22:31</t>
        </is>
      </c>
      <c r="D985" s="33" t="n">
        <v>0</v>
      </c>
      <c r="E985" s="33" t="n">
        <v>5</v>
      </c>
      <c r="G985" s="33" t="n">
        <v>0</v>
      </c>
      <c r="H985" s="33" t="n">
        <v>650</v>
      </c>
      <c r="I985" s="33" t="inlineStr">
        <is>
          <t>us</t>
        </is>
      </c>
      <c r="J985" s="33" t="n">
        <v>0</v>
      </c>
      <c r="K985" s="33" t="n">
        <v>0</v>
      </c>
      <c r="L985" s="33" t="n">
        <v>0</v>
      </c>
      <c r="M985" s="33" t="inlineStr">
        <is>
          <t>mwb</t>
        </is>
      </c>
      <c r="N985" s="33" t="n">
        <v>59.9</v>
      </c>
      <c r="O985" s="33" t="n">
        <v>-10.68</v>
      </c>
      <c r="P985" s="33" t="n">
        <v>-78.581</v>
      </c>
      <c r="Q985" s="33" t="inlineStr">
        <is>
          <t>Paramonga, Peru</t>
        </is>
      </c>
      <c r="S985" s="33" t="inlineStr">
        <is>
          <t>Peru</t>
        </is>
      </c>
      <c r="T985" s="36">
        <f>DATE(MID(C985,7,4),MID(C985,4,2),MID(C985,1,2))+TIME(MID(C985,12,2),MID(C985,15,2),0)</f>
        <v/>
      </c>
      <c r="U985" s="33">
        <f>IF(ISNUMBER(VALUE(MID(A985,7,1))),"Distance-prefix pattern","Named-region pattern")</f>
        <v/>
      </c>
      <c r="V985" s="33">
        <f>LOWER(M985)</f>
        <v/>
      </c>
      <c r="W985" s="33">
        <f>IF(COUNTIFS($A$2:$A$1001,A985,$C$2:$C$1001,C985)&gt;1,"Duplicate","Unique")</f>
        <v/>
      </c>
      <c r="X985" s="33">
        <f>YEAR(T985)</f>
        <v/>
      </c>
      <c r="Y985" s="33">
        <f>IF(B985&lt;6.5,"&lt;6.5",IF(B985&lt;7,"6.5–6.9",IF(B985&lt;7.5,"7.0–7.4",IF(B985&lt;8,"7.5–7.9","8.0+"))))</f>
        <v/>
      </c>
      <c r="Z985" s="33">
        <f>IF(F985="","Blank",F985)</f>
        <v/>
      </c>
    </row>
    <row r="986" ht="15" customHeight="1" s="34">
      <c r="A986" s="33" t="inlineStr">
        <is>
          <t>M 7.4 - 5 km N of Azoyú, Mexico</t>
        </is>
      </c>
      <c r="B986" s="33" t="n">
        <v>7.4</v>
      </c>
      <c r="C986" s="33" t="inlineStr">
        <is>
          <t>14/09/1995 14:04</t>
        </is>
      </c>
      <c r="D986" s="33" t="n">
        <v>0</v>
      </c>
      <c r="E986" s="33" t="n">
        <v>7</v>
      </c>
      <c r="G986" s="33" t="n">
        <v>0</v>
      </c>
      <c r="H986" s="33" t="n">
        <v>842</v>
      </c>
      <c r="I986" s="33" t="inlineStr">
        <is>
          <t>us</t>
        </is>
      </c>
      <c r="J986" s="33" t="n">
        <v>0</v>
      </c>
      <c r="K986" s="33" t="n">
        <v>0</v>
      </c>
      <c r="L986" s="33" t="n">
        <v>0</v>
      </c>
      <c r="M986" s="33" t="inlineStr">
        <is>
          <t>mwb</t>
        </is>
      </c>
      <c r="N986" s="33" t="n">
        <v>23</v>
      </c>
      <c r="O986" s="33" t="n">
        <v>16.779</v>
      </c>
      <c r="P986" s="33" t="n">
        <v>-98.59699999999999</v>
      </c>
      <c r="Q986" s="33" t="inlineStr">
        <is>
          <t>Azoyú, Mexico</t>
        </is>
      </c>
      <c r="R986" s="33" t="inlineStr">
        <is>
          <t>North America</t>
        </is>
      </c>
      <c r="S986" s="33" t="inlineStr">
        <is>
          <t>Mexico</t>
        </is>
      </c>
      <c r="T986" s="36">
        <f>DATE(MID(C986,7,4),MID(C986,4,2),MID(C986,1,2))+TIME(MID(C986,12,2),MID(C986,15,2),0)</f>
        <v/>
      </c>
      <c r="U986" s="33">
        <f>IF(ISNUMBER(VALUE(MID(A986,7,1))),"Distance-prefix pattern","Named-region pattern")</f>
        <v/>
      </c>
      <c r="V986" s="33">
        <f>LOWER(M986)</f>
        <v/>
      </c>
      <c r="W986" s="33">
        <f>IF(COUNTIFS($A$2:$A$1001,A986,$C$2:$C$1001,C986)&gt;1,"Duplicate","Unique")</f>
        <v/>
      </c>
      <c r="X986" s="33">
        <f>YEAR(T986)</f>
        <v/>
      </c>
      <c r="Y986" s="33">
        <f>IF(B986&lt;6.5,"&lt;6.5",IF(B986&lt;7,"6.5–6.9",IF(B986&lt;7.5,"7.0–7.4",IF(B986&lt;8,"7.5–7.9","8.0+"))))</f>
        <v/>
      </c>
      <c r="Z986" s="33">
        <f>IF(F986="","Blank",F986)</f>
        <v/>
      </c>
    </row>
    <row r="987" ht="15" customHeight="1" s="34">
      <c r="A987" s="33" t="inlineStr">
        <is>
          <t>M 6.6 - 95 km SW of Etchoropo, Mexico</t>
        </is>
      </c>
      <c r="B987" s="33" t="n">
        <v>6.6</v>
      </c>
      <c r="C987" s="33" t="inlineStr">
        <is>
          <t>28/08/1995 10:46</t>
        </is>
      </c>
      <c r="D987" s="33" t="n">
        <v>0</v>
      </c>
      <c r="E987" s="33" t="n">
        <v>5</v>
      </c>
      <c r="G987" s="33" t="n">
        <v>0</v>
      </c>
      <c r="H987" s="33" t="n">
        <v>670</v>
      </c>
      <c r="I987" s="33" t="inlineStr">
        <is>
          <t>us</t>
        </is>
      </c>
      <c r="J987" s="33" t="n">
        <v>0</v>
      </c>
      <c r="K987" s="33" t="n">
        <v>0</v>
      </c>
      <c r="L987" s="33" t="n">
        <v>0</v>
      </c>
      <c r="M987" s="33" t="inlineStr">
        <is>
          <t>mwb</t>
        </is>
      </c>
      <c r="N987" s="33" t="n">
        <v>12.2</v>
      </c>
      <c r="O987" s="33" t="n">
        <v>26.092</v>
      </c>
      <c r="P987" s="33" t="n">
        <v>-110.284</v>
      </c>
      <c r="Q987" s="33" t="inlineStr">
        <is>
          <t>Etchoropo, Mexico</t>
        </is>
      </c>
      <c r="T987" s="36">
        <f>DATE(MID(C987,7,4),MID(C987,4,2),MID(C987,1,2))+TIME(MID(C987,12,2),MID(C987,15,2),0)</f>
        <v/>
      </c>
      <c r="U987" s="33">
        <f>IF(ISNUMBER(VALUE(MID(A987,7,1))),"Distance-prefix pattern","Named-region pattern")</f>
        <v/>
      </c>
      <c r="V987" s="33">
        <f>LOWER(M987)</f>
        <v/>
      </c>
      <c r="W987" s="33">
        <f>IF(COUNTIFS($A$2:$A$1001,A987,$C$2:$C$1001,C987)&gt;1,"Duplicate","Unique")</f>
        <v/>
      </c>
      <c r="X987" s="33">
        <f>YEAR(T987)</f>
        <v/>
      </c>
      <c r="Y987" s="33">
        <f>IF(B987&lt;6.5,"&lt;6.5",IF(B987&lt;7,"6.5–6.9",IF(B987&lt;7.5,"7.0–7.4",IF(B987&lt;8,"7.5–7.9","8.0+"))))</f>
        <v/>
      </c>
      <c r="Z987" s="33">
        <f>IF(F987="","Blank",F987)</f>
        <v/>
      </c>
    </row>
    <row r="988" ht="15" customHeight="1" s="34">
      <c r="A988" s="33" t="inlineStr">
        <is>
          <t>M 6.6 - 7 km WSW of Neira, Colombia</t>
        </is>
      </c>
      <c r="B988" s="33" t="n">
        <v>6.6</v>
      </c>
      <c r="C988" s="33" t="inlineStr">
        <is>
          <t>19/08/1995 21:43</t>
        </is>
      </c>
      <c r="D988" s="33" t="n">
        <v>0</v>
      </c>
      <c r="E988" s="33" t="n">
        <v>6</v>
      </c>
      <c r="G988" s="33" t="n">
        <v>0</v>
      </c>
      <c r="H988" s="33" t="n">
        <v>670</v>
      </c>
      <c r="I988" s="33" t="inlineStr">
        <is>
          <t>us</t>
        </is>
      </c>
      <c r="J988" s="33" t="n">
        <v>0</v>
      </c>
      <c r="K988" s="33" t="n">
        <v>0</v>
      </c>
      <c r="L988" s="33" t="n">
        <v>0</v>
      </c>
      <c r="M988" s="33" t="inlineStr">
        <is>
          <t>mw</t>
        </is>
      </c>
      <c r="N988" s="33" t="n">
        <v>119.6</v>
      </c>
      <c r="O988" s="33" t="n">
        <v>5.139</v>
      </c>
      <c r="P988" s="33" t="n">
        <v>-75.577</v>
      </c>
      <c r="Q988" s="33" t="inlineStr">
        <is>
          <t>Neira, Colombia</t>
        </is>
      </c>
      <c r="R988" s="33" t="inlineStr">
        <is>
          <t>South America</t>
        </is>
      </c>
      <c r="S988" s="33" t="inlineStr">
        <is>
          <t>Colombia</t>
        </is>
      </c>
      <c r="T988" s="36">
        <f>DATE(MID(C988,7,4),MID(C988,4,2),MID(C988,1,2))+TIME(MID(C988,12,2),MID(C988,15,2),0)</f>
        <v/>
      </c>
      <c r="U988" s="33">
        <f>IF(ISNUMBER(VALUE(MID(A988,7,1))),"Distance-prefix pattern","Named-region pattern")</f>
        <v/>
      </c>
      <c r="V988" s="33">
        <f>LOWER(M988)</f>
        <v/>
      </c>
      <c r="W988" s="33">
        <f>IF(COUNTIFS($A$2:$A$1001,A988,$C$2:$C$1001,C988)&gt;1,"Duplicate","Unique")</f>
        <v/>
      </c>
      <c r="X988" s="33">
        <f>YEAR(T988)</f>
        <v/>
      </c>
      <c r="Y988" s="33">
        <f>IF(B988&lt;6.5,"&lt;6.5",IF(B988&lt;7,"6.5–6.9",IF(B988&lt;7.5,"7.0–7.4",IF(B988&lt;8,"7.5–7.9","8.0+"))))</f>
        <v/>
      </c>
      <c r="Z988" s="33">
        <f>IF(F988="","Blank",F988)</f>
        <v/>
      </c>
    </row>
    <row r="989" ht="15" customHeight="1" s="34">
      <c r="A989" s="33" t="inlineStr">
        <is>
          <t>M 7.2 - 139 km WNW of Panguna, Papua New Guinea</t>
        </is>
      </c>
      <c r="B989" s="33" t="n">
        <v>7.2</v>
      </c>
      <c r="C989" s="33" t="inlineStr">
        <is>
          <t>16/08/1995 23:10</t>
        </is>
      </c>
      <c r="D989" s="33" t="n">
        <v>0</v>
      </c>
      <c r="E989" s="33" t="n">
        <v>6</v>
      </c>
      <c r="G989" s="33" t="n">
        <v>0</v>
      </c>
      <c r="H989" s="33" t="n">
        <v>798</v>
      </c>
      <c r="I989" s="33" t="inlineStr">
        <is>
          <t>us</t>
        </is>
      </c>
      <c r="J989" s="33" t="n">
        <v>0</v>
      </c>
      <c r="K989" s="33" t="n">
        <v>0</v>
      </c>
      <c r="L989" s="33" t="n">
        <v>0</v>
      </c>
      <c r="M989" s="33" t="inlineStr">
        <is>
          <t>mw</t>
        </is>
      </c>
      <c r="N989" s="33" t="n">
        <v>33</v>
      </c>
      <c r="O989" s="33" t="n">
        <v>-5.771</v>
      </c>
      <c r="P989" s="33" t="n">
        <v>154.347</v>
      </c>
      <c r="Q989" s="33" t="inlineStr">
        <is>
          <t>Panguna, Papua New Guinea</t>
        </is>
      </c>
      <c r="T989" s="36">
        <f>DATE(MID(C989,7,4),MID(C989,4,2),MID(C989,1,2))+TIME(MID(C989,12,2),MID(C989,15,2),0)</f>
        <v/>
      </c>
      <c r="U989" s="33">
        <f>IF(ISNUMBER(VALUE(MID(A989,7,1))),"Distance-prefix pattern","Named-region pattern")</f>
        <v/>
      </c>
      <c r="V989" s="33">
        <f>LOWER(M989)</f>
        <v/>
      </c>
      <c r="W989" s="33">
        <f>IF(COUNTIFS($A$2:$A$1001,A989,$C$2:$C$1001,C989)&gt;1,"Duplicate","Unique")</f>
        <v/>
      </c>
      <c r="X989" s="33">
        <f>YEAR(T989)</f>
        <v/>
      </c>
      <c r="Y989" s="33">
        <f>IF(B989&lt;6.5,"&lt;6.5",IF(B989&lt;7,"6.5–6.9",IF(B989&lt;7.5,"7.0–7.4",IF(B989&lt;8,"7.5–7.9","8.0+"))))</f>
        <v/>
      </c>
      <c r="Z989" s="33">
        <f>IF(F989="","Blank",F989)</f>
        <v/>
      </c>
    </row>
    <row r="990" ht="15" customHeight="1" s="34">
      <c r="A990" s="33" t="inlineStr">
        <is>
          <t>M 6.6 - 205 km SE of Kokopo, Papua New Guinea</t>
        </is>
      </c>
      <c r="B990" s="33" t="n">
        <v>6.6</v>
      </c>
      <c r="C990" s="33" t="inlineStr">
        <is>
          <t>16/08/1995 16:24</t>
        </is>
      </c>
      <c r="D990" s="33" t="n">
        <v>0</v>
      </c>
      <c r="E990" s="33" t="n">
        <v>4</v>
      </c>
      <c r="G990" s="33" t="n">
        <v>0</v>
      </c>
      <c r="H990" s="33" t="n">
        <v>670</v>
      </c>
      <c r="I990" s="33" t="inlineStr">
        <is>
          <t>us</t>
        </is>
      </c>
      <c r="J990" s="33" t="n">
        <v>0</v>
      </c>
      <c r="K990" s="33" t="n">
        <v>0</v>
      </c>
      <c r="L990" s="33" t="n">
        <v>0</v>
      </c>
      <c r="M990" s="33" t="inlineStr">
        <is>
          <t>mw</t>
        </is>
      </c>
      <c r="N990" s="33" t="n">
        <v>18.7</v>
      </c>
      <c r="O990" s="33" t="n">
        <v>-5.429</v>
      </c>
      <c r="P990" s="33" t="n">
        <v>153.773</v>
      </c>
      <c r="Q990" s="33" t="inlineStr">
        <is>
          <t>Kokopo, Papua New Guinea</t>
        </is>
      </c>
      <c r="T990" s="36">
        <f>DATE(MID(C990,7,4),MID(C990,4,2),MID(C990,1,2))+TIME(MID(C990,12,2),MID(C990,15,2),0)</f>
        <v/>
      </c>
      <c r="U990" s="33">
        <f>IF(ISNUMBER(VALUE(MID(A990,7,1))),"Distance-prefix pattern","Named-region pattern")</f>
        <v/>
      </c>
      <c r="V990" s="33">
        <f>LOWER(M990)</f>
        <v/>
      </c>
      <c r="W990" s="33">
        <f>IF(COUNTIFS($A$2:$A$1001,A990,$C$2:$C$1001,C990)&gt;1,"Duplicate","Unique")</f>
        <v/>
      </c>
      <c r="X990" s="33">
        <f>YEAR(T990)</f>
        <v/>
      </c>
      <c r="Y990" s="33">
        <f>IF(B990&lt;6.5,"&lt;6.5",IF(B990&lt;7,"6.5–6.9",IF(B990&lt;7.5,"7.0–7.4",IF(B990&lt;8,"7.5–7.9","8.0+"))))</f>
        <v/>
      </c>
      <c r="Z990" s="33">
        <f>IF(F990="","Blank",F990)</f>
        <v/>
      </c>
    </row>
    <row r="991" ht="15" customHeight="1" s="34">
      <c r="A991" s="33" t="inlineStr">
        <is>
          <t>M 7.7 - 155 km WNW of Panguna, Papua New Guinea</t>
        </is>
      </c>
      <c r="B991" s="33" t="n">
        <v>7.7</v>
      </c>
      <c r="C991" s="33" t="inlineStr">
        <is>
          <t>16/08/1995 10:27</t>
        </is>
      </c>
      <c r="D991" s="33" t="n">
        <v>0</v>
      </c>
      <c r="E991" s="33" t="n">
        <v>6</v>
      </c>
      <c r="G991" s="33" t="n">
        <v>0</v>
      </c>
      <c r="H991" s="33" t="n">
        <v>912</v>
      </c>
      <c r="I991" s="33" t="inlineStr">
        <is>
          <t>us</t>
        </is>
      </c>
      <c r="J991" s="33" t="n">
        <v>0</v>
      </c>
      <c r="K991" s="33" t="n">
        <v>0</v>
      </c>
      <c r="L991" s="33" t="n">
        <v>0</v>
      </c>
      <c r="M991" s="33" t="inlineStr">
        <is>
          <t>mw</t>
        </is>
      </c>
      <c r="N991" s="33" t="n">
        <v>30.1</v>
      </c>
      <c r="O991" s="33" t="n">
        <v>-5.799</v>
      </c>
      <c r="P991" s="33" t="n">
        <v>154.178</v>
      </c>
      <c r="Q991" s="33" t="inlineStr">
        <is>
          <t>Panguna, Papua New Guinea</t>
        </is>
      </c>
      <c r="T991" s="36">
        <f>DATE(MID(C991,7,4),MID(C991,4,2),MID(C991,1,2))+TIME(MID(C991,12,2),MID(C991,15,2),0)</f>
        <v/>
      </c>
      <c r="U991" s="33">
        <f>IF(ISNUMBER(VALUE(MID(A991,7,1))),"Distance-prefix pattern","Named-region pattern")</f>
        <v/>
      </c>
      <c r="V991" s="33">
        <f>LOWER(M991)</f>
        <v/>
      </c>
      <c r="W991" s="33">
        <f>IF(COUNTIFS($A$2:$A$1001,A991,$C$2:$C$1001,C991)&gt;1,"Duplicate","Unique")</f>
        <v/>
      </c>
      <c r="X991" s="33">
        <f>YEAR(T991)</f>
        <v/>
      </c>
      <c r="Y991" s="33">
        <f>IF(B991&lt;6.5,"&lt;6.5",IF(B991&lt;7,"6.5–6.9",IF(B991&lt;7.5,"7.0–7.4",IF(B991&lt;8,"7.5–7.9","8.0+"))))</f>
        <v/>
      </c>
      <c r="Z991" s="33">
        <f>IF(F991="","Blank",F991)</f>
        <v/>
      </c>
    </row>
    <row r="992" ht="15" customHeight="1" s="34">
      <c r="A992" s="33" t="inlineStr">
        <is>
          <t>M 6.7 - 99 km WSW of Kokopo, Papua New Guinea</t>
        </is>
      </c>
      <c r="B992" s="33" t="n">
        <v>6.7</v>
      </c>
      <c r="C992" s="33" t="inlineStr">
        <is>
          <t>14/08/1995 04:37</t>
        </is>
      </c>
      <c r="D992" s="33" t="n">
        <v>0</v>
      </c>
      <c r="E992" s="33" t="n">
        <v>6</v>
      </c>
      <c r="G992" s="33" t="n">
        <v>0</v>
      </c>
      <c r="H992" s="33" t="n">
        <v>691</v>
      </c>
      <c r="I992" s="33" t="inlineStr">
        <is>
          <t>us</t>
        </is>
      </c>
      <c r="J992" s="33" t="n">
        <v>0</v>
      </c>
      <c r="K992" s="33" t="n">
        <v>0</v>
      </c>
      <c r="L992" s="33" t="n">
        <v>0</v>
      </c>
      <c r="M992" s="33" t="inlineStr">
        <is>
          <t>mw</t>
        </is>
      </c>
      <c r="N992" s="33" t="n">
        <v>127.9</v>
      </c>
      <c r="O992" s="33" t="n">
        <v>-4.836</v>
      </c>
      <c r="P992" s="33" t="n">
        <v>151.515</v>
      </c>
      <c r="Q992" s="33" t="inlineStr">
        <is>
          <t>Kokopo, Papua New Guinea</t>
        </is>
      </c>
      <c r="S992" s="33" t="inlineStr">
        <is>
          <t>Papua New Guinea</t>
        </is>
      </c>
      <c r="T992" s="36">
        <f>DATE(MID(C992,7,4),MID(C992,4,2),MID(C992,1,2))+TIME(MID(C992,12,2),MID(C992,15,2),0)</f>
        <v/>
      </c>
      <c r="U992" s="33">
        <f>IF(ISNUMBER(VALUE(MID(A992,7,1))),"Distance-prefix pattern","Named-region pattern")</f>
        <v/>
      </c>
      <c r="V992" s="33">
        <f>LOWER(M992)</f>
        <v/>
      </c>
      <c r="W992" s="33">
        <f>IF(COUNTIFS($A$2:$A$1001,A992,$C$2:$C$1001,C992)&gt;1,"Duplicate","Unique")</f>
        <v/>
      </c>
      <c r="X992" s="33">
        <f>YEAR(T992)</f>
        <v/>
      </c>
      <c r="Y992" s="33">
        <f>IF(B992&lt;6.5,"&lt;6.5",IF(B992&lt;7,"6.5–6.9",IF(B992&lt;7.5,"7.0–7.4",IF(B992&lt;8,"7.5–7.9","8.0+"))))</f>
        <v/>
      </c>
      <c r="Z992" s="33">
        <f>IF(F992="","Blank",F992)</f>
        <v/>
      </c>
    </row>
    <row r="993" ht="15" customHeight="1" s="34">
      <c r="A993" s="33" t="inlineStr">
        <is>
          <t>M 8.0 - 36 km NNE of Antofagasta, Chile</t>
        </is>
      </c>
      <c r="B993" s="33" t="n">
        <v>8</v>
      </c>
      <c r="C993" s="33" t="inlineStr">
        <is>
          <t>30/07/1995 05:11</t>
        </is>
      </c>
      <c r="D993" s="33" t="n">
        <v>0</v>
      </c>
      <c r="E993" s="33" t="n">
        <v>8</v>
      </c>
      <c r="G993" s="33" t="n">
        <v>0</v>
      </c>
      <c r="H993" s="33" t="n">
        <v>985</v>
      </c>
      <c r="I993" s="33" t="inlineStr">
        <is>
          <t>us</t>
        </is>
      </c>
      <c r="J993" s="33" t="n">
        <v>0</v>
      </c>
      <c r="K993" s="33" t="n">
        <v>0</v>
      </c>
      <c r="L993" s="33" t="n">
        <v>0</v>
      </c>
      <c r="M993" s="33" t="inlineStr">
        <is>
          <t>mw</t>
        </is>
      </c>
      <c r="N993" s="33" t="n">
        <v>45.6</v>
      </c>
      <c r="O993" s="33" t="n">
        <v>-23.34</v>
      </c>
      <c r="P993" s="33" t="n">
        <v>-70.294</v>
      </c>
      <c r="Q993" s="33" t="inlineStr">
        <is>
          <t>Ant</t>
        </is>
      </c>
      <c r="R993" s="33" t="inlineStr">
        <is>
          <t>South America</t>
        </is>
      </c>
      <c r="S993" s="33" t="inlineStr">
        <is>
          <t>Chile</t>
        </is>
      </c>
      <c r="T993" s="36">
        <f>DATE(MID(C993,7,4),MID(C993,4,2),MID(C993,1,2))+TIME(MID(C993,12,2),MID(C993,15,2),0)</f>
        <v/>
      </c>
      <c r="U993" s="33">
        <f>IF(ISNUMBER(VALUE(MID(A993,7,1))),"Distance-prefix pattern","Named-region pattern")</f>
        <v/>
      </c>
      <c r="V993" s="33">
        <f>LOWER(M993)</f>
        <v/>
      </c>
      <c r="W993" s="33">
        <f>IF(COUNTIFS($A$2:$A$1001,A993,$C$2:$C$1001,C993)&gt;1,"Duplicate","Unique")</f>
        <v/>
      </c>
      <c r="X993" s="33">
        <f>YEAR(T993)</f>
        <v/>
      </c>
      <c r="Y993" s="33">
        <f>IF(B993&lt;6.5,"&lt;6.5",IF(B993&lt;7,"6.5–6.9",IF(B993&lt;7.5,"7.0–7.4",IF(B993&lt;8,"7.5–7.9","8.0+"))))</f>
        <v/>
      </c>
      <c r="Z993" s="33">
        <f>IF(F993="","Blank",F993)</f>
        <v/>
      </c>
    </row>
    <row r="994" ht="15" customHeight="1" s="34">
      <c r="A994" s="33" t="inlineStr">
        <is>
          <t>M 6.8 - 158 km W of Jinghong, China</t>
        </is>
      </c>
      <c r="B994" s="33" t="n">
        <v>6.8</v>
      </c>
      <c r="C994" s="33" t="inlineStr">
        <is>
          <t>11/07/1995 21:46</t>
        </is>
      </c>
      <c r="D994" s="33" t="n">
        <v>0</v>
      </c>
      <c r="E994" s="33" t="n">
        <v>8</v>
      </c>
      <c r="G994" s="33" t="n">
        <v>0</v>
      </c>
      <c r="H994" s="33" t="n">
        <v>711</v>
      </c>
      <c r="I994" s="33" t="inlineStr">
        <is>
          <t>us</t>
        </is>
      </c>
      <c r="J994" s="33" t="n">
        <v>0</v>
      </c>
      <c r="K994" s="33" t="n">
        <v>0</v>
      </c>
      <c r="L994" s="33" t="n">
        <v>0</v>
      </c>
      <c r="M994" s="33" t="inlineStr">
        <is>
          <t>mw</t>
        </is>
      </c>
      <c r="N994" s="33" t="n">
        <v>12.5</v>
      </c>
      <c r="O994" s="33" t="n">
        <v>21.966</v>
      </c>
      <c r="P994" s="33" t="n">
        <v>99.196</v>
      </c>
      <c r="Q994" s="33" t="inlineStr">
        <is>
          <t>Jinghong, China</t>
        </is>
      </c>
      <c r="R994" s="33" t="inlineStr">
        <is>
          <t>Asia</t>
        </is>
      </c>
      <c r="S994" s="33" t="inlineStr">
        <is>
          <t>Myanmar</t>
        </is>
      </c>
      <c r="T994" s="36">
        <f>DATE(MID(C994,7,4),MID(C994,4,2),MID(C994,1,2))+TIME(MID(C994,12,2),MID(C994,15,2),0)</f>
        <v/>
      </c>
      <c r="U994" s="33">
        <f>IF(ISNUMBER(VALUE(MID(A994,7,1))),"Distance-prefix pattern","Named-region pattern")</f>
        <v/>
      </c>
      <c r="V994" s="33">
        <f>LOWER(M994)</f>
        <v/>
      </c>
      <c r="W994" s="33">
        <f>IF(COUNTIFS($A$2:$A$1001,A994,$C$2:$C$1001,C994)&gt;1,"Duplicate","Unique")</f>
        <v/>
      </c>
      <c r="X994" s="33">
        <f>YEAR(T994)</f>
        <v/>
      </c>
      <c r="Y994" s="33">
        <f>IF(B994&lt;6.5,"&lt;6.5",IF(B994&lt;7,"6.5–6.9",IF(B994&lt;7.5,"7.0–7.4",IF(B994&lt;8,"7.5–7.9","8.0+"))))</f>
        <v/>
      </c>
      <c r="Z994" s="33">
        <f>IF(F994="","Blank",F994)</f>
        <v/>
      </c>
    </row>
    <row r="995" ht="15" customHeight="1" s="34">
      <c r="A995" s="33" t="inlineStr">
        <is>
          <t>M 6.6 - 0 km ESE of Isangel, Vanuatu</t>
        </is>
      </c>
      <c r="B995" s="33" t="n">
        <v>6.6</v>
      </c>
      <c r="C995" s="33" t="inlineStr">
        <is>
          <t>29/06/1995 12:24</t>
        </is>
      </c>
      <c r="D995" s="33" t="n">
        <v>0</v>
      </c>
      <c r="E995" s="33" t="n">
        <v>5</v>
      </c>
      <c r="G995" s="33" t="n">
        <v>0</v>
      </c>
      <c r="H995" s="33" t="n">
        <v>670</v>
      </c>
      <c r="I995" s="33" t="inlineStr">
        <is>
          <t>us</t>
        </is>
      </c>
      <c r="J995" s="33" t="n">
        <v>0</v>
      </c>
      <c r="K995" s="33" t="n">
        <v>0</v>
      </c>
      <c r="L995" s="33" t="n">
        <v>0</v>
      </c>
      <c r="M995" s="33" t="inlineStr">
        <is>
          <t>mw</t>
        </is>
      </c>
      <c r="N995" s="33" t="n">
        <v>139.4</v>
      </c>
      <c r="O995" s="33" t="n">
        <v>-19.544</v>
      </c>
      <c r="P995" s="33" t="n">
        <v>169.287</v>
      </c>
      <c r="Q995" s="33" t="inlineStr">
        <is>
          <t>Isangel, Vanuatu</t>
        </is>
      </c>
      <c r="S995" s="33" t="inlineStr">
        <is>
          <t>Vanuatu</t>
        </is>
      </c>
      <c r="T995" s="36">
        <f>DATE(MID(C995,7,4),MID(C995,4,2),MID(C995,1,2))+TIME(MID(C995,12,2),MID(C995,15,2),0)</f>
        <v/>
      </c>
      <c r="U995" s="33">
        <f>IF(ISNUMBER(VALUE(MID(A995,7,1))),"Distance-prefix pattern","Named-region pattern")</f>
        <v/>
      </c>
      <c r="V995" s="33">
        <f>LOWER(M995)</f>
        <v/>
      </c>
      <c r="W995" s="33">
        <f>IF(COUNTIFS($A$2:$A$1001,A995,$C$2:$C$1001,C995)&gt;1,"Duplicate","Unique")</f>
        <v/>
      </c>
      <c r="X995" s="33">
        <f>YEAR(T995)</f>
        <v/>
      </c>
      <c r="Y995" s="33">
        <f>IF(B995&lt;6.5,"&lt;6.5",IF(B995&lt;7,"6.5–6.9",IF(B995&lt;7.5,"7.0–7.4",IF(B995&lt;8,"7.5–7.9","8.0+"))))</f>
        <v/>
      </c>
      <c r="Z995" s="33">
        <f>IF(F995="","Blank",F995)</f>
        <v/>
      </c>
    </row>
    <row r="996" ht="15" customHeight="1" s="34">
      <c r="A996" s="33" t="inlineStr">
        <is>
          <t>M 6.5 - 8 km WNW of Galaxídhion, Greece</t>
        </is>
      </c>
      <c r="B996" s="33" t="n">
        <v>6.5</v>
      </c>
      <c r="C996" s="33" t="inlineStr">
        <is>
          <t>15/06/1995 00:15</t>
        </is>
      </c>
      <c r="D996" s="33" t="n">
        <v>0</v>
      </c>
      <c r="E996" s="33" t="n">
        <v>7</v>
      </c>
      <c r="G996" s="33" t="n">
        <v>0</v>
      </c>
      <c r="H996" s="33" t="n">
        <v>650</v>
      </c>
      <c r="I996" s="33" t="inlineStr">
        <is>
          <t>us</t>
        </is>
      </c>
      <c r="J996" s="33" t="n">
        <v>0</v>
      </c>
      <c r="K996" s="33" t="n">
        <v>0</v>
      </c>
      <c r="L996" s="33" t="n">
        <v>0</v>
      </c>
      <c r="M996" s="33" t="inlineStr">
        <is>
          <t>mw</t>
        </is>
      </c>
      <c r="N996" s="33" t="n">
        <v>14.2</v>
      </c>
      <c r="O996" s="33" t="n">
        <v>38.401</v>
      </c>
      <c r="P996" s="33" t="n">
        <v>22.283</v>
      </c>
      <c r="Q996" s="33" t="inlineStr">
        <is>
          <t>Galaxídhion, Greece</t>
        </is>
      </c>
      <c r="R996" s="33" t="inlineStr">
        <is>
          <t>Europe</t>
        </is>
      </c>
      <c r="S996" s="33" t="inlineStr">
        <is>
          <t>Greece</t>
        </is>
      </c>
      <c r="T996" s="36">
        <f>DATE(MID(C996,7,4),MID(C996,4,2),MID(C996,1,2))+TIME(MID(C996,12,2),MID(C996,15,2),0)</f>
        <v/>
      </c>
      <c r="U996" s="33">
        <f>IF(ISNUMBER(VALUE(MID(A996,7,1))),"Distance-prefix pattern","Named-region pattern")</f>
        <v/>
      </c>
      <c r="V996" s="33">
        <f>LOWER(M996)</f>
        <v/>
      </c>
      <c r="W996" s="33">
        <f>IF(COUNTIFS($A$2:$A$1001,A996,$C$2:$C$1001,C996)&gt;1,"Duplicate","Unique")</f>
        <v/>
      </c>
      <c r="X996" s="33">
        <f>YEAR(T996)</f>
        <v/>
      </c>
      <c r="Y996" s="33">
        <f>IF(B996&lt;6.5,"&lt;6.5",IF(B996&lt;7,"6.5–6.9",IF(B996&lt;7.5,"7.0–7.4",IF(B996&lt;8,"7.5–7.9","8.0+"))))</f>
        <v/>
      </c>
      <c r="Z996" s="33">
        <f>IF(F996="","Blank",F996)</f>
        <v/>
      </c>
    </row>
    <row r="997" ht="15" customHeight="1" s="34">
      <c r="A997" s="33" t="inlineStr">
        <is>
          <t>M 7.1 - 85 km S of Tungor, Russia</t>
        </is>
      </c>
      <c r="B997" s="33" t="n">
        <v>7.1</v>
      </c>
      <c r="C997" s="33" t="inlineStr">
        <is>
          <t>27/05/1995 13:03</t>
        </is>
      </c>
      <c r="D997" s="33" t="n">
        <v>0</v>
      </c>
      <c r="E997" s="33" t="n">
        <v>9</v>
      </c>
      <c r="G997" s="33" t="n">
        <v>0</v>
      </c>
      <c r="H997" s="33" t="n">
        <v>776</v>
      </c>
      <c r="I997" s="33" t="inlineStr">
        <is>
          <t>us</t>
        </is>
      </c>
      <c r="J997" s="33" t="n">
        <v>0</v>
      </c>
      <c r="K997" s="33" t="n">
        <v>0</v>
      </c>
      <c r="L997" s="33" t="n">
        <v>0</v>
      </c>
      <c r="M997" s="33" t="inlineStr">
        <is>
          <t>mwb</t>
        </is>
      </c>
      <c r="N997" s="33" t="n">
        <v>11</v>
      </c>
      <c r="O997" s="33" t="n">
        <v>52.629</v>
      </c>
      <c r="P997" s="33" t="n">
        <v>142.827</v>
      </c>
      <c r="Q997" s="33" t="inlineStr">
        <is>
          <t>Tungor, Russia</t>
        </is>
      </c>
      <c r="R997" s="33" t="inlineStr">
        <is>
          <t>Asia</t>
        </is>
      </c>
      <c r="S997" s="33" t="inlineStr">
        <is>
          <t>Russia</t>
        </is>
      </c>
      <c r="T997" s="36">
        <f>DATE(MID(C997,7,4),MID(C997,4,2),MID(C997,1,2))+TIME(MID(C997,12,2),MID(C997,15,2),0)</f>
        <v/>
      </c>
      <c r="U997" s="33">
        <f>IF(ISNUMBER(VALUE(MID(A997,7,1))),"Distance-prefix pattern","Named-region pattern")</f>
        <v/>
      </c>
      <c r="V997" s="33">
        <f>LOWER(M997)</f>
        <v/>
      </c>
      <c r="W997" s="33">
        <f>IF(COUNTIFS($A$2:$A$1001,A997,$C$2:$C$1001,C997)&gt;1,"Duplicate","Unique")</f>
        <v/>
      </c>
      <c r="X997" s="33">
        <f>YEAR(T997)</f>
        <v/>
      </c>
      <c r="Y997" s="33">
        <f>IF(B997&lt;6.5,"&lt;6.5",IF(B997&lt;7,"6.5–6.9",IF(B997&lt;7.5,"7.0–7.4",IF(B997&lt;8,"7.5–7.9","8.0+"))))</f>
        <v/>
      </c>
      <c r="Z997" s="33">
        <f>IF(F997="","Blank",F997)</f>
        <v/>
      </c>
    </row>
    <row r="998" ht="15" customHeight="1" s="34">
      <c r="A998" s="33" t="inlineStr">
        <is>
          <t>M 7.7 - 249 km E of Vao, New Caledonia</t>
        </is>
      </c>
      <c r="B998" s="33" t="n">
        <v>7.7</v>
      </c>
      <c r="C998" s="33" t="inlineStr">
        <is>
          <t>16/05/1995 20:12</t>
        </is>
      </c>
      <c r="D998" s="33" t="n">
        <v>0</v>
      </c>
      <c r="E998" s="33" t="n">
        <v>4</v>
      </c>
      <c r="G998" s="33" t="n">
        <v>0</v>
      </c>
      <c r="H998" s="33" t="n">
        <v>912</v>
      </c>
      <c r="I998" s="33" t="inlineStr">
        <is>
          <t>us</t>
        </is>
      </c>
      <c r="J998" s="33" t="n">
        <v>0</v>
      </c>
      <c r="K998" s="33" t="n">
        <v>0</v>
      </c>
      <c r="L998" s="33" t="n">
        <v>0</v>
      </c>
      <c r="M998" s="33" t="inlineStr">
        <is>
          <t>mw</t>
        </is>
      </c>
      <c r="N998" s="33" t="n">
        <v>20.2</v>
      </c>
      <c r="O998" s="33" t="n">
        <v>-23.008</v>
      </c>
      <c r="P998" s="33" t="n">
        <v>169.9</v>
      </c>
      <c r="Q998" s="33" t="inlineStr">
        <is>
          <t>Vao, New Caledonia</t>
        </is>
      </c>
      <c r="T998" s="36">
        <f>DATE(MID(C998,7,4),MID(C998,4,2),MID(C998,1,2))+TIME(MID(C998,12,2),MID(C998,15,2),0)</f>
        <v/>
      </c>
      <c r="U998" s="33">
        <f>IF(ISNUMBER(VALUE(MID(A998,7,1))),"Distance-prefix pattern","Named-region pattern")</f>
        <v/>
      </c>
      <c r="V998" s="33">
        <f>LOWER(M998)</f>
        <v/>
      </c>
      <c r="W998" s="33">
        <f>IF(COUNTIFS($A$2:$A$1001,A998,$C$2:$C$1001,C998)&gt;1,"Duplicate","Unique")</f>
        <v/>
      </c>
      <c r="X998" s="33">
        <f>YEAR(T998)</f>
        <v/>
      </c>
      <c r="Y998" s="33">
        <f>IF(B998&lt;6.5,"&lt;6.5",IF(B998&lt;7,"6.5–6.9",IF(B998&lt;7.5,"7.0–7.4",IF(B998&lt;8,"7.5–7.9","8.0+"))))</f>
        <v/>
      </c>
      <c r="Z998" s="33">
        <f>IF(F998="","Blank",F998)</f>
        <v/>
      </c>
    </row>
    <row r="999" ht="15" customHeight="1" s="34">
      <c r="A999" s="33" t="inlineStr">
        <is>
          <t>M 6.9 - 27 km NNW of Maubara, Timor Leste</t>
        </is>
      </c>
      <c r="B999" s="33" t="n">
        <v>6.9</v>
      </c>
      <c r="C999" s="33" t="inlineStr">
        <is>
          <t>14/05/1995 11:33</t>
        </is>
      </c>
      <c r="D999" s="33" t="n">
        <v>0</v>
      </c>
      <c r="E999" s="33" t="n">
        <v>6</v>
      </c>
      <c r="G999" s="33" t="n">
        <v>0</v>
      </c>
      <c r="H999" s="33" t="n">
        <v>732</v>
      </c>
      <c r="I999" s="33" t="inlineStr">
        <is>
          <t>us</t>
        </is>
      </c>
      <c r="J999" s="33" t="n">
        <v>0</v>
      </c>
      <c r="K999" s="33" t="n">
        <v>0</v>
      </c>
      <c r="L999" s="33" t="n">
        <v>0</v>
      </c>
      <c r="M999" s="33" t="inlineStr">
        <is>
          <t>mw</t>
        </is>
      </c>
      <c r="N999" s="33" t="n">
        <v>11.2</v>
      </c>
      <c r="O999" s="33" t="n">
        <v>-8.378</v>
      </c>
      <c r="P999" s="33" t="n">
        <v>125.127</v>
      </c>
      <c r="Q999" s="33" t="inlineStr">
        <is>
          <t>Maubara, Timor Leste</t>
        </is>
      </c>
      <c r="S999" s="33" t="inlineStr">
        <is>
          <t>Indonesia</t>
        </is>
      </c>
      <c r="T999" s="36">
        <f>DATE(MID(C999,7,4),MID(C999,4,2),MID(C999,1,2))+TIME(MID(C999,12,2),MID(C999,15,2),0)</f>
        <v/>
      </c>
      <c r="U999" s="33">
        <f>IF(ISNUMBER(VALUE(MID(A999,7,1))),"Distance-prefix pattern","Named-region pattern")</f>
        <v/>
      </c>
      <c r="V999" s="33">
        <f>LOWER(M999)</f>
        <v/>
      </c>
      <c r="W999" s="33">
        <f>IF(COUNTIFS($A$2:$A$1001,A999,$C$2:$C$1001,C999)&gt;1,"Duplicate","Unique")</f>
        <v/>
      </c>
      <c r="X999" s="33">
        <f>YEAR(T999)</f>
        <v/>
      </c>
      <c r="Y999" s="33">
        <f>IF(B999&lt;6.5,"&lt;6.5",IF(B999&lt;7,"6.5–6.9",IF(B999&lt;7.5,"7.0–7.4",IF(B999&lt;8,"7.5–7.9","8.0+"))))</f>
        <v/>
      </c>
      <c r="Z999" s="33">
        <f>IF(F999="","Blank",F999)</f>
        <v/>
      </c>
    </row>
    <row r="1000" ht="15" customHeight="1" s="34">
      <c r="A1000" s="33" t="inlineStr">
        <is>
          <t>M 6.6 - 10 km W of Aianí, Greece</t>
        </is>
      </c>
      <c r="B1000" s="33" t="n">
        <v>6.6</v>
      </c>
      <c r="C1000" s="33" t="inlineStr">
        <is>
          <t>13/05/1995 08:47</t>
        </is>
      </c>
      <c r="D1000" s="33" t="n">
        <v>0</v>
      </c>
      <c r="E1000" s="33" t="n">
        <v>9</v>
      </c>
      <c r="G1000" s="33" t="n">
        <v>0</v>
      </c>
      <c r="H1000" s="33" t="n">
        <v>670</v>
      </c>
      <c r="I1000" s="33" t="inlineStr">
        <is>
          <t>us</t>
        </is>
      </c>
      <c r="J1000" s="33" t="n">
        <v>0</v>
      </c>
      <c r="K1000" s="33" t="n">
        <v>0</v>
      </c>
      <c r="L1000" s="33" t="n">
        <v>0</v>
      </c>
      <c r="M1000" s="33" t="inlineStr">
        <is>
          <t>mw</t>
        </is>
      </c>
      <c r="N1000" s="33" t="n">
        <v>14</v>
      </c>
      <c r="O1000" s="33" t="n">
        <v>40.149</v>
      </c>
      <c r="P1000" s="33" t="n">
        <v>21.695</v>
      </c>
      <c r="Q1000" s="33" t="inlineStr">
        <is>
          <t>Aianí, Greece</t>
        </is>
      </c>
      <c r="R1000" s="33" t="inlineStr">
        <is>
          <t>Europe</t>
        </is>
      </c>
      <c r="S1000" s="33" t="inlineStr">
        <is>
          <t>Greece</t>
        </is>
      </c>
      <c r="T1000" s="36">
        <f>DATE(MID(C1000,7,4),MID(C1000,4,2),MID(C1000,1,2))+TIME(MID(C1000,12,2),MID(C1000,15,2),0)</f>
        <v/>
      </c>
      <c r="U1000" s="33">
        <f>IF(ISNUMBER(VALUE(MID(A1000,7,1))),"Distance-prefix pattern","Named-region pattern")</f>
        <v/>
      </c>
      <c r="V1000" s="33">
        <f>LOWER(M1000)</f>
        <v/>
      </c>
      <c r="W1000" s="33">
        <f>IF(COUNTIFS($A$2:$A$1001,A1000,$C$2:$C$1001,C1000)&gt;1,"Duplicate","Unique")</f>
        <v/>
      </c>
      <c r="X1000" s="33">
        <f>YEAR(T1000)</f>
        <v/>
      </c>
      <c r="Y1000" s="33">
        <f>IF(B1000&lt;6.5,"&lt;6.5",IF(B1000&lt;7,"6.5–6.9",IF(B1000&lt;7.5,"7.0–7.4",IF(B1000&lt;8,"7.5–7.9","8.0+"))))</f>
        <v/>
      </c>
      <c r="Z1000" s="33">
        <f>IF(F1000="","Blank",F1000)</f>
        <v/>
      </c>
    </row>
    <row r="1001" ht="15" customHeight="1" s="34">
      <c r="A1001" s="33" t="inlineStr">
        <is>
          <t>M 7.1 - 14 km NE of Cabatuan, Philippines</t>
        </is>
      </c>
      <c r="B1001" s="33" t="n">
        <v>7.1</v>
      </c>
      <c r="C1001" s="33" t="inlineStr">
        <is>
          <t>05/05/1995 03:53</t>
        </is>
      </c>
      <c r="D1001" s="33" t="n">
        <v>0</v>
      </c>
      <c r="E1001" s="33" t="n">
        <v>7</v>
      </c>
      <c r="G1001" s="33" t="n">
        <v>0</v>
      </c>
      <c r="H1001" s="33" t="n">
        <v>776</v>
      </c>
      <c r="I1001" s="33" t="inlineStr">
        <is>
          <t>us</t>
        </is>
      </c>
      <c r="J1001" s="33" t="n">
        <v>0</v>
      </c>
      <c r="K1001" s="33" t="n">
        <v>0</v>
      </c>
      <c r="L1001" s="33" t="n">
        <v>0</v>
      </c>
      <c r="M1001" s="33" t="inlineStr">
        <is>
          <t>mw</t>
        </is>
      </c>
      <c r="N1001" s="33" t="n">
        <v>16</v>
      </c>
      <c r="O1001" s="33" t="n">
        <v>12.626</v>
      </c>
      <c r="P1001" s="33" t="n">
        <v>125.297</v>
      </c>
      <c r="Q1001" s="33" t="inlineStr">
        <is>
          <t>Cabatuan, Philippines</t>
        </is>
      </c>
      <c r="S1001" s="33" t="inlineStr">
        <is>
          <t>Philippines</t>
        </is>
      </c>
      <c r="T1001" s="36">
        <f>DATE(MID(C1001,7,4),MID(C1001,4,2),MID(C1001,1,2))+TIME(MID(C1001,12,2),MID(C1001,15,2),0)</f>
        <v/>
      </c>
      <c r="U1001" s="33">
        <f>IF(ISNUMBER(VALUE(MID(A1001,7,1))),"Distance-prefix pattern","Named-region pattern")</f>
        <v/>
      </c>
      <c r="V1001" s="33">
        <f>LOWER(M1001)</f>
        <v/>
      </c>
      <c r="W1001" s="33">
        <f>IF(COUNTIFS($A$2:$A$1001,A1001,$C$2:$C$1001,C1001)&gt;1,"Duplicate","Unique")</f>
        <v/>
      </c>
      <c r="X1001" s="33">
        <f>YEAR(T1001)</f>
        <v/>
      </c>
      <c r="Y1001" s="33">
        <f>IF(B1001&lt;6.5,"&lt;6.5",IF(B1001&lt;7,"6.5–6.9",IF(B1001&lt;7.5,"7.0–7.4",IF(B1001&lt;8,"7.5–7.9","8.0+"))))</f>
        <v/>
      </c>
      <c r="Z1001" s="33">
        <f>IF(F1001="","Blank",F1001)</f>
        <v/>
      </c>
    </row>
  </sheetData>
  <autoFilter ref="A1:Z10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4" customWidth="1" style="33" min="1" max="1"/>
    <col width="18" customWidth="1" style="33" min="2" max="2"/>
    <col width="4" customWidth="1" style="33" min="3" max="3"/>
    <col width="18" customWidth="1" style="33" min="4" max="7"/>
  </cols>
  <sheetData>
    <row r="1" ht="19.7" customHeight="1" s="34">
      <c r="A1" s="37" t="inlineStr">
        <is>
          <t>Task 1: Excel-Based Exploration</t>
        </is>
      </c>
    </row>
    <row r="3" ht="15" customHeight="1" s="34">
      <c r="A3" s="38" t="inlineStr">
        <is>
          <t>Number of records</t>
        </is>
      </c>
      <c r="B3" s="39">
        <f>COUNTA(Data!A2:A1001)</f>
        <v/>
      </c>
    </row>
    <row r="4" ht="15" customHeight="1" s="34">
      <c r="A4" s="38" t="inlineStr">
        <is>
          <t>Number of columns</t>
        </is>
      </c>
      <c r="B4" s="39">
        <f>COUNTA(Data!1:1)-7</f>
        <v/>
      </c>
    </row>
    <row r="5" ht="15" customHeight="1" s="34">
      <c r="A5" s="38" t="inlineStr">
        <is>
          <t>Magnitude minimum</t>
        </is>
      </c>
      <c r="B5" s="39">
        <f>MIN(Data!B2:B1001)</f>
        <v/>
      </c>
    </row>
    <row r="6" ht="15" customHeight="1" s="34">
      <c r="A6" s="38" t="inlineStr">
        <is>
          <t>Magnitude maximum</t>
        </is>
      </c>
      <c r="B6" s="39">
        <f>MAX(Data!B2:B1001)</f>
        <v/>
      </c>
    </row>
    <row r="7" ht="15" customHeight="1" s="34">
      <c r="A7" s="38" t="inlineStr">
        <is>
          <t>Magnitude average</t>
        </is>
      </c>
      <c r="B7" s="39">
        <f>AVERAGE(Data!B2:B1001)</f>
        <v/>
      </c>
    </row>
    <row r="8" ht="15" customHeight="1" s="34">
      <c r="A8" s="38" t="inlineStr">
        <is>
          <t>Depth minimum</t>
        </is>
      </c>
      <c r="B8" s="39">
        <f>MIN(Data!N2:N1001)</f>
        <v/>
      </c>
    </row>
    <row r="9" ht="15" customHeight="1" s="34">
      <c r="A9" s="38" t="inlineStr">
        <is>
          <t>Depth maximum</t>
        </is>
      </c>
      <c r="B9" s="39">
        <f>MAX(Data!N2:N1001)</f>
        <v/>
      </c>
    </row>
    <row r="10" ht="15" customHeight="1" s="34">
      <c r="A10" s="38" t="inlineStr">
        <is>
          <t>Depth average</t>
        </is>
      </c>
      <c r="B10" s="39">
        <f>AVERAGE(Data!N2:N1001)</f>
        <v/>
      </c>
    </row>
    <row r="13" ht="16.15" customHeight="1" s="34">
      <c r="A13" s="40" t="inlineStr">
        <is>
          <t>Magnitude Type Counts (formula-driven)</t>
        </is>
      </c>
    </row>
    <row r="14" ht="15" customHeight="1" s="34">
      <c r="A14" s="33" t="inlineStr">
        <is>
          <t>Mi</t>
        </is>
      </c>
      <c r="B14" s="33">
        <f>COUNTIF(Data!M$2:M$1001,A14)</f>
        <v/>
      </c>
    </row>
    <row r="15" ht="15" customHeight="1" s="34">
      <c r="A15" s="33" t="inlineStr">
        <is>
          <t>mb</t>
        </is>
      </c>
      <c r="B15" s="33">
        <f>COUNTIF(Data!M$2:M$1001,A15)</f>
        <v/>
      </c>
    </row>
    <row r="16" ht="15" customHeight="1" s="34">
      <c r="A16" s="33" t="inlineStr">
        <is>
          <t>md</t>
        </is>
      </c>
      <c r="B16" s="33">
        <f>COUNTIF(Data!M$2:M$1001,A16)</f>
        <v/>
      </c>
    </row>
    <row r="17" ht="15" customHeight="1" s="34">
      <c r="A17" s="33" t="inlineStr">
        <is>
          <t>ml</t>
        </is>
      </c>
      <c r="B17" s="33">
        <f>COUNTIF(Data!M$2:M$1001,A17)</f>
        <v/>
      </c>
    </row>
    <row r="18" ht="15" customHeight="1" s="34">
      <c r="A18" s="33" t="inlineStr">
        <is>
          <t>ms</t>
        </is>
      </c>
      <c r="B18" s="33">
        <f>COUNTIF(Data!M$2:M$1001,A18)</f>
        <v/>
      </c>
    </row>
    <row r="19" ht="15" customHeight="1" s="34">
      <c r="A19" s="33" t="inlineStr">
        <is>
          <t>mw</t>
        </is>
      </c>
      <c r="B19" s="33">
        <f>COUNTIF(Data!M$2:M$1001,A19)</f>
        <v/>
      </c>
    </row>
    <row r="20" ht="15" customHeight="1" s="34">
      <c r="A20" s="33" t="inlineStr">
        <is>
          <t>mwb</t>
        </is>
      </c>
      <c r="B20" s="33">
        <f>COUNTIF(Data!M$2:M$1001,A20)</f>
        <v/>
      </c>
    </row>
    <row r="21" ht="15" customHeight="1" s="34">
      <c r="A21" s="33" t="inlineStr">
        <is>
          <t>mwc</t>
        </is>
      </c>
      <c r="B21" s="33">
        <f>COUNTIF(Data!M$2:M$1001,A21)</f>
        <v/>
      </c>
    </row>
    <row r="22" ht="15" customHeight="1" s="34">
      <c r="A22" s="33" t="inlineStr">
        <is>
          <t>mww</t>
        </is>
      </c>
      <c r="B22" s="33">
        <f>COUNTIF(Data!M$2:M$1001,A22)</f>
        <v/>
      </c>
    </row>
    <row r="26" ht="16.15" customHeight="1" s="34">
      <c r="A26" s="40" t="inlineStr">
        <is>
          <t>Alert Level Counts (blank included)</t>
        </is>
      </c>
    </row>
    <row r="27" ht="15" customHeight="1" s="34">
      <c r="A27" s="33" t="inlineStr">
        <is>
          <t>Blank</t>
        </is>
      </c>
      <c r="B27" s="33">
        <f>COUNTBLANK(Data!F$2:F$1001)</f>
        <v/>
      </c>
    </row>
    <row r="28" ht="15" customHeight="1" s="34">
      <c r="A28" s="33" t="inlineStr">
        <is>
          <t>green</t>
        </is>
      </c>
      <c r="B28" s="33">
        <f>COUNTIF(Data!F$2:F$1001,A28)</f>
        <v/>
      </c>
    </row>
    <row r="29" ht="15" customHeight="1" s="34">
      <c r="A29" s="33" t="inlineStr">
        <is>
          <t>yellow</t>
        </is>
      </c>
      <c r="B29" s="33">
        <f>COUNTIF(Data!F$2:F$1001,A29)</f>
        <v/>
      </c>
    </row>
    <row r="30" ht="15" customHeight="1" s="34">
      <c r="A30" s="33" t="inlineStr">
        <is>
          <t>orange</t>
        </is>
      </c>
      <c r="B30" s="33">
        <f>COUNTIF(Data!F$2:F$1001,A30)</f>
        <v/>
      </c>
    </row>
    <row r="31" ht="15" customHeight="1" s="34">
      <c r="A31" s="33" t="inlineStr">
        <is>
          <t>red</t>
        </is>
      </c>
      <c r="B31" s="33">
        <f>COUNTIF(Data!F$2:F$1001,A31)</f>
        <v/>
      </c>
    </row>
    <row r="34" ht="16.15" customHeight="1" s="34">
      <c r="A34" s="40" t="inlineStr">
        <is>
          <t>Magnitude Band Counts</t>
        </is>
      </c>
    </row>
    <row r="35" ht="15" customHeight="1" s="34">
      <c r="A35" s="33" t="inlineStr">
        <is>
          <t>6.5–6.9</t>
        </is>
      </c>
      <c r="B35" s="33">
        <f>COUNTIF(Data!Y$2:Y$1001,A35)</f>
        <v/>
      </c>
    </row>
    <row r="36" ht="15" customHeight="1" s="34">
      <c r="A36" s="33" t="inlineStr">
        <is>
          <t>7.0–7.4</t>
        </is>
      </c>
      <c r="B36" s="33">
        <f>COUNTIF(Data!Y$2:Y$1001,A36)</f>
        <v/>
      </c>
    </row>
    <row r="37" ht="15" customHeight="1" s="34">
      <c r="A37" s="33" t="inlineStr">
        <is>
          <t>7.5–7.9</t>
        </is>
      </c>
      <c r="B37" s="33">
        <f>COUNTIF(Data!Y$2:Y$1001,A37)</f>
        <v/>
      </c>
    </row>
    <row r="38" ht="15" customHeight="1" s="34">
      <c r="A38" s="33" t="inlineStr">
        <is>
          <t>8.0+</t>
        </is>
      </c>
      <c r="B38" s="33">
        <f>COUNTIF(Data!Y$2:Y$1001,A38)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0" customWidth="1" style="33" min="1" max="1"/>
    <col width="24" customWidth="1" style="33" min="2" max="2"/>
    <col width="35" customWidth="1" style="33" min="3" max="3"/>
    <col width="24" customWidth="1" style="33" min="4" max="5"/>
    <col width="30" customWidth="1" style="33" min="6" max="6"/>
    <col width="4" customWidth="1" style="33" min="7" max="7"/>
    <col width="16" customWidth="1" style="33" min="8" max="8"/>
    <col width="18" customWidth="1" style="33" min="9" max="9"/>
    <col width="14" customWidth="1" style="33" min="10" max="10"/>
  </cols>
  <sheetData>
    <row r="1" ht="19.7" customHeight="1" s="34">
      <c r="A1" s="41" t="inlineStr">
        <is>
          <t>Task 2: Data Type and Quality Audit</t>
        </is>
      </c>
      <c r="G1" s="42" t="n"/>
      <c r="H1" s="42" t="n"/>
      <c r="I1" s="42" t="n"/>
      <c r="J1" s="42" t="n"/>
    </row>
    <row r="2" ht="15" customHeight="1" s="34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</row>
    <row r="3" ht="15" customHeight="1" s="34">
      <c r="A3" s="43" t="inlineStr">
        <is>
          <t>Column</t>
        </is>
      </c>
      <c r="B3" s="43" t="inlineStr">
        <is>
          <t>Data Type</t>
        </is>
      </c>
      <c r="C3" s="43" t="inlineStr">
        <is>
          <t>Quality / Audit Check</t>
        </is>
      </c>
      <c r="D3" s="43" t="inlineStr">
        <is>
          <t>Formula / Method</t>
        </is>
      </c>
      <c r="E3" s="43" t="inlineStr">
        <is>
          <t>Result</t>
        </is>
      </c>
      <c r="F3" s="43" t="inlineStr">
        <is>
          <t>Interpretation</t>
        </is>
      </c>
      <c r="G3" s="42" t="n"/>
      <c r="H3" s="42" t="n"/>
      <c r="I3" s="42" t="n"/>
      <c r="J3" s="42" t="n"/>
    </row>
    <row r="4" ht="15" customHeight="1" s="34">
      <c r="A4" s="42" t="inlineStr">
        <is>
          <t>title</t>
        </is>
      </c>
      <c r="B4" s="42" t="inlineStr">
        <is>
          <t>text</t>
        </is>
      </c>
      <c r="C4" s="42" t="inlineStr">
        <is>
          <t>Title pattern audit</t>
        </is>
      </c>
      <c r="D4" s="42">
        <f>COUNTA(Data!A2:A1001)</f>
        <v/>
      </c>
      <c r="E4" s="42">
        <f>COUNTA(Data!A2:A1001)</f>
        <v/>
      </c>
      <c r="F4" s="42" t="inlineStr">
        <is>
          <t>Text values</t>
        </is>
      </c>
      <c r="G4" s="42" t="n"/>
      <c r="H4" s="42" t="n"/>
      <c r="I4" s="42" t="n"/>
      <c r="J4" s="42" t="n"/>
    </row>
    <row r="5" ht="15" customHeight="1" s="34">
      <c r="A5" s="42" t="inlineStr">
        <is>
          <t>magnitude</t>
        </is>
      </c>
      <c r="B5" s="42" t="inlineStr">
        <is>
          <t>numeric</t>
        </is>
      </c>
      <c r="C5" s="42" t="inlineStr">
        <is>
          <t>Range</t>
        </is>
      </c>
      <c r="D5" s="42">
        <f>MIN(Data!B2:B1001)&amp;" to "&amp;MAX(Data!B2:B1001)</f>
        <v/>
      </c>
      <c r="E5" s="42">
        <f>MIN(Data!B2:B1001)&amp;" to "&amp;MAX(Data!B2:B1001)</f>
        <v/>
      </c>
      <c r="F5" s="42" t="inlineStr">
        <is>
          <t>Numeric</t>
        </is>
      </c>
      <c r="G5" s="42" t="n"/>
      <c r="H5" s="42" t="n"/>
      <c r="I5" s="42" t="n"/>
      <c r="J5" s="42" t="n"/>
    </row>
    <row r="6" ht="15" customHeight="1" s="34">
      <c r="A6" s="42" t="inlineStr">
        <is>
          <t>date_time</t>
        </is>
      </c>
      <c r="B6" s="42" t="inlineStr">
        <is>
          <t>datetime (raw text)</t>
        </is>
      </c>
      <c r="C6" s="42" t="inlineStr">
        <is>
          <t>Confirm raw cell is text</t>
        </is>
      </c>
      <c r="D6" s="42">
        <f>ISNUMBER(Data!C2)</f>
        <v/>
      </c>
      <c r="E6" s="42">
        <f>ISNUMBER(Data!C2)</f>
        <v/>
      </c>
      <c r="F6" s="42" t="inlineStr">
        <is>
          <t>FALSE = raw value is text</t>
        </is>
      </c>
      <c r="G6" s="42" t="n"/>
      <c r="H6" s="42" t="n"/>
      <c r="I6" s="42" t="n"/>
      <c r="J6" s="42" t="n"/>
    </row>
    <row r="7" ht="15" customHeight="1" s="34">
      <c r="A7" s="42" t="inlineStr">
        <is>
          <t>cdi</t>
        </is>
      </c>
      <c r="B7" s="42" t="inlineStr">
        <is>
          <t>numeric</t>
        </is>
      </c>
      <c r="C7" s="42" t="inlineStr">
        <is>
          <t>Numeric check</t>
        </is>
      </c>
      <c r="D7" s="42">
        <f>ISNUMBER(Data!D2)</f>
        <v/>
      </c>
      <c r="E7" s="42">
        <f>ISNUMBER(Data!D2)</f>
        <v/>
      </c>
      <c r="F7" s="42" t="inlineStr">
        <is>
          <t>TRUE/FALSE sample check</t>
        </is>
      </c>
      <c r="G7" s="42" t="n"/>
      <c r="H7" s="42" t="n"/>
      <c r="I7" s="42" t="n"/>
      <c r="J7" s="42" t="n"/>
    </row>
    <row r="8" ht="15" customHeight="1" s="34">
      <c r="A8" s="42" t="inlineStr">
        <is>
          <t>mmi</t>
        </is>
      </c>
      <c r="B8" s="42" t="inlineStr">
        <is>
          <t>numeric</t>
        </is>
      </c>
      <c r="C8" s="42" t="inlineStr">
        <is>
          <t>Numeric check</t>
        </is>
      </c>
      <c r="D8" s="42">
        <f>ISNUMBER(Data!E2)</f>
        <v/>
      </c>
      <c r="E8" s="42">
        <f>ISNUMBER(Data!E2)</f>
        <v/>
      </c>
      <c r="F8" s="42" t="inlineStr">
        <is>
          <t>TRUE/FALSE sample check</t>
        </is>
      </c>
      <c r="G8" s="42" t="n"/>
      <c r="H8" s="42" t="n"/>
      <c r="I8" s="42" t="n"/>
      <c r="J8" s="42" t="n"/>
    </row>
    <row r="9" ht="15" customHeight="1" s="34">
      <c r="A9" s="42" t="inlineStr">
        <is>
          <t>alert</t>
        </is>
      </c>
      <c r="B9" s="42" t="inlineStr">
        <is>
          <t>categorical</t>
        </is>
      </c>
      <c r="C9" s="42" t="inlineStr">
        <is>
          <t>Blank percentage</t>
        </is>
      </c>
      <c r="D9" s="42">
        <f>COUNTBLANK(Data!F2:F1001)/COUNTA(Data!A2:A1001)</f>
        <v/>
      </c>
      <c r="E9" s="44">
        <f>COUNTBLANK(Data!F2:F1001)/COUNTA(Data!A2:A1001)</f>
        <v/>
      </c>
      <c r="F9" s="42" t="inlineStr">
        <is>
          <t>Percent blank</t>
        </is>
      </c>
      <c r="G9" s="42" t="n"/>
      <c r="H9" s="42" t="n"/>
      <c r="I9" s="42" t="n"/>
      <c r="J9" s="42" t="n"/>
    </row>
    <row r="10" ht="15" customHeight="1" s="34">
      <c r="A10" s="42" t="inlineStr">
        <is>
          <t>tsunami</t>
        </is>
      </c>
      <c r="B10" s="42" t="inlineStr">
        <is>
          <t>categorical</t>
        </is>
      </c>
      <c r="C10" s="42" t="inlineStr">
        <is>
          <t>Distinct flag values</t>
        </is>
      </c>
      <c r="D10" s="42">
        <f>COUNTA(Data!G2:G1001)</f>
        <v/>
      </c>
      <c r="E10" s="42">
        <f>COUNTA(Data!G2:G1001)</f>
        <v/>
      </c>
      <c r="F10" s="42" t="inlineStr">
        <is>
          <t>0/1 event flag</t>
        </is>
      </c>
      <c r="G10" s="42" t="n"/>
      <c r="H10" s="42" t="n"/>
      <c r="I10" s="42" t="n"/>
      <c r="J10" s="42" t="n"/>
    </row>
    <row r="11" ht="15" customHeight="1" s="34">
      <c r="A11" s="42" t="inlineStr">
        <is>
          <t>sig</t>
        </is>
      </c>
      <c r="B11" s="42" t="inlineStr">
        <is>
          <t>numeric</t>
        </is>
      </c>
      <c r="C11" s="42" t="inlineStr">
        <is>
          <t>Numeric check</t>
        </is>
      </c>
      <c r="D11" s="42">
        <f>ISNUMBER(Data!H2)</f>
        <v/>
      </c>
      <c r="E11" s="42">
        <f>ISNUMBER(Data!H2)</f>
        <v/>
      </c>
      <c r="F11" s="42" t="inlineStr">
        <is>
          <t>TRUE/FALSE sample check</t>
        </is>
      </c>
      <c r="G11" s="42" t="n"/>
      <c r="H11" s="42" t="n"/>
      <c r="I11" s="42" t="n"/>
      <c r="J11" s="42" t="n"/>
    </row>
    <row r="12" ht="15" customHeight="1" s="34">
      <c r="A12" s="42" t="inlineStr">
        <is>
          <t>net</t>
        </is>
      </c>
      <c r="B12" s="42" t="inlineStr">
        <is>
          <t>categorical</t>
        </is>
      </c>
      <c r="C12" s="42" t="inlineStr">
        <is>
          <t>Distinct network codes</t>
        </is>
      </c>
      <c r="D12" s="42">
        <f>COUNTA(Data!I2:I1001)</f>
        <v/>
      </c>
      <c r="E12" s="42">
        <f>COUNTA(Data!I2:I1001)</f>
        <v/>
      </c>
      <c r="F12" s="42" t="inlineStr">
        <is>
          <t>Categorical code</t>
        </is>
      </c>
      <c r="G12" s="42" t="n"/>
      <c r="H12" s="42" t="n"/>
      <c r="I12" s="42" t="n"/>
      <c r="J12" s="42" t="n"/>
    </row>
    <row r="13" ht="15" customHeight="1" s="34">
      <c r="A13" s="42" t="inlineStr">
        <is>
          <t>nst</t>
        </is>
      </c>
      <c r="B13" s="42" t="inlineStr">
        <is>
          <t>numeric</t>
        </is>
      </c>
      <c r="C13" s="42" t="inlineStr">
        <is>
          <t>Numeric check</t>
        </is>
      </c>
      <c r="D13" s="42">
        <f>ISNUMBER(Data!J2)</f>
        <v/>
      </c>
      <c r="E13" s="42">
        <f>ISNUMBER(Data!J2)</f>
        <v/>
      </c>
      <c r="F13" s="42" t="inlineStr">
        <is>
          <t>TRUE/FALSE sample check</t>
        </is>
      </c>
      <c r="G13" s="42" t="n"/>
      <c r="H13" s="42" t="n"/>
      <c r="I13" s="42" t="n"/>
      <c r="J13" s="42" t="n"/>
    </row>
    <row r="14" ht="15" customHeight="1" s="34">
      <c r="A14" s="42" t="inlineStr">
        <is>
          <t>dmin</t>
        </is>
      </c>
      <c r="B14" s="42" t="inlineStr">
        <is>
          <t>numeric</t>
        </is>
      </c>
      <c r="C14" s="42" t="inlineStr">
        <is>
          <t>Numeric check</t>
        </is>
      </c>
      <c r="D14" s="42">
        <f>ISNUMBER(Data!K2)</f>
        <v/>
      </c>
      <c r="E14" s="42">
        <f>ISNUMBER(Data!K2)</f>
        <v/>
      </c>
      <c r="F14" s="42" t="inlineStr">
        <is>
          <t>TRUE/FALSE sample check</t>
        </is>
      </c>
      <c r="G14" s="42" t="n"/>
      <c r="H14" s="42" t="n"/>
      <c r="I14" s="42" t="n"/>
      <c r="J14" s="42" t="n"/>
    </row>
    <row r="15" ht="15" customHeight="1" s="34">
      <c r="A15" s="42" t="inlineStr">
        <is>
          <t>gap</t>
        </is>
      </c>
      <c r="B15" s="42" t="inlineStr">
        <is>
          <t>numeric</t>
        </is>
      </c>
      <c r="C15" s="42" t="inlineStr">
        <is>
          <t>Numeric check</t>
        </is>
      </c>
      <c r="D15" s="42">
        <f>ISNUMBER(Data!L2)</f>
        <v/>
      </c>
      <c r="E15" s="42">
        <f>ISNUMBER(Data!L2)</f>
        <v/>
      </c>
      <c r="F15" s="42" t="inlineStr">
        <is>
          <t>TRUE/FALSE sample check</t>
        </is>
      </c>
      <c r="G15" s="42" t="n"/>
      <c r="H15" s="42" t="n"/>
      <c r="I15" s="42" t="n"/>
      <c r="J15" s="42" t="n"/>
    </row>
    <row r="16" ht="15" customHeight="1" s="34">
      <c r="A16" s="42" t="inlineStr">
        <is>
          <t>magType</t>
        </is>
      </c>
      <c r="B16" s="42" t="inlineStr">
        <is>
          <t>categorical</t>
        </is>
      </c>
      <c r="C16" s="42" t="inlineStr">
        <is>
          <t>Casing normalization</t>
        </is>
      </c>
      <c r="D16" s="42">
        <f>COUNTA(Data!M2:M1001)</f>
        <v/>
      </c>
      <c r="E16" s="42">
        <f>COUNTA(Data!M2:M1001)</f>
        <v/>
      </c>
      <c r="F16" s="42" t="inlineStr">
        <is>
          <t>Use LOWER helper</t>
        </is>
      </c>
      <c r="G16" s="42" t="n"/>
      <c r="H16" s="42" t="n"/>
      <c r="I16" s="42" t="n"/>
      <c r="J16" s="42" t="n"/>
    </row>
    <row r="17" ht="15" customHeight="1" s="34">
      <c r="A17" s="42" t="inlineStr">
        <is>
          <t>depth</t>
        </is>
      </c>
      <c r="B17" s="42" t="inlineStr">
        <is>
          <t>numeric</t>
        </is>
      </c>
      <c r="C17" s="42" t="inlineStr">
        <is>
          <t>Range</t>
        </is>
      </c>
      <c r="D17" s="42">
        <f>MIN(Data!N2:N1001)&amp;" to "&amp;MAX(Data!N2:N1001)</f>
        <v/>
      </c>
      <c r="E17" s="42">
        <f>MIN(Data!N2:N1001)&amp;" to "&amp;MAX(Data!N2:N1001)</f>
        <v/>
      </c>
      <c r="F17" s="42" t="inlineStr">
        <is>
          <t>Numeric</t>
        </is>
      </c>
      <c r="G17" s="42" t="n"/>
      <c r="H17" s="42" t="n"/>
      <c r="I17" s="42" t="n"/>
      <c r="J17" s="42" t="n"/>
    </row>
    <row r="18" ht="15" customHeight="1" s="34">
      <c r="A18" s="42" t="inlineStr">
        <is>
          <t>latitude</t>
        </is>
      </c>
      <c r="B18" s="42" t="inlineStr">
        <is>
          <t>numeric</t>
        </is>
      </c>
      <c r="C18" s="42" t="inlineStr">
        <is>
          <t>Numeric check</t>
        </is>
      </c>
      <c r="D18" s="42">
        <f>ISNUMBER(Data!O2)</f>
        <v/>
      </c>
      <c r="E18" s="42">
        <f>ISNUMBER(Data!O2)</f>
        <v/>
      </c>
      <c r="F18" s="42" t="inlineStr">
        <is>
          <t>TRUE/FALSE sample check</t>
        </is>
      </c>
      <c r="G18" s="42" t="n"/>
      <c r="H18" s="42" t="n"/>
      <c r="I18" s="42" t="n"/>
      <c r="J18" s="42" t="n"/>
    </row>
    <row r="19" ht="15" customHeight="1" s="34">
      <c r="A19" s="42" t="inlineStr">
        <is>
          <t>longitude</t>
        </is>
      </c>
      <c r="B19" s="42" t="inlineStr">
        <is>
          <t>numeric</t>
        </is>
      </c>
      <c r="C19" s="42" t="inlineStr">
        <is>
          <t>Numeric check</t>
        </is>
      </c>
      <c r="D19" s="42">
        <f>ISNUMBER(Data!P2)</f>
        <v/>
      </c>
      <c r="E19" s="42">
        <f>ISNUMBER(Data!P2)</f>
        <v/>
      </c>
      <c r="F19" s="42" t="inlineStr">
        <is>
          <t>TRUE/FALSE sample check</t>
        </is>
      </c>
      <c r="G19" s="42" t="n"/>
      <c r="H19" s="42" t="n"/>
      <c r="I19" s="42" t="n"/>
      <c r="J19" s="42" t="n"/>
    </row>
    <row r="20" ht="15" customHeight="1" s="34">
      <c r="A20" s="42" t="inlineStr">
        <is>
          <t>location</t>
        </is>
      </c>
      <c r="B20" s="42" t="inlineStr">
        <is>
          <t>categorical</t>
        </is>
      </c>
      <c r="C20" s="42" t="inlineStr">
        <is>
          <t>Blank percentage</t>
        </is>
      </c>
      <c r="D20" s="42">
        <f>COUNTBLANK(Data!Q2:Q1001)/COUNTA(Data!A2:A1001)</f>
        <v/>
      </c>
      <c r="E20" s="44">
        <f>COUNTBLANK(Data!Q2:Q1001)/COUNTA(Data!A2:A1001)</f>
        <v/>
      </c>
      <c r="F20" s="42" t="inlineStr">
        <is>
          <t>Percent blank</t>
        </is>
      </c>
      <c r="G20" s="42" t="n"/>
      <c r="H20" s="42" t="n"/>
      <c r="I20" s="42" t="n"/>
      <c r="J20" s="42" t="n"/>
    </row>
    <row r="21" ht="15" customHeight="1" s="34">
      <c r="A21" s="42" t="inlineStr">
        <is>
          <t>continent</t>
        </is>
      </c>
      <c r="B21" s="42" t="inlineStr">
        <is>
          <t>categorical</t>
        </is>
      </c>
      <c r="C21" s="42" t="inlineStr">
        <is>
          <t>Blank percentage</t>
        </is>
      </c>
      <c r="D21" s="42">
        <f>COUNTBLANK(Data!R2:R1001)/COUNTA(Data!A2:A1001)</f>
        <v/>
      </c>
      <c r="E21" s="44">
        <f>COUNTBLANK(Data!R2:R1001)/COUNTA(Data!A2:A1001)</f>
        <v/>
      </c>
      <c r="F21" s="42" t="inlineStr">
        <is>
          <t>Percent blank</t>
        </is>
      </c>
      <c r="G21" s="42" t="n"/>
      <c r="H21" s="42" t="n"/>
      <c r="I21" s="42" t="n"/>
      <c r="J21" s="42" t="n"/>
    </row>
    <row r="22" ht="15" customHeight="1" s="34">
      <c r="A22" s="42" t="inlineStr">
        <is>
          <t>country</t>
        </is>
      </c>
      <c r="B22" s="42" t="inlineStr">
        <is>
          <t>categorical</t>
        </is>
      </c>
      <c r="C22" s="42" t="inlineStr">
        <is>
          <t>Blank percentage</t>
        </is>
      </c>
      <c r="D22" s="42">
        <f>COUNTBLANK(Data!S2:S1001)/COUNTA(Data!A2:A1001)</f>
        <v/>
      </c>
      <c r="E22" s="44">
        <f>COUNTBLANK(Data!S2:S1001)/COUNTA(Data!A2:A1001)</f>
        <v/>
      </c>
      <c r="F22" s="42" t="inlineStr">
        <is>
          <t>Percent blank</t>
        </is>
      </c>
      <c r="G22" s="42" t="n"/>
      <c r="H22" s="42" t="n"/>
      <c r="I22" s="42" t="n"/>
      <c r="J22" s="42" t="n"/>
    </row>
    <row r="23" ht="15" customHeight="1" s="34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</row>
    <row r="24" ht="15" customHeight="1" s="3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</row>
    <row r="25" ht="44" customHeight="1" s="34">
      <c r="A25" s="45" t="inlineStr">
        <is>
          <t>Blank-Percentage Audit (1,000 rows)</t>
        </is>
      </c>
      <c r="B25" s="42" t="n"/>
      <c r="C25" s="42" t="n"/>
      <c r="D25" s="42" t="n"/>
      <c r="E25" s="45" t="inlineStr">
        <is>
          <t>Alert Level Breakdown (blank included)</t>
        </is>
      </c>
      <c r="F25" s="42" t="n"/>
      <c r="G25" s="42" t="n"/>
      <c r="H25" s="42" t="n"/>
      <c r="I25" s="42" t="n"/>
      <c r="J25" s="42" t="n"/>
    </row>
    <row r="26" ht="15" customHeight="1" s="34">
      <c r="A26" s="43" t="inlineStr">
        <is>
          <t>Field</t>
        </is>
      </c>
      <c r="B26" s="43" t="inlineStr">
        <is>
          <t>Blank Count</t>
        </is>
      </c>
      <c r="C26" s="43" t="inlineStr">
        <is>
          <t>Blank Percentage</t>
        </is>
      </c>
      <c r="D26" s="42" t="n"/>
      <c r="E26" s="43" t="inlineStr">
        <is>
          <t>Alert Level</t>
        </is>
      </c>
      <c r="F26" s="43" t="inlineStr">
        <is>
          <t>Count</t>
        </is>
      </c>
      <c r="G26" s="42" t="n"/>
      <c r="H26" s="42" t="n"/>
      <c r="I26" s="42" t="n"/>
      <c r="J26" s="42" t="n"/>
    </row>
    <row r="27" ht="15" customHeight="1" s="34">
      <c r="A27" s="42" t="inlineStr">
        <is>
          <t>alert</t>
        </is>
      </c>
      <c r="B27" s="42">
        <f>COUNTBLANK(Data!F2:F1001)</f>
        <v/>
      </c>
      <c r="C27" s="44">
        <f>B27/COUNTA(Data!A2:A1001)</f>
        <v/>
      </c>
      <c r="D27" s="42" t="n"/>
      <c r="E27" s="42" t="inlineStr">
        <is>
          <t>Blank</t>
        </is>
      </c>
      <c r="F27" s="42">
        <f>COUNTBLANK(Data!F2:F1001)</f>
        <v/>
      </c>
      <c r="G27" s="42" t="n"/>
      <c r="H27" s="42" t="n"/>
      <c r="I27" s="42" t="n"/>
      <c r="J27" s="42" t="n"/>
    </row>
    <row r="28" ht="15" customHeight="1" s="34">
      <c r="A28" s="42" t="inlineStr">
        <is>
          <t>continent</t>
        </is>
      </c>
      <c r="B28" s="42">
        <f>COUNTBLANK(Data!R2:R1001)</f>
        <v/>
      </c>
      <c r="C28" s="44">
        <f>B28/COUNTA(Data!A2:A1001)</f>
        <v/>
      </c>
      <c r="D28" s="42" t="n"/>
      <c r="E28" s="42" t="inlineStr">
        <is>
          <t>green</t>
        </is>
      </c>
      <c r="F28" s="42">
        <f>COUNTIF(Data!F2:F1001,E28)</f>
        <v/>
      </c>
      <c r="G28" s="42" t="n"/>
      <c r="H28" s="42" t="n"/>
      <c r="I28" s="42" t="n"/>
      <c r="J28" s="42" t="n"/>
    </row>
    <row r="29" ht="15" customHeight="1" s="34">
      <c r="A29" s="42" t="inlineStr">
        <is>
          <t>country</t>
        </is>
      </c>
      <c r="B29" s="42">
        <f>COUNTBLANK(Data!S2:S1001)</f>
        <v/>
      </c>
      <c r="C29" s="44">
        <f>B29/COUNTA(Data!A2:A1001)</f>
        <v/>
      </c>
      <c r="D29" s="42" t="n"/>
      <c r="E29" s="42" t="inlineStr">
        <is>
          <t>yellow</t>
        </is>
      </c>
      <c r="F29" s="42">
        <f>COUNTIF(Data!F2:F1001,E29)</f>
        <v/>
      </c>
      <c r="G29" s="42" t="n"/>
      <c r="H29" s="42" t="n"/>
      <c r="I29" s="42" t="n"/>
      <c r="J29" s="42" t="n"/>
    </row>
    <row r="30" ht="15" customHeight="1" s="34">
      <c r="A30" s="42" t="inlineStr">
        <is>
          <t>location</t>
        </is>
      </c>
      <c r="B30" s="42">
        <f>COUNTBLANK(Data!Q2:Q1001)</f>
        <v/>
      </c>
      <c r="C30" s="44">
        <f>B30/COUNTA(Data!A2:A1001)</f>
        <v/>
      </c>
      <c r="D30" s="42" t="n"/>
      <c r="E30" s="42" t="inlineStr">
        <is>
          <t>orange</t>
        </is>
      </c>
      <c r="F30" s="42">
        <f>COUNTIF(Data!F2:F1001,E30)</f>
        <v/>
      </c>
      <c r="G30" s="42" t="n"/>
      <c r="H30" s="42" t="n"/>
      <c r="I30" s="42" t="n"/>
      <c r="J30" s="42" t="n"/>
    </row>
    <row r="31" ht="15" customHeight="1" s="34">
      <c r="A31" s="42" t="n"/>
      <c r="B31" s="42" t="n"/>
      <c r="C31" s="42" t="n"/>
      <c r="D31" s="42" t="n"/>
      <c r="E31" s="42" t="inlineStr">
        <is>
          <t>red</t>
        </is>
      </c>
      <c r="F31" s="42">
        <f>COUNTIF(Data!F2:F1001,E31)</f>
        <v/>
      </c>
      <c r="G31" s="42" t="n"/>
      <c r="H31" s="42" t="n"/>
      <c r="I31" s="42" t="n"/>
      <c r="J31" s="42" t="n"/>
    </row>
    <row r="32" ht="15" customHeight="1" s="34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</row>
    <row r="33" ht="29.85" customHeight="1" s="34">
      <c r="A33" s="45" t="inlineStr">
        <is>
          <t>Date-Time Conversion Check</t>
        </is>
      </c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</row>
    <row r="34" ht="15" customHeight="1" s="34">
      <c r="A34" s="43" t="inlineStr">
        <is>
          <t>Check</t>
        </is>
      </c>
      <c r="B34" s="43" t="inlineStr">
        <is>
          <t>Formula</t>
        </is>
      </c>
      <c r="C34" s="43" t="inlineStr">
        <is>
          <t>Result</t>
        </is>
      </c>
      <c r="D34" s="42" t="n"/>
      <c r="E34" s="42" t="n"/>
      <c r="F34" s="42" t="n"/>
      <c r="G34" s="42" t="n"/>
      <c r="H34" s="42" t="n"/>
      <c r="I34" s="42" t="n"/>
      <c r="J34" s="42" t="n"/>
    </row>
    <row r="35" ht="15" customHeight="1" s="34">
      <c r="A35" s="42" t="inlineStr">
        <is>
          <t>Raw date_time is number?</t>
        </is>
      </c>
      <c r="B35" s="42">
        <f>ISNUMBER(Data!C2)</f>
        <v/>
      </c>
      <c r="C35" s="42" t="inlineStr">
        <is>
          <t>FALSE expected (raw is text)</t>
        </is>
      </c>
      <c r="D35" s="42" t="n"/>
      <c r="E35" s="42" t="n"/>
      <c r="F35" s="42" t="n"/>
      <c r="G35" s="42" t="n"/>
      <c r="H35" s="42" t="n"/>
      <c r="I35" s="42" t="n"/>
      <c r="J35" s="42" t="n"/>
    </row>
    <row r="36" ht="15" customHeight="1" s="34">
      <c r="A36" s="42" t="inlineStr">
        <is>
          <t>Converted date_time is number?</t>
        </is>
      </c>
      <c r="B36" s="42">
        <f>ISNUMBER(Data!T2)</f>
        <v/>
      </c>
      <c r="C36" s="42" t="inlineStr">
        <is>
          <t>TRUE expected</t>
        </is>
      </c>
      <c r="D36" s="42" t="n"/>
      <c r="E36" s="42" t="n"/>
      <c r="F36" s="42" t="n"/>
      <c r="G36" s="42" t="n"/>
      <c r="H36" s="42" t="n"/>
      <c r="I36" s="42" t="n"/>
      <c r="J36" s="42" t="n"/>
    </row>
    <row r="37" ht="15" customHeight="1" s="34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</row>
    <row r="38" ht="15" customHeight="1" s="34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</row>
    <row r="39" ht="29.85" customHeight="1" s="34">
      <c r="A39" s="45" t="inlineStr">
        <is>
          <t>Title Pattern Audit</t>
        </is>
      </c>
      <c r="B39" s="42" t="n"/>
      <c r="C39" s="42" t="n"/>
      <c r="D39" s="45" t="inlineStr">
        <is>
          <t>Magnitude Type Casing Audit</t>
        </is>
      </c>
      <c r="E39" s="42" t="n"/>
      <c r="F39" s="42" t="n"/>
      <c r="G39" s="42" t="n"/>
      <c r="H39" s="42" t="n"/>
      <c r="I39" s="42" t="n"/>
      <c r="J39" s="42" t="n"/>
    </row>
    <row r="40" ht="15" customHeight="1" s="34">
      <c r="A40" s="43" t="inlineStr">
        <is>
          <t>Pattern</t>
        </is>
      </c>
      <c r="B40" s="43" t="inlineStr">
        <is>
          <t>Count</t>
        </is>
      </c>
      <c r="C40" s="42" t="n"/>
      <c r="D40" s="43" t="inlineStr">
        <is>
          <t>View</t>
        </is>
      </c>
      <c r="E40" s="43" t="inlineStr">
        <is>
          <t>Type</t>
        </is>
      </c>
      <c r="F40" s="43" t="inlineStr">
        <is>
          <t>Count</t>
        </is>
      </c>
      <c r="G40" s="42" t="n"/>
      <c r="H40" s="42" t="n"/>
      <c r="I40" s="42" t="n"/>
      <c r="J40" s="42" t="n"/>
    </row>
    <row r="41" ht="15" customHeight="1" s="34">
      <c r="A41" s="42" t="inlineStr">
        <is>
          <t>Distance-prefix pattern</t>
        </is>
      </c>
      <c r="B41" s="42">
        <f>COUNTIF(Data!U2:U1001,A41)</f>
        <v/>
      </c>
      <c r="C41" s="42" t="n"/>
      <c r="D41" s="42" t="inlineStr">
        <is>
          <t>Raw</t>
        </is>
      </c>
      <c r="E41" s="42" t="inlineStr">
        <is>
          <t>Mi</t>
        </is>
      </c>
      <c r="F41" s="42">
        <f>COUNTIF(Data!M2:M1001,E41)</f>
        <v/>
      </c>
      <c r="G41" s="42" t="n"/>
      <c r="H41" s="42" t="inlineStr">
        <is>
          <t>Normalized</t>
        </is>
      </c>
      <c r="I41" s="42" t="inlineStr">
        <is>
          <t>mb</t>
        </is>
      </c>
      <c r="J41" s="42">
        <f>COUNTIF(Data!V2:V1001,I41)</f>
        <v/>
      </c>
    </row>
    <row r="42" ht="15" customHeight="1" s="34">
      <c r="A42" s="42" t="inlineStr">
        <is>
          <t>Named-region pattern</t>
        </is>
      </c>
      <c r="B42" s="42">
        <f>COUNTIF(Data!U2:U1001,A42)</f>
        <v/>
      </c>
      <c r="C42" s="42" t="n"/>
      <c r="D42" s="42" t="inlineStr">
        <is>
          <t>Raw</t>
        </is>
      </c>
      <c r="E42" s="42" t="inlineStr">
        <is>
          <t>mb</t>
        </is>
      </c>
      <c r="F42" s="42">
        <f>COUNTIF(Data!M2:M1001,E42)</f>
        <v/>
      </c>
      <c r="G42" s="42" t="n"/>
      <c r="H42" s="42" t="inlineStr">
        <is>
          <t>Normalized</t>
        </is>
      </c>
      <c r="I42" s="42" t="inlineStr">
        <is>
          <t>md</t>
        </is>
      </c>
      <c r="J42" s="42">
        <f>COUNTIF(Data!V2:V1001,I42)</f>
        <v/>
      </c>
    </row>
    <row r="43" ht="15" customHeight="1" s="34">
      <c r="A43" s="42" t="n"/>
      <c r="B43" s="42" t="n"/>
      <c r="C43" s="42" t="n"/>
      <c r="D43" s="42" t="inlineStr">
        <is>
          <t>Raw</t>
        </is>
      </c>
      <c r="E43" s="42" t="inlineStr">
        <is>
          <t>md</t>
        </is>
      </c>
      <c r="F43" s="42">
        <f>COUNTIF(Data!M2:M1001,E43)</f>
        <v/>
      </c>
      <c r="G43" s="42" t="n"/>
      <c r="H43" s="42" t="inlineStr">
        <is>
          <t>Normalized</t>
        </is>
      </c>
      <c r="I43" s="42" t="inlineStr">
        <is>
          <t>mi</t>
        </is>
      </c>
      <c r="J43" s="42">
        <f>COUNTIF(Data!V2:V1001,I43)</f>
        <v/>
      </c>
    </row>
    <row r="44" ht="15" customHeight="1" s="34">
      <c r="A44" s="42" t="n"/>
      <c r="B44" s="42" t="n"/>
      <c r="C44" s="42" t="n"/>
      <c r="D44" s="42" t="inlineStr">
        <is>
          <t>Raw</t>
        </is>
      </c>
      <c r="E44" s="42" t="inlineStr">
        <is>
          <t>ml</t>
        </is>
      </c>
      <c r="F44" s="42">
        <f>COUNTIF(Data!M2:M1001,E44)</f>
        <v/>
      </c>
      <c r="G44" s="42" t="n"/>
      <c r="H44" s="42" t="inlineStr">
        <is>
          <t>Normalized</t>
        </is>
      </c>
      <c r="I44" s="42" t="inlineStr">
        <is>
          <t>ml</t>
        </is>
      </c>
      <c r="J44" s="42">
        <f>COUNTIF(Data!V2:V1001,I44)</f>
        <v/>
      </c>
    </row>
    <row r="45" ht="16.15" customHeight="1" s="34">
      <c r="A45" s="45" t="inlineStr">
        <is>
          <t>Duplicate Event Audit</t>
        </is>
      </c>
      <c r="B45" s="42" t="n"/>
      <c r="C45" s="42" t="n"/>
      <c r="D45" s="42" t="inlineStr">
        <is>
          <t>Raw</t>
        </is>
      </c>
      <c r="E45" s="42" t="inlineStr">
        <is>
          <t>ms</t>
        </is>
      </c>
      <c r="F45" s="42">
        <f>COUNTIF(Data!M2:M1001,E45)</f>
        <v/>
      </c>
      <c r="G45" s="42" t="n"/>
      <c r="H45" s="42" t="inlineStr">
        <is>
          <t>Normalized</t>
        </is>
      </c>
      <c r="I45" s="42" t="inlineStr">
        <is>
          <t>ms</t>
        </is>
      </c>
      <c r="J45" s="42">
        <f>COUNTIF(Data!V2:V1001,I45)</f>
        <v/>
      </c>
    </row>
    <row r="46" ht="41.75" customHeight="1" s="34">
      <c r="A46" s="42" t="inlineStr">
        <is>
          <t>Duplicated rows (COUNTIFS flag)</t>
        </is>
      </c>
      <c r="B46" s="42">
        <f>COUNTIF(Data!W2:W1001,"Duplicate")</f>
        <v/>
      </c>
      <c r="C46" s="42" t="inlineStr">
        <is>
          <t>Two duplicate groups were found; four rows belong to duplicated groups, meaning two are extra occurrences.</t>
        </is>
      </c>
      <c r="D46" s="42" t="inlineStr">
        <is>
          <t>Raw</t>
        </is>
      </c>
      <c r="E46" s="42" t="inlineStr">
        <is>
          <t>mw</t>
        </is>
      </c>
      <c r="F46" s="42">
        <f>COUNTIF(Data!M2:M1001,E46)</f>
        <v/>
      </c>
      <c r="G46" s="42" t="n"/>
      <c r="H46" s="42" t="inlineStr">
        <is>
          <t>Normalized</t>
        </is>
      </c>
      <c r="I46" s="42" t="inlineStr">
        <is>
          <t>mw</t>
        </is>
      </c>
      <c r="J46" s="42">
        <f>COUNTIF(Data!V2:V1001,I46)</f>
        <v/>
      </c>
    </row>
    <row r="47" ht="28.35" customHeight="1" s="34">
      <c r="A47" s="42" t="inlineStr">
        <is>
          <t>Extra duplicate rows beyond first occurrence</t>
        </is>
      </c>
      <c r="B47" s="42">
        <f>COUNTIF(Data!W2:W1001,"Duplicate")</f>
        <v/>
      </c>
      <c r="C47" s="42" t="n"/>
      <c r="D47" s="42" t="inlineStr">
        <is>
          <t>Raw</t>
        </is>
      </c>
      <c r="E47" s="42" t="inlineStr">
        <is>
          <t>mwb</t>
        </is>
      </c>
      <c r="F47" s="42">
        <f>COUNTIF(Data!M2:M1001,E47)</f>
        <v/>
      </c>
      <c r="G47" s="42" t="n"/>
      <c r="H47" s="42" t="inlineStr">
        <is>
          <t>Normalized</t>
        </is>
      </c>
      <c r="I47" s="42" t="inlineStr">
        <is>
          <t>mwb</t>
        </is>
      </c>
      <c r="J47" s="42">
        <f>COUNTIF(Data!V2:V1001,I47)</f>
        <v/>
      </c>
    </row>
    <row r="48" ht="15" customHeight="1" s="34">
      <c r="A48" s="42" t="n"/>
      <c r="B48" s="42" t="n"/>
      <c r="C48" s="42" t="n"/>
      <c r="D48" s="42" t="inlineStr">
        <is>
          <t>Raw</t>
        </is>
      </c>
      <c r="E48" s="42" t="inlineStr">
        <is>
          <t>mwc</t>
        </is>
      </c>
      <c r="F48" s="42">
        <f>COUNTIF(Data!M2:M1001,E48)</f>
        <v/>
      </c>
      <c r="G48" s="42" t="n"/>
      <c r="H48" s="42" t="inlineStr">
        <is>
          <t>Normalized</t>
        </is>
      </c>
      <c r="I48" s="42" t="inlineStr">
        <is>
          <t>mwc</t>
        </is>
      </c>
      <c r="J48" s="42">
        <f>COUNTIF(Data!V2:V1001,I48)</f>
        <v/>
      </c>
    </row>
    <row r="49" ht="15" customHeight="1" s="34">
      <c r="A49" s="42" t="n"/>
      <c r="B49" s="42" t="n"/>
      <c r="C49" s="42" t="n"/>
      <c r="D49" s="42" t="inlineStr">
        <is>
          <t>Raw</t>
        </is>
      </c>
      <c r="E49" s="42" t="inlineStr">
        <is>
          <t>mww</t>
        </is>
      </c>
      <c r="F49" s="42">
        <f>COUNTIF(Data!M2:M1001,E49)</f>
        <v/>
      </c>
      <c r="G49" s="42" t="n"/>
      <c r="H49" s="42" t="inlineStr">
        <is>
          <t>Normalized</t>
        </is>
      </c>
      <c r="I49" s="42" t="inlineStr">
        <is>
          <t>mww</t>
        </is>
      </c>
      <c r="J49" s="42">
        <f>COUNTIF(Data!V2:V1001,I49)</f>
        <v/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33" min="1" max="14"/>
  </cols>
  <sheetData>
    <row r="1" ht="24.45" customHeight="1" s="34">
      <c r="A1" s="46" t="inlineStr">
        <is>
          <t>Earthquake Data Analytics Dashboard (1995–2023)</t>
        </is>
      </c>
    </row>
    <row r="2" ht="15" customHeight="1" s="34">
      <c r="A2" s="47" t="inlineStr">
        <is>
          <t>Source: provided earthquake_1995-2023.csv | 1,000 significant earthquakes (magnitude 6.5+)</t>
        </is>
      </c>
    </row>
    <row r="4" ht="15" customHeight="1" s="34">
      <c r="A4" s="38" t="inlineStr">
        <is>
          <t>Records</t>
        </is>
      </c>
      <c r="C4" s="38" t="inlineStr">
        <is>
          <t>Min Magnitude</t>
        </is>
      </c>
      <c r="E4" s="38" t="inlineStr">
        <is>
          <t>Max Magnitude</t>
        </is>
      </c>
      <c r="G4" s="38" t="inlineStr">
        <is>
          <t>Avg Magnitude</t>
        </is>
      </c>
    </row>
    <row r="5" ht="18.55" customHeight="1" s="34">
      <c r="A5" s="48">
        <f>COUNTA(Data!A2:A1001)</f>
        <v/>
      </c>
      <c r="C5" s="48">
        <f>MIN(Data!B2:B1001)</f>
        <v/>
      </c>
      <c r="E5" s="48">
        <f>MAX(Data!B2:B1001)</f>
        <v/>
      </c>
      <c r="G5" s="48">
        <f>AVERAGE(Data!B2:B1001)</f>
        <v/>
      </c>
    </row>
    <row r="6" ht="15" customHeight="1" s="34">
      <c r="I6" s="49" t="inlineStr">
        <is>
          <t>Go to Task 1</t>
        </is>
      </c>
    </row>
    <row r="7" ht="15" customHeight="1" s="34">
      <c r="A7" s="38" t="inlineStr">
        <is>
          <t>Min Depth</t>
        </is>
      </c>
      <c r="C7" s="38" t="inlineStr">
        <is>
          <t>Max Depth</t>
        </is>
      </c>
      <c r="E7" s="38" t="inlineStr">
        <is>
          <t>Blank Alert</t>
        </is>
      </c>
      <c r="G7" s="38" t="inlineStr">
        <is>
          <t>Blank Continent</t>
        </is>
      </c>
      <c r="I7" s="49" t="inlineStr">
        <is>
          <t>Go to Task 2</t>
        </is>
      </c>
    </row>
    <row r="8" ht="18.55" customHeight="1" s="34">
      <c r="A8" s="48">
        <f>MIN(Data!N2:N1001)</f>
        <v/>
      </c>
      <c r="C8" s="48">
        <f>MAX(Data!N2:N1001)</f>
        <v/>
      </c>
      <c r="E8" s="50">
        <f>COUNTBLANK(Data!F2:F1001)/COUNTA(Data!A2:A1001)</f>
        <v/>
      </c>
      <c r="G8" s="50">
        <f>COUNTBLANK(Data!R2:R1001)/COUNTA(Data!A2:A1001)</f>
        <v/>
      </c>
      <c r="I8" s="49" t="inlineStr">
        <is>
          <t>Go to PivotTables</t>
        </is>
      </c>
    </row>
    <row r="9" ht="15" customHeight="1" s="34">
      <c r="I9" s="49" t="inlineStr">
        <is>
          <t>Go to Data Quality Summary</t>
        </is>
      </c>
    </row>
    <row r="10" ht="15" customHeight="1" s="34">
      <c r="I10" s="49" t="inlineStr">
        <is>
          <t>Go to Data</t>
        </is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hyperlinks>
    <hyperlink xmlns:r="http://schemas.openxmlformats.org/officeDocument/2006/relationships" ref="I6" location="Task%201%20-%20Exploration!A1" display="Go to Task 1" r:id="rId1"/>
    <hyperlink xmlns:r="http://schemas.openxmlformats.org/officeDocument/2006/relationships" ref="I7" location="Task%202%20-%20Quality%20Audit!A1" display="Go to Task 2" r:id="rId2"/>
    <hyperlink xmlns:r="http://schemas.openxmlformats.org/officeDocument/2006/relationships" ref="I8" location="PivotTables!A1" display="Go to PivotTables" r:id="rId3"/>
    <hyperlink xmlns:r="http://schemas.openxmlformats.org/officeDocument/2006/relationships" ref="I9" location="Data%20Quality%20Summary!A1" display="Go to Data Quality Summary" r:id="rId4"/>
    <hyperlink xmlns:r="http://schemas.openxmlformats.org/officeDocument/2006/relationships" ref="I10" location="Data!A1" display="Go to Data" r:id="rId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6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6" customWidth="1" style="33" min="1" max="1"/>
    <col width="34" customWidth="1" style="33" min="2" max="2"/>
    <col width="55" customWidth="1" style="33" min="3" max="3"/>
    <col width="14" customWidth="1" style="33" min="4" max="4"/>
  </cols>
  <sheetData>
    <row r="1" ht="19.7" customHeight="1" s="34">
      <c r="A1" s="41" t="inlineStr">
        <is>
          <t>Data Quality Summary — Issue and Lab 4 Fix</t>
        </is>
      </c>
    </row>
    <row r="2" ht="15" customHeight="1" s="34">
      <c r="A2" s="42" t="n"/>
      <c r="B2" s="42" t="n"/>
      <c r="C2" s="42" t="n"/>
      <c r="D2" s="42" t="n"/>
    </row>
    <row r="3" ht="15" customHeight="1" s="34">
      <c r="A3" s="43" t="inlineStr">
        <is>
          <t>Issue Found</t>
        </is>
      </c>
      <c r="B3" s="43" t="inlineStr">
        <is>
          <t>Evidence / Formula Result</t>
        </is>
      </c>
      <c r="C3" s="43" t="inlineStr">
        <is>
          <t>Fix to Apply in Lab 4</t>
        </is>
      </c>
      <c r="D3" s="43" t="inlineStr">
        <is>
          <t>Priority</t>
        </is>
      </c>
    </row>
    <row r="4" ht="28.35" customHeight="1" s="34">
      <c r="A4" s="51" t="inlineStr">
        <is>
          <t>Alert is heavily incomplete</t>
        </is>
      </c>
      <c r="B4" s="42">
        <f>COUNTBLANK(Data!F2:F1001)&amp;" blanks ("&amp;TEXT(COUNTBLANK(Data!F2:F1001)/COUNTA(Data!A2:A1001),"0.0%")&amp;")"</f>
        <v/>
      </c>
      <c r="C4" s="52" t="inlineStr">
        <is>
          <t>Keep missing as blank/NA or explicitly unassigned; do not invent alert values.</t>
        </is>
      </c>
      <c r="D4" s="42" t="inlineStr">
        <is>
          <t>High</t>
        </is>
      </c>
    </row>
    <row r="5" ht="28.35" customHeight="1" s="34">
      <c r="A5" s="51" t="inlineStr">
        <is>
          <t>Continent is heavily incomplete</t>
        </is>
      </c>
      <c r="B5" s="42">
        <f>COUNTBLANK(Data!R2:R1001)&amp;" blanks ("&amp;TEXT(COUNTBLANK(Data!R2:R1001)/COUNTA(Data!A2:A1001),"0.0%")&amp;")"</f>
        <v/>
      </c>
      <c r="C5" s="52" t="inlineStr">
        <is>
          <t>Retain missing as NA; only impute from verified geographic mapping if required.</t>
        </is>
      </c>
      <c r="D5" s="42" t="inlineStr">
        <is>
          <t>High</t>
        </is>
      </c>
    </row>
    <row r="6" ht="28.35" customHeight="1" s="34">
      <c r="A6" s="51" t="inlineStr">
        <is>
          <t>Country has missing values</t>
        </is>
      </c>
      <c r="B6" s="42">
        <f>COUNTBLANK(Data!S2:S1001)&amp;" blanks ("&amp;TEXT(COUNTBLANK(Data!S2:S1001)/COUNTA(Data!A2:A1001),"0.0%")&amp;")"</f>
        <v/>
      </c>
      <c r="C6" s="52" t="inlineStr">
        <is>
          <t>Retain missing as NA; avoid guessing country from incomplete metadata.</t>
        </is>
      </c>
      <c r="D6" s="42" t="inlineStr">
        <is>
          <t>Medium</t>
        </is>
      </c>
    </row>
    <row r="7" ht="15" customHeight="1" s="34">
      <c r="A7" s="51" t="inlineStr">
        <is>
          <t>Location has a few missing values</t>
        </is>
      </c>
      <c r="B7" s="42">
        <f>COUNTBLANK(Data!Q2:Q1001)&amp;" blanks ("&amp;TEXT(COUNTBLANK(Data!Q2:Q1001)/COUNTA(Data!A2:A1001),"0.0%")&amp;")"</f>
        <v/>
      </c>
      <c r="C7" s="52" t="inlineStr">
        <is>
          <t>Keep missing as NA or derive only from trusted source fields.</t>
        </is>
      </c>
      <c r="D7" s="42" t="inlineStr">
        <is>
          <t>Medium</t>
        </is>
      </c>
    </row>
    <row r="8" ht="28.35" customHeight="1" s="34">
      <c r="A8" s="51" t="inlineStr">
        <is>
          <t>date_time is stored as text</t>
        </is>
      </c>
      <c r="B8" s="42">
        <f>ISNUMBER(Data!C2)</f>
        <v/>
      </c>
      <c r="C8" s="52" t="inlineStr">
        <is>
          <t>Convert with DATE/MID/TIME into DateTime_Converted and use that for sorting/charting.</t>
        </is>
      </c>
      <c r="D8" s="42" t="inlineStr">
        <is>
          <t>High</t>
        </is>
      </c>
    </row>
    <row r="9" ht="28.35" customHeight="1" s="34">
      <c r="A9" s="51" t="inlineStr">
        <is>
          <t>Title has two formats</t>
        </is>
      </c>
      <c r="B9" s="42">
        <f>COUNTIF(Data!U2:U1001,"Distance-prefix pattern")&amp;" distance-prefix; "&amp;COUNTIF(Data!U2:U1001,"Named-region pattern")&amp;" named-region"</f>
        <v/>
      </c>
      <c r="C9" s="52" t="inlineStr">
        <is>
          <t>Keep a title-pattern flag; parse distance/city only when the pattern is present.</t>
        </is>
      </c>
      <c r="D9" s="42" t="inlineStr">
        <is>
          <t>Medium</t>
        </is>
      </c>
    </row>
    <row r="10" ht="28.35" customHeight="1" s="34">
      <c r="A10" s="51" t="inlineStr">
        <is>
          <t>magType casing is inconsistent</t>
        </is>
      </c>
      <c r="B10" s="42">
        <f>COUNTIF(Data!M2:M1001,"Mi")&amp;" raw Mi rows; normalized helper uses LOWER"</f>
        <v/>
      </c>
      <c r="C10" s="52" t="inlineStr">
        <is>
          <t>Create normalized lowercase magType before grouping/comparison.</t>
        </is>
      </c>
      <c r="D10" s="42" t="inlineStr">
        <is>
          <t>Medium</t>
        </is>
      </c>
    </row>
    <row r="11" ht="28.35" customHeight="1" s="34">
      <c r="A11" s="51" t="inlineStr">
        <is>
          <t>Near-duplicate events exist</t>
        </is>
      </c>
      <c r="B11" s="42">
        <f>COUNTIF(Data!W2:W1001,"Duplicate")&amp;" rows flagged by title + timestamp"</f>
        <v/>
      </c>
      <c r="C11" s="52" t="inlineStr">
        <is>
          <t>Use title + date_time duplicate check; review duplicate groups and retain the valid event record.</t>
        </is>
      </c>
      <c r="D11" s="42" t="inlineStr">
        <is>
          <t>High</t>
        </is>
      </c>
    </row>
    <row r="12" ht="15" customHeight="1" s="34">
      <c r="A12" s="42" t="n"/>
      <c r="B12" s="42" t="n"/>
      <c r="C12" s="42" t="n"/>
      <c r="D12" s="42" t="n"/>
    </row>
    <row r="13" ht="15" customHeight="1" s="34">
      <c r="A13" s="42" t="n"/>
      <c r="B13" s="42" t="n"/>
      <c r="C13" s="42" t="n"/>
      <c r="D13" s="42" t="n"/>
    </row>
    <row r="14" ht="16.15" customHeight="1" s="34">
      <c r="A14" s="45" t="inlineStr">
        <is>
          <t>Assignment compliance notes</t>
        </is>
      </c>
      <c r="B14" s="42" t="n"/>
      <c r="C14" s="42" t="n"/>
      <c r="D14" s="42" t="n"/>
    </row>
    <row r="15" ht="15" customHeight="1" s="34">
      <c r="A15" s="42" t="inlineStr">
        <is>
          <t>All 1,000 records and 19 original columns are retained in the Data sheet.</t>
        </is>
      </c>
    </row>
    <row r="16" ht="15" customHeight="1" s="34">
      <c r="A16" s="42" t="inlineStr">
        <is>
          <t>Helper columns are formula-driven: converted datetime, title pattern, normalized magType, duplicate flag, year, magnitude band, and alert audit.</t>
        </is>
      </c>
    </row>
    <row r="17" ht="15" customHeight="1" s="34">
      <c r="A17" s="42" t="inlineStr">
        <is>
          <t>Task 1 contains live formulas for record count, ranges, average, magType counts, alert counts, and magnitude-band counts, plus charts.</t>
        </is>
      </c>
    </row>
    <row r="18" ht="15" customHeight="1" s="34">
      <c r="A18" s="42" t="inlineStr">
        <is>
          <t>Task 2 contains the 19-column classification and formula-driven quality checks.</t>
        </is>
      </c>
    </row>
    <row r="19" ht="15" customHeight="1" s="34">
      <c r="A19" s="42" t="inlineStr">
        <is>
          <t>PivotTable-style breakdowns are provided on the PivotTables sheet; Excel can refresh/filter them from the Data table.</t>
        </is>
      </c>
    </row>
  </sheetData>
  <mergeCells count="6">
    <mergeCell ref="A1:D1"/>
    <mergeCell ref="A17:D17"/>
    <mergeCell ref="A18:D18"/>
    <mergeCell ref="A15:D15"/>
    <mergeCell ref="A16:D16"/>
    <mergeCell ref="A19:D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61"/>
  <sheetViews>
    <sheetView workbookViewId="0">
      <selection activeCell="A1" sqref="A1"/>
    </sheetView>
  </sheetViews>
  <sheetFormatPr baseColWidth="8" defaultRowHeight="15"/>
  <cols>
    <col width="22" customWidth="1" style="34" min="1" max="1"/>
    <col width="22" customWidth="1" style="34" min="2" max="2"/>
    <col width="22" customWidth="1" style="34" min="3" max="3"/>
    <col width="22" customWidth="1" style="34" min="4" max="4"/>
    <col width="22" customWidth="1" style="34" min="5" max="5"/>
    <col width="22" customWidth="1" style="34" min="6" max="6"/>
    <col width="22" customWidth="1" style="34" min="7" max="7"/>
  </cols>
  <sheetData>
    <row r="1">
      <c r="A1" s="64" t="inlineStr">
        <is>
          <t>EXTRA PART: EARTHQUAKE DATA VISUALIZATION</t>
        </is>
      </c>
      <c r="B1" s="65" t="n"/>
      <c r="C1" s="65" t="n"/>
      <c r="D1" s="65" t="n"/>
      <c r="E1" s="65" t="n"/>
    </row>
    <row r="2">
      <c r="A2" s="65" t="n"/>
      <c r="B2" s="65" t="n"/>
      <c r="C2" s="65" t="n"/>
      <c r="D2" s="65" t="n"/>
      <c r="E2" s="65" t="n"/>
    </row>
    <row r="3">
      <c r="A3" s="65" t="inlineStr">
        <is>
          <t>Graph 1 - Earthquake Records per Year</t>
        </is>
      </c>
      <c r="B3" s="65" t="n"/>
      <c r="C3" s="65" t="n"/>
      <c r="D3" s="65" t="n"/>
      <c r="E3" s="65" t="n"/>
    </row>
    <row r="4">
      <c r="A4" s="65" t="inlineStr">
        <is>
          <t>Year</t>
        </is>
      </c>
      <c r="B4" s="65" t="inlineStr">
        <is>
          <t>Number of Earthquake Records</t>
        </is>
      </c>
      <c r="C4" s="65" t="n"/>
      <c r="D4" s="65" t="n"/>
      <c r="E4" s="65" t="n"/>
    </row>
    <row r="5">
      <c r="A5" s="65" t="n"/>
      <c r="B5" s="65" t="n"/>
      <c r="C5" s="65" t="n"/>
      <c r="D5" s="65" t="inlineStr">
        <is>
          <t>Decade</t>
        </is>
      </c>
      <c r="E5" s="65" t="inlineStr">
        <is>
          <t>Records</t>
        </is>
      </c>
    </row>
    <row r="6">
      <c r="A6" s="65" t="n"/>
      <c r="B6" s="65" t="n"/>
      <c r="C6" s="65" t="n"/>
      <c r="D6" s="65" t="n"/>
      <c r="E6" s="65" t="n"/>
    </row>
    <row r="7">
      <c r="A7" s="65" t="n"/>
      <c r="B7" s="65" t="n"/>
      <c r="C7" s="65" t="n"/>
      <c r="D7" s="65" t="n"/>
      <c r="E7" s="65" t="n"/>
    </row>
    <row r="8">
      <c r="A8" s="65" t="n"/>
      <c r="B8" s="65" t="n"/>
      <c r="C8" s="65" t="n"/>
      <c r="D8" s="65" t="n"/>
      <c r="E8" s="65" t="n"/>
    </row>
    <row r="9">
      <c r="A9" s="65" t="n"/>
      <c r="B9" s="65" t="n"/>
      <c r="C9" s="65" t="n"/>
      <c r="D9" s="65" t="n"/>
      <c r="E9" s="65" t="n"/>
    </row>
    <row r="10">
      <c r="A10" s="65" t="n"/>
      <c r="B10" s="65" t="n"/>
      <c r="C10" s="65" t="n"/>
      <c r="D10" s="65" t="n"/>
      <c r="E10" s="65" t="n"/>
    </row>
    <row r="11">
      <c r="A11" s="65" t="n"/>
      <c r="B11" s="65" t="n"/>
      <c r="C11" s="65" t="n"/>
      <c r="D11" s="65" t="n"/>
      <c r="E11" s="65" t="n"/>
    </row>
    <row r="12">
      <c r="A12" s="65" t="n"/>
      <c r="B12" s="65" t="n"/>
      <c r="C12" s="65" t="n"/>
      <c r="D12" s="65" t="n"/>
      <c r="E12" s="65" t="n"/>
    </row>
    <row r="13">
      <c r="A13" s="65" t="n"/>
      <c r="B13" s="65" t="n"/>
      <c r="C13" s="65" t="n"/>
      <c r="D13" s="65" t="n"/>
      <c r="E13" s="65" t="n"/>
    </row>
    <row r="14">
      <c r="A14" s="65" t="n"/>
      <c r="B14" s="65" t="n"/>
      <c r="C14" s="65" t="n"/>
      <c r="D14" s="65" t="n"/>
      <c r="E14" s="65" t="n"/>
    </row>
    <row r="15">
      <c r="A15" s="65" t="n"/>
      <c r="B15" s="65" t="n"/>
      <c r="C15" s="65" t="n"/>
      <c r="D15" s="65" t="n"/>
      <c r="E15" s="65" t="n"/>
    </row>
    <row r="16">
      <c r="A16" s="65" t="n"/>
      <c r="B16" s="65" t="n"/>
      <c r="C16" s="65" t="n"/>
      <c r="D16" s="65" t="n"/>
      <c r="E16" s="65" t="n"/>
    </row>
    <row r="17">
      <c r="A17" s="65" t="n"/>
      <c r="B17" s="65" t="n"/>
      <c r="C17" s="65" t="n"/>
      <c r="D17" s="65" t="n"/>
      <c r="E17" s="65" t="n"/>
    </row>
    <row r="18">
      <c r="A18" s="65" t="n"/>
      <c r="B18" s="65" t="n"/>
      <c r="C18" s="65" t="n"/>
      <c r="D18" s="65" t="n"/>
      <c r="E18" s="65" t="n"/>
    </row>
    <row r="19">
      <c r="A19" s="65" t="n"/>
      <c r="B19" s="65" t="n"/>
      <c r="C19" s="65" t="n"/>
      <c r="D19" s="65" t="n"/>
      <c r="E19" s="65" t="n"/>
    </row>
    <row r="20">
      <c r="A20" s="65" t="n"/>
      <c r="B20" s="65" t="n"/>
      <c r="C20" s="65" t="n"/>
      <c r="D20" s="65" t="n"/>
      <c r="E20" s="65" t="n"/>
    </row>
    <row r="21">
      <c r="A21" s="65" t="n"/>
      <c r="B21" s="65" t="n"/>
      <c r="C21" s="65" t="n"/>
      <c r="D21" s="65" t="n"/>
      <c r="E21" s="65" t="n"/>
    </row>
    <row r="22">
      <c r="A22" s="65" t="n"/>
      <c r="B22" s="65" t="n"/>
      <c r="C22" s="65" t="n"/>
      <c r="D22" s="65" t="n"/>
      <c r="E22" s="65" t="n"/>
    </row>
    <row r="23">
      <c r="A23" s="65" t="n"/>
      <c r="B23" s="65" t="n"/>
      <c r="C23" s="65" t="n"/>
      <c r="D23" s="65" t="n"/>
      <c r="E23" s="65" t="n"/>
    </row>
    <row r="24">
      <c r="A24" s="65" t="n"/>
      <c r="B24" s="65" t="n"/>
      <c r="C24" s="65" t="n"/>
      <c r="D24" s="65" t="n"/>
      <c r="E24" s="65" t="n"/>
    </row>
    <row r="25">
      <c r="A25" s="65" t="n"/>
      <c r="B25" s="65" t="n"/>
      <c r="C25" s="65" t="n"/>
      <c r="D25" s="65" t="n"/>
      <c r="E25" s="65" t="n"/>
    </row>
    <row r="26">
      <c r="A26" s="65" t="n"/>
      <c r="B26" s="65" t="n"/>
      <c r="C26" s="65" t="n"/>
      <c r="D26" s="65" t="n"/>
      <c r="E26" s="65" t="n"/>
    </row>
    <row r="27">
      <c r="A27" s="65" t="n"/>
      <c r="B27" s="65" t="n"/>
      <c r="C27" s="65" t="n"/>
      <c r="D27" s="65" t="n"/>
      <c r="E27" s="65" t="n"/>
    </row>
    <row r="28">
      <c r="A28" s="65" t="n"/>
      <c r="B28" s="65" t="n"/>
      <c r="C28" s="65" t="n"/>
      <c r="D28" s="65" t="n"/>
      <c r="E28" s="65" t="n"/>
    </row>
    <row r="29">
      <c r="A29" s="65" t="n"/>
      <c r="B29" s="65" t="n"/>
      <c r="C29" s="65" t="n"/>
      <c r="D29" s="65" t="n"/>
      <c r="E29" s="65" t="n"/>
    </row>
    <row r="30">
      <c r="A30" s="65" t="n"/>
      <c r="B30" s="65" t="n"/>
      <c r="C30" s="65" t="n"/>
      <c r="D30" s="65" t="n"/>
      <c r="E30" s="65" t="n"/>
    </row>
    <row r="31">
      <c r="A31" s="65" t="n"/>
      <c r="B31" s="65" t="n"/>
      <c r="C31" s="65" t="n"/>
      <c r="D31" s="65" t="n"/>
      <c r="E31" s="65" t="n"/>
    </row>
    <row r="32">
      <c r="A32" s="65" t="n"/>
      <c r="B32" s="65" t="n"/>
      <c r="C32" s="65" t="n"/>
      <c r="D32" s="65" t="n"/>
      <c r="E32" s="65" t="n"/>
    </row>
    <row r="33">
      <c r="A33" s="65" t="n"/>
      <c r="B33" s="65" t="n"/>
      <c r="C33" s="65" t="n"/>
      <c r="D33" s="65" t="n"/>
      <c r="E33" s="65" t="n"/>
    </row>
    <row r="34">
      <c r="A34" s="65" t="n"/>
      <c r="B34" s="65" t="n"/>
      <c r="C34" s="65" t="n"/>
      <c r="D34" s="65" t="n"/>
      <c r="E34" s="65" t="n"/>
    </row>
    <row r="35">
      <c r="A35" s="65" t="n"/>
      <c r="B35" s="65" t="n"/>
      <c r="C35" s="65" t="n"/>
      <c r="D35" s="65" t="n"/>
      <c r="E35" s="65" t="n"/>
    </row>
    <row r="36">
      <c r="A36" s="65" t="n"/>
      <c r="B36" s="65" t="n"/>
      <c r="C36" s="65" t="n"/>
      <c r="D36" s="65" t="n"/>
      <c r="E36" s="65" t="n"/>
    </row>
    <row r="37">
      <c r="A37" s="65" t="inlineStr">
        <is>
          <t>Graph 3 - Magnitude Distribution</t>
        </is>
      </c>
      <c r="B37" s="65" t="n"/>
      <c r="C37" s="65" t="n"/>
      <c r="D37" s="65" t="n"/>
      <c r="E37" s="65" t="n"/>
    </row>
    <row r="38">
      <c r="A38" s="65" t="inlineStr">
        <is>
          <t>Magnitude Range</t>
        </is>
      </c>
      <c r="B38" s="65" t="inlineStr">
        <is>
          <t>Frequency</t>
        </is>
      </c>
      <c r="C38" s="65" t="n"/>
      <c r="D38" s="65" t="n"/>
      <c r="E38" s="65" t="n"/>
    </row>
    <row r="39">
      <c r="A39" s="65" t="inlineStr">
        <is>
          <t>6.5–7.0</t>
        </is>
      </c>
      <c r="B39" s="65" t="n">
        <v>627</v>
      </c>
      <c r="C39" s="65" t="n"/>
      <c r="D39" s="65" t="n"/>
      <c r="E39" s="65" t="n"/>
    </row>
    <row r="40">
      <c r="A40" s="65" t="inlineStr">
        <is>
          <t>7.0–7.5</t>
        </is>
      </c>
      <c r="B40" s="65" t="n">
        <v>229</v>
      </c>
      <c r="C40" s="65" t="n"/>
      <c r="D40" s="65" t="n"/>
      <c r="E40" s="65" t="n"/>
    </row>
    <row r="41">
      <c r="A41" s="65" t="inlineStr">
        <is>
          <t>7.5–8.0</t>
        </is>
      </c>
      <c r="B41" s="65" t="n">
        <v>112</v>
      </c>
      <c r="C41" s="65" t="n"/>
      <c r="D41" s="65" t="n"/>
      <c r="E41" s="65" t="n"/>
    </row>
    <row r="42">
      <c r="A42" s="65" t="inlineStr">
        <is>
          <t>8.0–8.5</t>
        </is>
      </c>
      <c r="B42" s="65" t="n">
        <v>27</v>
      </c>
      <c r="C42" s="65" t="n"/>
      <c r="D42" s="65" t="n"/>
      <c r="E42" s="65" t="n"/>
    </row>
    <row r="43">
      <c r="A43" s="65" t="inlineStr">
        <is>
          <t>8.5–9.0</t>
        </is>
      </c>
      <c r="B43" s="65" t="n">
        <v>3</v>
      </c>
      <c r="C43" s="65" t="n"/>
      <c r="D43" s="65" t="n"/>
      <c r="E43" s="65" t="n"/>
    </row>
    <row r="44">
      <c r="A44" s="65" t="inlineStr">
        <is>
          <t>9.0–9.5</t>
        </is>
      </c>
      <c r="B44" s="65" t="n">
        <v>2</v>
      </c>
      <c r="C44" s="65" t="n"/>
      <c r="D44" s="65" t="n"/>
      <c r="E44" s="65" t="n"/>
    </row>
    <row r="45">
      <c r="A45" s="65" t="n"/>
      <c r="B45" s="65" t="n"/>
      <c r="C45" s="65" t="n"/>
      <c r="D45" s="65" t="n"/>
      <c r="E45" s="65" t="n"/>
    </row>
    <row r="46">
      <c r="A46" s="65" t="n"/>
      <c r="B46" s="65" t="n"/>
      <c r="C46" s="65" t="n"/>
      <c r="D46" s="65" t="n"/>
      <c r="E46" s="65" t="n"/>
    </row>
    <row r="47">
      <c r="A47" s="65" t="n"/>
      <c r="B47" s="65" t="n"/>
      <c r="C47" s="65" t="n"/>
      <c r="D47" s="65" t="n"/>
      <c r="E47" s="65" t="n"/>
    </row>
    <row r="48">
      <c r="A48" s="65" t="n"/>
      <c r="B48" s="65" t="n"/>
      <c r="C48" s="65" t="n"/>
      <c r="D48" s="65" t="n"/>
      <c r="E48" s="65" t="n"/>
    </row>
    <row r="49">
      <c r="A49" s="65" t="n"/>
      <c r="B49" s="65" t="n"/>
      <c r="C49" s="65" t="n"/>
      <c r="D49" s="65" t="n"/>
      <c r="E49" s="65" t="n"/>
    </row>
    <row r="50">
      <c r="A50" s="65" t="n"/>
      <c r="B50" s="65" t="n"/>
      <c r="C50" s="65" t="n"/>
      <c r="D50" s="65" t="n"/>
      <c r="E50" s="65" t="n"/>
    </row>
    <row r="51">
      <c r="A51" s="65" t="n"/>
      <c r="B51" s="65" t="n"/>
      <c r="C51" s="65" t="n"/>
      <c r="D51" s="65" t="n"/>
      <c r="E51" s="65" t="n"/>
    </row>
    <row r="52">
      <c r="A52" s="65" t="n"/>
      <c r="B52" s="65" t="n"/>
      <c r="C52" s="65" t="n"/>
      <c r="D52" s="65" t="n"/>
      <c r="E52" s="65" t="n"/>
    </row>
    <row r="53">
      <c r="A53" s="65" t="n"/>
      <c r="B53" s="65" t="n"/>
      <c r="C53" s="65" t="n"/>
      <c r="D53" s="65" t="n"/>
      <c r="E53" s="65" t="n"/>
    </row>
    <row r="54">
      <c r="A54" s="65" t="n"/>
      <c r="B54" s="65" t="n"/>
      <c r="C54" s="65" t="n"/>
      <c r="D54" s="65" t="n"/>
      <c r="E54" s="65" t="n"/>
    </row>
    <row r="55">
      <c r="A55" s="65" t="n"/>
      <c r="B55" s="65" t="n"/>
      <c r="C55" s="65" t="n"/>
      <c r="D55" s="65" t="n"/>
      <c r="E55" s="65" t="n"/>
    </row>
    <row r="56">
      <c r="A56" s="65" t="n"/>
      <c r="B56" s="65" t="n"/>
      <c r="C56" s="65" t="n"/>
      <c r="D56" s="65" t="n"/>
      <c r="E56" s="65" t="n"/>
    </row>
    <row r="57">
      <c r="A57" s="65" t="n"/>
      <c r="B57" s="65" t="n"/>
      <c r="C57" s="65" t="n"/>
      <c r="D57" s="65" t="n"/>
      <c r="E57" s="65" t="n"/>
    </row>
    <row r="58">
      <c r="A58" s="65" t="n"/>
      <c r="B58" s="65" t="n"/>
      <c r="C58" s="65" t="n"/>
      <c r="D58" s="65" t="n"/>
      <c r="E58" s="65" t="n"/>
    </row>
    <row r="59">
      <c r="A59" s="65" t="n"/>
      <c r="B59" s="65" t="n"/>
      <c r="C59" s="65" t="n"/>
      <c r="D59" s="65" t="n"/>
      <c r="E59" s="65" t="n"/>
    </row>
    <row r="60">
      <c r="A60" s="65" t="inlineStr">
        <is>
          <t>Graph 4 - Magnitude vs Depth</t>
        </is>
      </c>
      <c r="B60" s="65" t="n"/>
      <c r="C60" s="65" t="n"/>
      <c r="D60" s="65" t="n"/>
      <c r="E60" s="65" t="n"/>
    </row>
    <row r="61">
      <c r="A61" s="65" t="inlineStr">
        <is>
          <t>Magnitude</t>
        </is>
      </c>
      <c r="B61" s="65" t="inlineStr">
        <is>
          <t>Depth</t>
        </is>
      </c>
      <c r="C61" s="65" t="n"/>
      <c r="D61" s="65" t="n"/>
      <c r="E61" s="65" t="n"/>
    </row>
    <row r="62">
      <c r="A62" s="65" t="n">
        <v>6.5</v>
      </c>
      <c r="B62" s="65" t="n">
        <v>192.955</v>
      </c>
      <c r="C62" s="65" t="n"/>
      <c r="D62" s="65" t="n"/>
      <c r="E62" s="65" t="n"/>
    </row>
    <row r="63">
      <c r="A63" s="65" t="n">
        <v>6.5</v>
      </c>
      <c r="B63" s="65" t="n">
        <v>69.727</v>
      </c>
      <c r="C63" s="65" t="n"/>
      <c r="D63" s="65" t="n"/>
      <c r="E63" s="65" t="n"/>
    </row>
    <row r="64">
      <c r="A64" s="65" t="n">
        <v>6.6</v>
      </c>
      <c r="B64" s="65" t="n">
        <v>171.371</v>
      </c>
      <c r="C64" s="65" t="n"/>
      <c r="D64" s="65" t="n"/>
      <c r="E64" s="65" t="n"/>
    </row>
    <row r="65">
      <c r="A65" s="65" t="n">
        <v>7.2</v>
      </c>
      <c r="B65" s="65" t="n">
        <v>32.571</v>
      </c>
      <c r="C65" s="65" t="n"/>
      <c r="D65" s="65" t="n"/>
      <c r="E65" s="65" t="n"/>
    </row>
    <row r="66">
      <c r="A66" s="65" t="n">
        <v>7.3</v>
      </c>
      <c r="B66" s="65" t="n">
        <v>21</v>
      </c>
      <c r="C66" s="65" t="n"/>
      <c r="D66" s="65" t="n"/>
      <c r="E66" s="65" t="n"/>
    </row>
    <row r="67">
      <c r="A67" s="65" t="n">
        <v>6.6</v>
      </c>
      <c r="B67" s="65" t="n">
        <v>10</v>
      </c>
      <c r="C67" s="65" t="n"/>
      <c r="D67" s="65" t="n"/>
      <c r="E67" s="65" t="n"/>
    </row>
    <row r="68">
      <c r="A68" s="65" t="n">
        <v>6.9</v>
      </c>
      <c r="B68" s="65" t="n">
        <v>229</v>
      </c>
      <c r="C68" s="65" t="n"/>
      <c r="D68" s="65" t="n"/>
      <c r="E68" s="65" t="n"/>
    </row>
    <row r="69">
      <c r="A69" s="65" t="n">
        <v>7.2</v>
      </c>
      <c r="B69" s="65" t="n">
        <v>167.404</v>
      </c>
      <c r="C69" s="65" t="n"/>
      <c r="D69" s="65" t="n"/>
      <c r="E69" s="65" t="n"/>
    </row>
    <row r="70">
      <c r="A70" s="65" t="n">
        <v>6.6</v>
      </c>
      <c r="B70" s="65" t="n">
        <v>10</v>
      </c>
      <c r="C70" s="65" t="n"/>
      <c r="D70" s="65" t="n"/>
      <c r="E70" s="65" t="n"/>
    </row>
    <row r="71">
      <c r="A71" s="65" t="n">
        <v>7.1</v>
      </c>
      <c r="B71" s="65" t="n">
        <v>35.981</v>
      </c>
      <c r="C71" s="65" t="n"/>
      <c r="D71" s="65" t="n"/>
      <c r="E71" s="65" t="n"/>
    </row>
    <row r="72">
      <c r="A72" s="65" t="n">
        <v>7.7</v>
      </c>
      <c r="B72" s="65" t="n">
        <v>18.027</v>
      </c>
      <c r="C72" s="65" t="n"/>
      <c r="D72" s="65" t="n"/>
      <c r="E72" s="65" t="n"/>
    </row>
    <row r="73">
      <c r="A73" s="65" t="n">
        <v>7.6</v>
      </c>
      <c r="B73" s="65" t="n">
        <v>210.097</v>
      </c>
      <c r="C73" s="65" t="n"/>
      <c r="D73" s="65" t="n"/>
      <c r="E73" s="65" t="n"/>
    </row>
    <row r="74">
      <c r="A74" s="65" t="n">
        <v>6.6</v>
      </c>
      <c r="B74" s="65" t="n">
        <v>598.467</v>
      </c>
      <c r="C74" s="65" t="n"/>
      <c r="D74" s="65" t="n"/>
      <c r="E74" s="65" t="n"/>
    </row>
    <row r="75">
      <c r="A75" s="65" t="n">
        <v>7.1</v>
      </c>
      <c r="B75" s="65" t="n">
        <v>15.462</v>
      </c>
      <c r="C75" s="65" t="n"/>
      <c r="D75" s="65" t="n"/>
      <c r="E75" s="65" t="n"/>
    </row>
    <row r="76">
      <c r="A76" s="65" t="n">
        <v>7.1</v>
      </c>
      <c r="B76" s="65" t="n">
        <v>43.063</v>
      </c>
      <c r="C76" s="65" t="n"/>
      <c r="D76" s="65" t="n"/>
      <c r="E76" s="65" t="n"/>
    </row>
    <row r="77">
      <c r="A77" s="65" t="n">
        <v>6.7</v>
      </c>
      <c r="B77" s="65" t="n">
        <v>595.854</v>
      </c>
      <c r="C77" s="65" t="n"/>
      <c r="D77" s="65" t="n"/>
      <c r="E77" s="65" t="n"/>
    </row>
    <row r="78">
      <c r="A78" s="65" t="n">
        <v>7</v>
      </c>
      <c r="B78" s="65" t="n">
        <v>594.028</v>
      </c>
      <c r="C78" s="65" t="n"/>
      <c r="D78" s="65" t="n"/>
      <c r="E78" s="65" t="n"/>
    </row>
    <row r="79">
      <c r="A79" s="65" t="n">
        <v>6.5</v>
      </c>
      <c r="B79" s="65" t="n">
        <v>105.631</v>
      </c>
      <c r="C79" s="65" t="n"/>
      <c r="D79" s="65" t="n"/>
      <c r="E79" s="65" t="n"/>
    </row>
    <row r="80">
      <c r="A80" s="65" t="n">
        <v>7</v>
      </c>
      <c r="B80" s="65" t="n">
        <v>62.603</v>
      </c>
      <c r="C80" s="65" t="n"/>
      <c r="D80" s="65" t="n"/>
      <c r="E80" s="65" t="n"/>
    </row>
    <row r="81">
      <c r="A81" s="65" t="n">
        <v>6.5</v>
      </c>
      <c r="B81" s="65" t="n">
        <v>209.976</v>
      </c>
      <c r="C81" s="65" t="n"/>
      <c r="D81" s="65" t="n"/>
      <c r="E81" s="65" t="n"/>
    </row>
    <row r="82">
      <c r="A82" s="65" t="n">
        <v>6.5</v>
      </c>
      <c r="B82" s="65" t="n">
        <v>187.589</v>
      </c>
      <c r="C82" s="65" t="n"/>
      <c r="D82" s="65" t="n"/>
      <c r="E82" s="65" t="n"/>
    </row>
    <row r="83">
      <c r="A83" s="65" t="n">
        <v>6.8</v>
      </c>
      <c r="B83" s="65" t="n">
        <v>65.842</v>
      </c>
      <c r="C83" s="65" t="n"/>
      <c r="D83" s="65" t="n"/>
      <c r="E83" s="65" t="n"/>
    </row>
    <row r="84">
      <c r="A84" s="65" t="n">
        <v>7</v>
      </c>
      <c r="B84" s="65" t="n">
        <v>22.065</v>
      </c>
      <c r="C84" s="65" t="n"/>
      <c r="D84" s="65" t="n"/>
      <c r="E84" s="65" t="n"/>
    </row>
    <row r="85">
      <c r="A85" s="65" t="n">
        <v>6.9</v>
      </c>
      <c r="B85" s="65" t="n">
        <v>205.681</v>
      </c>
      <c r="C85" s="65" t="n"/>
      <c r="D85" s="65" t="n"/>
      <c r="E85" s="65" t="n"/>
    </row>
    <row r="86">
      <c r="A86" s="65" t="n">
        <v>6.5</v>
      </c>
      <c r="B86" s="65" t="n">
        <v>10</v>
      </c>
      <c r="C86" s="65" t="n"/>
      <c r="D86" s="65" t="n"/>
      <c r="E86" s="65" t="n"/>
    </row>
    <row r="87">
      <c r="A87" s="65" t="n">
        <v>6.5</v>
      </c>
      <c r="B87" s="65" t="n">
        <v>598.925</v>
      </c>
      <c r="C87" s="65" t="n"/>
      <c r="D87" s="65" t="n"/>
      <c r="E87" s="65" t="n"/>
    </row>
    <row r="88">
      <c r="A88" s="65" t="n">
        <v>6.8</v>
      </c>
      <c r="B88" s="65" t="n">
        <v>20.522</v>
      </c>
      <c r="C88" s="65" t="n"/>
      <c r="D88" s="65" t="n"/>
      <c r="E88" s="65" t="n"/>
    </row>
    <row r="89">
      <c r="A89" s="65" t="n">
        <v>7.5</v>
      </c>
      <c r="B89" s="65" t="n">
        <v>10</v>
      </c>
      <c r="C89" s="65" t="n"/>
      <c r="D89" s="65" t="n"/>
      <c r="E89" s="65" t="n"/>
    </row>
    <row r="90">
      <c r="A90" s="65" t="n">
        <v>6.7</v>
      </c>
      <c r="B90" s="65" t="n">
        <v>14.497</v>
      </c>
      <c r="C90" s="65" t="n"/>
      <c r="D90" s="65" t="n"/>
      <c r="E90" s="65" t="n"/>
    </row>
    <row r="91">
      <c r="A91" s="65" t="n">
        <v>7.8</v>
      </c>
      <c r="B91" s="65" t="n">
        <v>17.925</v>
      </c>
      <c r="C91" s="65" t="n"/>
      <c r="D91" s="65" t="n"/>
      <c r="E91" s="65" t="n"/>
    </row>
    <row r="92">
      <c r="A92" s="65" t="n">
        <v>6.8</v>
      </c>
      <c r="B92" s="65" t="n">
        <v>610.671</v>
      </c>
      <c r="C92" s="65" t="n"/>
      <c r="D92" s="65" t="n"/>
      <c r="E92" s="65" t="n"/>
    </row>
    <row r="93">
      <c r="A93" s="65" t="n">
        <v>7</v>
      </c>
      <c r="B93" s="65" t="n">
        <v>28.566</v>
      </c>
      <c r="C93" s="65" t="n"/>
      <c r="D93" s="65" t="n"/>
      <c r="E93" s="65" t="n"/>
    </row>
    <row r="94">
      <c r="A94" s="65" t="n">
        <v>7.6</v>
      </c>
      <c r="B94" s="65" t="n">
        <v>105.249</v>
      </c>
      <c r="C94" s="65" t="n"/>
      <c r="D94" s="65" t="n"/>
      <c r="E94" s="65" t="n"/>
    </row>
    <row r="95">
      <c r="A95" s="65" t="n">
        <v>7</v>
      </c>
      <c r="B95" s="65" t="n">
        <v>29</v>
      </c>
      <c r="C95" s="65" t="n"/>
      <c r="D95" s="65" t="n"/>
      <c r="E95" s="65" t="n"/>
    </row>
    <row r="96">
      <c r="A96" s="65" t="n">
        <v>6.8</v>
      </c>
      <c r="B96" s="65" t="n">
        <v>38</v>
      </c>
      <c r="C96" s="65" t="n"/>
      <c r="D96" s="65" t="n"/>
      <c r="E96" s="65" t="n"/>
    </row>
    <row r="97">
      <c r="A97" s="65" t="n">
        <v>7</v>
      </c>
      <c r="B97" s="65" t="n">
        <v>14</v>
      </c>
      <c r="C97" s="65" t="n"/>
      <c r="D97" s="65" t="n"/>
      <c r="E97" s="65" t="n"/>
    </row>
    <row r="98">
      <c r="A98" s="65" t="n">
        <v>6.9</v>
      </c>
      <c r="B98" s="65" t="n">
        <v>25</v>
      </c>
      <c r="C98" s="65" t="n"/>
      <c r="D98" s="65" t="n"/>
      <c r="E98" s="65" t="n"/>
    </row>
    <row r="99">
      <c r="A99" s="65" t="n">
        <v>7</v>
      </c>
      <c r="B99" s="65" t="n">
        <v>579</v>
      </c>
      <c r="C99" s="65" t="n"/>
      <c r="D99" s="65" t="n"/>
      <c r="E99" s="65" t="n"/>
    </row>
    <row r="100">
      <c r="A100" s="65" t="n">
        <v>7.3</v>
      </c>
      <c r="B100" s="65" t="n">
        <v>37</v>
      </c>
      <c r="C100" s="65" t="n"/>
      <c r="D100" s="65" t="n"/>
      <c r="E100" s="65" t="n"/>
    </row>
    <row r="101">
      <c r="A101" s="65" t="n">
        <v>6.6</v>
      </c>
      <c r="B101" s="65" t="n">
        <v>624.4640000000001</v>
      </c>
      <c r="C101" s="65" t="n"/>
      <c r="D101" s="65" t="n"/>
      <c r="E101" s="65" t="n"/>
    </row>
    <row r="102">
      <c r="A102" s="65" t="n">
        <v>7</v>
      </c>
      <c r="B102" s="65" t="n">
        <v>660</v>
      </c>
      <c r="C102" s="65" t="n"/>
      <c r="D102" s="65" t="n"/>
      <c r="E102" s="65" t="n"/>
    </row>
    <row r="103">
      <c r="A103" s="65" t="n">
        <v>6.8</v>
      </c>
      <c r="B103" s="65" t="n">
        <v>630.379</v>
      </c>
      <c r="C103" s="65" t="n"/>
      <c r="D103" s="65" t="n"/>
      <c r="E103" s="65" t="n"/>
    </row>
    <row r="104">
      <c r="A104" s="65" t="n">
        <v>6.7</v>
      </c>
      <c r="B104" s="65" t="n">
        <v>20</v>
      </c>
      <c r="C104" s="65" t="n"/>
      <c r="D104" s="65" t="n"/>
      <c r="E104" s="65" t="n"/>
    </row>
    <row r="105">
      <c r="A105" s="65" t="n">
        <v>6.8</v>
      </c>
      <c r="B105" s="65" t="n">
        <v>20</v>
      </c>
      <c r="C105" s="65" t="n"/>
      <c r="D105" s="65" t="n"/>
      <c r="E105" s="65" t="n"/>
    </row>
    <row r="106">
      <c r="A106" s="65" t="n">
        <v>7.6</v>
      </c>
      <c r="B106" s="65" t="n">
        <v>26.943</v>
      </c>
      <c r="C106" s="65" t="n"/>
      <c r="D106" s="65" t="n"/>
      <c r="E106" s="65" t="n"/>
    </row>
    <row r="107">
      <c r="A107" s="65" t="n">
        <v>6.9</v>
      </c>
      <c r="B107" s="65" t="n">
        <v>10</v>
      </c>
      <c r="C107" s="65" t="n"/>
      <c r="D107" s="65" t="n"/>
      <c r="E107" s="65" t="n"/>
    </row>
    <row r="108">
      <c r="A108" s="65" t="n">
        <v>6.5</v>
      </c>
      <c r="B108" s="65" t="n">
        <v>10</v>
      </c>
      <c r="C108" s="65" t="n"/>
      <c r="D108" s="65" t="n"/>
      <c r="E108" s="65" t="n"/>
    </row>
    <row r="109">
      <c r="A109" s="65" t="n">
        <v>7</v>
      </c>
      <c r="B109" s="65" t="n">
        <v>137</v>
      </c>
      <c r="C109" s="65" t="n"/>
      <c r="D109" s="65" t="n"/>
      <c r="E109" s="65" t="n"/>
    </row>
    <row r="110">
      <c r="A110" s="65" t="n">
        <v>7.6</v>
      </c>
      <c r="B110" s="65" t="n">
        <v>116</v>
      </c>
      <c r="C110" s="65" t="n"/>
      <c r="D110" s="65" t="n"/>
      <c r="E110" s="65" t="n"/>
    </row>
    <row r="111">
      <c r="A111" s="65" t="n">
        <v>6.6</v>
      </c>
      <c r="B111" s="65" t="n">
        <v>12</v>
      </c>
      <c r="C111" s="65" t="n"/>
      <c r="D111" s="65" t="n"/>
      <c r="E111" s="65" t="n"/>
    </row>
    <row r="112">
      <c r="A112" s="65" t="n">
        <v>6.6</v>
      </c>
      <c r="B112" s="65" t="n">
        <v>30</v>
      </c>
      <c r="C112" s="65" t="n"/>
      <c r="D112" s="65" t="n"/>
      <c r="E112" s="65" t="n"/>
    </row>
    <row r="113">
      <c r="A113" s="65" t="n">
        <v>7</v>
      </c>
      <c r="B113" s="65" t="n">
        <v>33.729</v>
      </c>
      <c r="C113" s="65" t="n"/>
      <c r="D113" s="65" t="n"/>
      <c r="E113" s="65" t="n"/>
    </row>
    <row r="114">
      <c r="A114" s="65" t="n">
        <v>6.5</v>
      </c>
      <c r="B114" s="65" t="n">
        <v>622.73</v>
      </c>
      <c r="C114" s="65" t="n"/>
      <c r="D114" s="65" t="n"/>
      <c r="E114" s="65" t="n"/>
    </row>
    <row r="115">
      <c r="A115" s="65" t="n">
        <v>7.2</v>
      </c>
      <c r="B115" s="65" t="n">
        <v>236</v>
      </c>
      <c r="C115" s="65" t="n"/>
      <c r="D115" s="65" t="n"/>
      <c r="E115" s="65" t="n"/>
    </row>
    <row r="116">
      <c r="A116" s="65" t="n">
        <v>6.9</v>
      </c>
      <c r="B116" s="65" t="n">
        <v>10</v>
      </c>
      <c r="C116" s="65" t="n"/>
      <c r="D116" s="65" t="n"/>
      <c r="E116" s="65" t="n"/>
    </row>
    <row r="117">
      <c r="A117" s="65" t="n">
        <v>6.8</v>
      </c>
      <c r="B117" s="65" t="n">
        <v>220</v>
      </c>
      <c r="C117" s="65" t="n"/>
      <c r="D117" s="65" t="n"/>
      <c r="E117" s="65" t="n"/>
    </row>
    <row r="118">
      <c r="A118" s="65" t="n">
        <v>6.6</v>
      </c>
      <c r="B118" s="65" t="n">
        <v>27</v>
      </c>
      <c r="C118" s="65" t="n"/>
      <c r="D118" s="65" t="n"/>
      <c r="E118" s="65" t="n"/>
    </row>
    <row r="119">
      <c r="A119" s="65" t="n">
        <v>7</v>
      </c>
      <c r="B119" s="65" t="n">
        <v>10</v>
      </c>
      <c r="C119" s="65" t="n"/>
      <c r="D119" s="65" t="n"/>
      <c r="E119" s="65" t="n"/>
    </row>
    <row r="120">
      <c r="A120" s="65" t="n">
        <v>6.9</v>
      </c>
      <c r="B120" s="65" t="n">
        <v>10</v>
      </c>
      <c r="C120" s="65" t="n"/>
      <c r="D120" s="65" t="n"/>
      <c r="E120" s="65" t="n"/>
    </row>
    <row r="121">
      <c r="A121" s="65" t="n">
        <v>6.7</v>
      </c>
      <c r="B121" s="65" t="n">
        <v>24</v>
      </c>
      <c r="C121" s="65" t="n"/>
      <c r="D121" s="65" t="n"/>
      <c r="E121" s="65" t="n"/>
    </row>
    <row r="122">
      <c r="A122" s="65" t="n">
        <v>7.3</v>
      </c>
      <c r="B122" s="65" t="n">
        <v>41</v>
      </c>
      <c r="C122" s="65" t="n"/>
      <c r="D122" s="65" t="n"/>
      <c r="E122" s="65" t="n"/>
    </row>
    <row r="123">
      <c r="A123" s="65" t="n">
        <v>6.7</v>
      </c>
      <c r="B123" s="65" t="n">
        <v>28</v>
      </c>
      <c r="C123" s="65" t="n"/>
      <c r="D123" s="65" t="n"/>
      <c r="E123" s="65" t="n"/>
    </row>
    <row r="124">
      <c r="A124" s="65" t="n">
        <v>6.6</v>
      </c>
      <c r="B124" s="65" t="n">
        <v>24</v>
      </c>
      <c r="C124" s="65" t="n"/>
      <c r="D124" s="65" t="n"/>
      <c r="E124" s="65" t="n"/>
    </row>
    <row r="125">
      <c r="A125" s="65" t="n">
        <v>6.8</v>
      </c>
      <c r="B125" s="65" t="n">
        <v>535</v>
      </c>
      <c r="C125" s="65" t="n"/>
      <c r="D125" s="65" t="n"/>
      <c r="E125" s="65" t="n"/>
    </row>
    <row r="126">
      <c r="A126" s="65" t="n">
        <v>6.5</v>
      </c>
      <c r="B126" s="65" t="n">
        <v>110</v>
      </c>
      <c r="C126" s="65" t="n"/>
      <c r="D126" s="65" t="n"/>
      <c r="E126" s="65" t="n"/>
    </row>
    <row r="127">
      <c r="A127" s="65" t="n">
        <v>6.5</v>
      </c>
      <c r="B127" s="65" t="n">
        <v>8</v>
      </c>
      <c r="C127" s="65" t="n"/>
      <c r="D127" s="65" t="n"/>
      <c r="E127" s="65" t="n"/>
    </row>
    <row r="128">
      <c r="A128" s="65" t="n">
        <v>6.6</v>
      </c>
      <c r="B128" s="65" t="n">
        <v>33</v>
      </c>
      <c r="C128" s="65" t="n"/>
      <c r="D128" s="65" t="n"/>
      <c r="E128" s="65" t="n"/>
    </row>
    <row r="129">
      <c r="A129" s="65" t="n">
        <v>6.5</v>
      </c>
      <c r="B129" s="65" t="n">
        <v>37</v>
      </c>
      <c r="C129" s="65" t="n"/>
      <c r="D129" s="65" t="n"/>
      <c r="E129" s="65" t="n"/>
    </row>
    <row r="130">
      <c r="A130" s="65" t="n">
        <v>6.5</v>
      </c>
      <c r="B130" s="65" t="n">
        <v>37</v>
      </c>
      <c r="C130" s="65" t="n"/>
      <c r="D130" s="65" t="n"/>
      <c r="E130" s="65" t="n"/>
    </row>
    <row r="131">
      <c r="A131" s="65" t="n">
        <v>6.6</v>
      </c>
      <c r="B131" s="65" t="n">
        <v>19</v>
      </c>
      <c r="C131" s="65" t="n"/>
      <c r="D131" s="65" t="n"/>
      <c r="E131" s="65" t="n"/>
    </row>
    <row r="132">
      <c r="A132" s="65" t="n">
        <v>6.7</v>
      </c>
      <c r="B132" s="65" t="n">
        <v>33</v>
      </c>
      <c r="C132" s="65" t="n"/>
      <c r="D132" s="65" t="n"/>
      <c r="E132" s="65" t="n"/>
    </row>
    <row r="133">
      <c r="A133" s="65" t="n">
        <v>6.7</v>
      </c>
      <c r="B133" s="65" t="n">
        <v>33</v>
      </c>
      <c r="C133" s="65" t="n"/>
      <c r="D133" s="65" t="n"/>
      <c r="E133" s="65" t="n"/>
    </row>
    <row r="134">
      <c r="A134" s="65" t="n">
        <v>6.8</v>
      </c>
      <c r="B134" s="65" t="n">
        <v>20</v>
      </c>
      <c r="C134" s="65" t="n"/>
      <c r="D134" s="65" t="n"/>
      <c r="E134" s="65" t="n"/>
    </row>
    <row r="135">
      <c r="A135" s="65" t="n">
        <v>6.6</v>
      </c>
      <c r="B135" s="65" t="n">
        <v>21</v>
      </c>
      <c r="C135" s="65" t="n"/>
      <c r="D135" s="65" t="n"/>
      <c r="E135" s="65" t="n"/>
    </row>
    <row r="136">
      <c r="A136" s="65" t="n">
        <v>6.6</v>
      </c>
      <c r="B136" s="65" t="n">
        <v>13</v>
      </c>
      <c r="C136" s="65" t="n"/>
      <c r="D136" s="65" t="n"/>
      <c r="E136" s="65" t="n"/>
    </row>
    <row r="137">
      <c r="A137" s="65" t="n">
        <v>7.3</v>
      </c>
      <c r="B137" s="65" t="n">
        <v>165.49</v>
      </c>
      <c r="C137" s="65" t="n"/>
      <c r="D137" s="65" t="n"/>
      <c r="E137" s="65" t="n"/>
    </row>
    <row r="138">
      <c r="A138" s="65" t="n">
        <v>7.3</v>
      </c>
      <c r="B138" s="65" t="n">
        <v>14.27</v>
      </c>
      <c r="C138" s="65" t="n"/>
      <c r="D138" s="65" t="n"/>
      <c r="E138" s="65" t="n"/>
    </row>
    <row r="139">
      <c r="A139" s="65" t="n">
        <v>7.5</v>
      </c>
      <c r="B139" s="65" t="n">
        <v>126</v>
      </c>
      <c r="C139" s="65" t="n"/>
      <c r="D139" s="65" t="n"/>
      <c r="E139" s="65" t="n"/>
    </row>
    <row r="140">
      <c r="A140" s="65" t="n">
        <v>6.6</v>
      </c>
      <c r="B140" s="65" t="n">
        <v>12</v>
      </c>
      <c r="C140" s="65" t="n"/>
      <c r="D140" s="65" t="n"/>
      <c r="E140" s="65" t="n"/>
    </row>
    <row r="141">
      <c r="A141" s="65" t="n">
        <v>6.9</v>
      </c>
      <c r="B141" s="65" t="n">
        <v>51.6</v>
      </c>
      <c r="C141" s="65" t="n"/>
      <c r="D141" s="65" t="n"/>
      <c r="E141" s="65" t="n"/>
    </row>
    <row r="142">
      <c r="A142" s="65" t="n">
        <v>6.9</v>
      </c>
      <c r="B142" s="65" t="n">
        <v>535</v>
      </c>
      <c r="C142" s="65" t="n"/>
      <c r="D142" s="65" t="n"/>
      <c r="E142" s="65" t="n"/>
    </row>
    <row r="143">
      <c r="A143" s="65" t="n">
        <v>7.3</v>
      </c>
      <c r="B143" s="65" t="n">
        <v>527</v>
      </c>
      <c r="C143" s="65" t="n"/>
      <c r="D143" s="65" t="n"/>
      <c r="E143" s="65" t="n"/>
    </row>
    <row r="144">
      <c r="A144" s="65" t="n">
        <v>6.5</v>
      </c>
      <c r="B144" s="65" t="n">
        <v>21</v>
      </c>
      <c r="C144" s="65" t="n"/>
      <c r="D144" s="65" t="n"/>
      <c r="E144" s="65" t="n"/>
    </row>
    <row r="145">
      <c r="A145" s="65" t="n">
        <v>7</v>
      </c>
      <c r="B145" s="65" t="n">
        <v>20</v>
      </c>
      <c r="C145" s="65" t="n"/>
      <c r="D145" s="65" t="n"/>
      <c r="E145" s="65" t="n"/>
    </row>
    <row r="146">
      <c r="A146" s="65" t="n">
        <v>7.1</v>
      </c>
      <c r="B146" s="65" t="n">
        <v>6</v>
      </c>
      <c r="C146" s="65" t="n"/>
      <c r="D146" s="65" t="n"/>
      <c r="E146" s="65" t="n"/>
    </row>
    <row r="147">
      <c r="A147" s="65" t="n">
        <v>6.6</v>
      </c>
      <c r="B147" s="65" t="n">
        <v>7</v>
      </c>
      <c r="C147" s="65" t="n"/>
      <c r="D147" s="65" t="n"/>
      <c r="E147" s="65" t="n"/>
    </row>
    <row r="148">
      <c r="A148" s="65" t="n">
        <v>6.9</v>
      </c>
      <c r="B148" s="65" t="n">
        <v>93</v>
      </c>
      <c r="C148" s="65" t="n"/>
      <c r="D148" s="65" t="n"/>
      <c r="E148" s="65" t="n"/>
    </row>
    <row r="149">
      <c r="A149" s="65" t="n">
        <v>6.9</v>
      </c>
      <c r="B149" s="65" t="n">
        <v>16.7</v>
      </c>
      <c r="C149" s="65" t="n"/>
      <c r="D149" s="65" t="n"/>
      <c r="E149" s="65" t="n"/>
    </row>
    <row r="150">
      <c r="A150" s="65" t="n">
        <v>7.2</v>
      </c>
      <c r="B150" s="65" t="n">
        <v>10</v>
      </c>
      <c r="C150" s="65" t="n"/>
      <c r="D150" s="65" t="n"/>
      <c r="E150" s="65" t="n"/>
    </row>
    <row r="151">
      <c r="A151" s="65" t="n">
        <v>6.9</v>
      </c>
      <c r="B151" s="65" t="n">
        <v>33.3</v>
      </c>
      <c r="C151" s="65" t="n"/>
      <c r="D151" s="65" t="n"/>
      <c r="E151" s="65" t="n"/>
    </row>
    <row r="152">
      <c r="A152" s="65" t="n">
        <v>6.9</v>
      </c>
      <c r="B152" s="65" t="n">
        <v>20.74</v>
      </c>
      <c r="C152" s="65" t="n"/>
      <c r="D152" s="65" t="n"/>
      <c r="E152" s="65" t="n"/>
    </row>
    <row r="153">
      <c r="A153" s="65" t="n">
        <v>8.1</v>
      </c>
      <c r="B153" s="65" t="n">
        <v>22.79</v>
      </c>
      <c r="C153" s="65" t="n"/>
      <c r="D153" s="65" t="n"/>
      <c r="E153" s="65" t="n"/>
    </row>
    <row r="154">
      <c r="A154" s="65" t="n">
        <v>7.5</v>
      </c>
      <c r="B154" s="65" t="n">
        <v>47.23</v>
      </c>
      <c r="C154" s="65" t="n"/>
      <c r="D154" s="65" t="n"/>
      <c r="E154" s="65" t="n"/>
    </row>
    <row r="155">
      <c r="A155" s="65" t="n">
        <v>7.1</v>
      </c>
      <c r="B155" s="65" t="n">
        <v>55.14</v>
      </c>
      <c r="C155" s="65" t="n"/>
      <c r="D155" s="65" t="n"/>
      <c r="E155" s="65" t="n"/>
    </row>
    <row r="156">
      <c r="A156" s="65" t="n">
        <v>8.199999999999999</v>
      </c>
      <c r="B156" s="65" t="n">
        <v>46.66</v>
      </c>
      <c r="C156" s="65" t="n"/>
      <c r="D156" s="65" t="n"/>
      <c r="E156" s="65" t="n"/>
    </row>
    <row r="157">
      <c r="A157" s="65" t="n">
        <v>8.199999999999999</v>
      </c>
      <c r="B157" s="65" t="n">
        <v>35</v>
      </c>
      <c r="C157" s="65" t="n"/>
      <c r="D157" s="65" t="n"/>
      <c r="E157" s="65" t="n"/>
    </row>
    <row r="158">
      <c r="A158" s="65" t="n">
        <v>6.7</v>
      </c>
      <c r="B158" s="65" t="n">
        <v>110</v>
      </c>
      <c r="C158" s="65" t="n"/>
      <c r="D158" s="65" t="n"/>
      <c r="E158" s="65" t="n"/>
    </row>
    <row r="159">
      <c r="A159" s="65" t="n">
        <v>6.7</v>
      </c>
      <c r="B159" s="65" t="n">
        <v>10</v>
      </c>
      <c r="C159" s="65" t="n"/>
      <c r="D159" s="65" t="n"/>
      <c r="E159" s="65" t="n"/>
    </row>
    <row r="160">
      <c r="A160" s="65" t="n">
        <v>6.5</v>
      </c>
      <c r="B160" s="65" t="n">
        <v>25</v>
      </c>
      <c r="C160" s="65" t="n"/>
      <c r="D160" s="65" t="n"/>
      <c r="E160" s="65" t="n"/>
    </row>
    <row r="161">
      <c r="A161" s="65" t="n">
        <v>6.5</v>
      </c>
      <c r="B161" s="65" t="n">
        <v>10</v>
      </c>
      <c r="C161" s="65" t="n"/>
      <c r="D161" s="65" t="n"/>
      <c r="E161" s="65" t="n"/>
    </row>
    <row r="162">
      <c r="A162" s="65" t="n">
        <v>7.3</v>
      </c>
      <c r="B162" s="65" t="n">
        <v>10</v>
      </c>
      <c r="C162" s="65" t="n"/>
      <c r="D162" s="65" t="n"/>
      <c r="E162" s="65" t="n"/>
    </row>
    <row r="163">
      <c r="A163" s="65" t="n">
        <v>6.7</v>
      </c>
      <c r="B163" s="65" t="n">
        <v>11</v>
      </c>
      <c r="C163" s="65" t="n"/>
      <c r="D163" s="65" t="n"/>
      <c r="E163" s="65" t="n"/>
    </row>
    <row r="164">
      <c r="A164" s="65" t="n">
        <v>6.7</v>
      </c>
      <c r="B164" s="65" t="n">
        <v>10</v>
      </c>
      <c r="C164" s="65" t="n"/>
      <c r="D164" s="65" t="n"/>
      <c r="E164" s="65" t="n"/>
    </row>
    <row r="165">
      <c r="A165" s="65" t="n">
        <v>6.9</v>
      </c>
      <c r="B165" s="65" t="n">
        <v>43</v>
      </c>
      <c r="C165" s="65" t="n"/>
      <c r="D165" s="65" t="n"/>
      <c r="E165" s="65" t="n"/>
    </row>
    <row r="166">
      <c r="A166" s="65" t="n">
        <v>6.5</v>
      </c>
      <c r="B166" s="65" t="n">
        <v>246</v>
      </c>
      <c r="C166" s="65" t="n"/>
      <c r="D166" s="65" t="n"/>
      <c r="E166" s="65" t="n"/>
    </row>
    <row r="167">
      <c r="A167" s="65" t="n">
        <v>6.5</v>
      </c>
      <c r="B167" s="65" t="n">
        <v>301</v>
      </c>
      <c r="C167" s="65" t="n"/>
      <c r="D167" s="65" t="n"/>
      <c r="E167" s="65" t="n"/>
    </row>
    <row r="168">
      <c r="A168" s="65" t="n">
        <v>7</v>
      </c>
      <c r="B168" s="65" t="n">
        <v>43</v>
      </c>
      <c r="C168" s="65" t="n"/>
      <c r="D168" s="65" t="n"/>
      <c r="E168" s="65" t="n"/>
    </row>
    <row r="169">
      <c r="A169" s="65" t="n">
        <v>6.6</v>
      </c>
      <c r="B169" s="65" t="n">
        <v>13.23</v>
      </c>
      <c r="C169" s="65" t="n"/>
      <c r="D169" s="65" t="n"/>
      <c r="E169" s="65" t="n"/>
    </row>
    <row r="170">
      <c r="A170" s="65" t="n">
        <v>6.5</v>
      </c>
      <c r="B170" s="65" t="n">
        <v>24</v>
      </c>
      <c r="C170" s="65" t="n"/>
      <c r="D170" s="65" t="n"/>
      <c r="E170" s="65" t="n"/>
    </row>
    <row r="171">
      <c r="A171" s="65" t="n">
        <v>8.1</v>
      </c>
      <c r="B171" s="65" t="n">
        <v>28.93</v>
      </c>
      <c r="C171" s="65" t="n"/>
      <c r="D171" s="65" t="n"/>
      <c r="E171" s="65" t="n"/>
    </row>
    <row r="172">
      <c r="A172" s="65" t="n">
        <v>7.4</v>
      </c>
      <c r="B172" s="65" t="n">
        <v>43</v>
      </c>
      <c r="C172" s="65" t="n"/>
      <c r="D172" s="65" t="n"/>
      <c r="E172" s="65" t="n"/>
    </row>
    <row r="173">
      <c r="A173" s="65" t="n">
        <v>7.3</v>
      </c>
      <c r="B173" s="65" t="n">
        <v>10</v>
      </c>
      <c r="C173" s="65" t="n"/>
      <c r="D173" s="65" t="n"/>
      <c r="E173" s="65" t="n"/>
    </row>
    <row r="174">
      <c r="A174" s="65" t="n">
        <v>7.1</v>
      </c>
      <c r="B174" s="65" t="n">
        <v>43.98</v>
      </c>
      <c r="C174" s="65" t="n"/>
      <c r="D174" s="65" t="n"/>
      <c r="E174" s="65" t="n"/>
    </row>
    <row r="175">
      <c r="A175" s="65" t="n">
        <v>7.7</v>
      </c>
      <c r="B175" s="65" t="n">
        <v>10</v>
      </c>
      <c r="C175" s="65" t="n"/>
      <c r="D175" s="65" t="n"/>
      <c r="E175" s="65" t="n"/>
    </row>
    <row r="176">
      <c r="A176" s="65" t="n">
        <v>6.9</v>
      </c>
      <c r="B176" s="65" t="n">
        <v>15</v>
      </c>
      <c r="C176" s="65" t="n"/>
      <c r="D176" s="65" t="n"/>
      <c r="E176" s="65" t="n"/>
    </row>
    <row r="177">
      <c r="A177" s="65" t="n">
        <v>7</v>
      </c>
      <c r="B177" s="65" t="n">
        <v>80</v>
      </c>
      <c r="C177" s="65" t="n"/>
      <c r="D177" s="65" t="n"/>
      <c r="E177" s="65" t="n"/>
    </row>
    <row r="178">
      <c r="A178" s="65" t="n">
        <v>6.7</v>
      </c>
      <c r="B178" s="65" t="n">
        <v>10</v>
      </c>
      <c r="C178" s="65" t="n"/>
      <c r="D178" s="65" t="n"/>
      <c r="E178" s="65" t="n"/>
    </row>
    <row r="179">
      <c r="A179" s="65" t="n">
        <v>6.7</v>
      </c>
      <c r="B179" s="65" t="n">
        <v>10</v>
      </c>
      <c r="C179" s="65" t="n"/>
      <c r="D179" s="65" t="n"/>
      <c r="E179" s="65" t="n"/>
    </row>
    <row r="180">
      <c r="A180" s="65" t="n">
        <v>7</v>
      </c>
      <c r="B180" s="65" t="n">
        <v>21</v>
      </c>
      <c r="C180" s="65" t="n"/>
      <c r="D180" s="65" t="n"/>
      <c r="E180" s="65" t="n"/>
    </row>
    <row r="181">
      <c r="A181" s="65" t="n">
        <v>7.6</v>
      </c>
      <c r="B181" s="65" t="n">
        <v>28.37</v>
      </c>
      <c r="C181" s="65" t="n"/>
      <c r="D181" s="65" t="n"/>
      <c r="E181" s="65" t="n"/>
    </row>
    <row r="182">
      <c r="A182" s="65" t="n">
        <v>6.9</v>
      </c>
      <c r="B182" s="65" t="n">
        <v>10</v>
      </c>
      <c r="C182" s="65" t="n"/>
      <c r="D182" s="65" t="n"/>
      <c r="E182" s="65" t="n"/>
    </row>
    <row r="183">
      <c r="A183" s="65" t="n">
        <v>6.5</v>
      </c>
      <c r="B183" s="65" t="n">
        <v>16</v>
      </c>
      <c r="C183" s="65" t="n"/>
      <c r="D183" s="65" t="n"/>
      <c r="E183" s="65" t="n"/>
    </row>
    <row r="184">
      <c r="A184" s="65" t="n">
        <v>6.8</v>
      </c>
      <c r="B184" s="65" t="n">
        <v>21</v>
      </c>
      <c r="C184" s="65" t="n"/>
      <c r="D184" s="65" t="n"/>
      <c r="E184" s="65" t="n"/>
    </row>
    <row r="185">
      <c r="A185" s="65" t="n">
        <v>6.5</v>
      </c>
      <c r="B185" s="65" t="n">
        <v>10</v>
      </c>
      <c r="C185" s="65" t="n"/>
      <c r="D185" s="65" t="n"/>
      <c r="E185" s="65" t="n"/>
    </row>
    <row r="186">
      <c r="A186" s="65" t="n">
        <v>6.9</v>
      </c>
      <c r="B186" s="65" t="n">
        <v>624</v>
      </c>
      <c r="C186" s="65" t="n"/>
      <c r="D186" s="65" t="n"/>
      <c r="E186" s="65" t="n"/>
    </row>
    <row r="187">
      <c r="A187" s="65" t="n">
        <v>6.9</v>
      </c>
      <c r="B187" s="65" t="n">
        <v>26</v>
      </c>
      <c r="C187" s="65" t="n"/>
      <c r="D187" s="65" t="n"/>
      <c r="E187" s="65" t="n"/>
    </row>
    <row r="188">
      <c r="A188" s="65" t="n">
        <v>6.8</v>
      </c>
      <c r="B188" s="65" t="n">
        <v>22</v>
      </c>
      <c r="C188" s="65" t="n"/>
      <c r="D188" s="65" t="n"/>
      <c r="E188" s="65" t="n"/>
    </row>
    <row r="189">
      <c r="A189" s="65" t="n">
        <v>6.6</v>
      </c>
      <c r="B189" s="65" t="n">
        <v>10</v>
      </c>
      <c r="C189" s="65" t="n"/>
      <c r="D189" s="65" t="n"/>
      <c r="E189" s="65" t="n"/>
    </row>
    <row r="190">
      <c r="A190" s="65" t="n">
        <v>7.8</v>
      </c>
      <c r="B190" s="65" t="n">
        <v>28</v>
      </c>
      <c r="C190" s="65" t="n"/>
      <c r="D190" s="65" t="n"/>
      <c r="E190" s="65" t="n"/>
    </row>
    <row r="191">
      <c r="A191" s="65" t="n">
        <v>7</v>
      </c>
      <c r="B191" s="65" t="n">
        <v>73</v>
      </c>
      <c r="C191" s="65" t="n"/>
      <c r="D191" s="65" t="n"/>
      <c r="E191" s="65" t="n"/>
    </row>
    <row r="192">
      <c r="A192" s="65" t="n">
        <v>6.6</v>
      </c>
      <c r="B192" s="65" t="n">
        <v>533.76</v>
      </c>
      <c r="C192" s="65" t="n"/>
      <c r="D192" s="65" t="n"/>
      <c r="E192" s="65" t="n"/>
    </row>
    <row r="193">
      <c r="A193" s="65" t="n">
        <v>7.4</v>
      </c>
      <c r="B193" s="65" t="n">
        <v>20</v>
      </c>
      <c r="C193" s="65" t="n"/>
      <c r="D193" s="65" t="n"/>
      <c r="E193" s="65" t="n"/>
    </row>
    <row r="194">
      <c r="A194" s="65" t="n">
        <v>7.4</v>
      </c>
      <c r="B194" s="65" t="n">
        <v>10</v>
      </c>
      <c r="C194" s="65" t="n"/>
      <c r="D194" s="65" t="n"/>
      <c r="E194" s="65" t="n"/>
    </row>
    <row r="195">
      <c r="A195" s="65" t="n">
        <v>6.6</v>
      </c>
      <c r="B195" s="65" t="n">
        <v>165</v>
      </c>
      <c r="C195" s="65" t="n"/>
      <c r="D195" s="65" t="n"/>
      <c r="E195" s="65" t="n"/>
    </row>
    <row r="196">
      <c r="A196" s="65" t="n">
        <v>6.8</v>
      </c>
      <c r="B196" s="65" t="n">
        <v>112</v>
      </c>
      <c r="C196" s="65" t="n"/>
      <c r="D196" s="65" t="n"/>
      <c r="E196" s="65" t="n"/>
    </row>
    <row r="197">
      <c r="A197" s="65" t="n">
        <v>6.5</v>
      </c>
      <c r="B197" s="65" t="n">
        <v>2.7</v>
      </c>
      <c r="C197" s="65" t="n"/>
      <c r="D197" s="65" t="n"/>
      <c r="E197" s="65" t="n"/>
    </row>
    <row r="198">
      <c r="A198" s="65" t="n">
        <v>6.6</v>
      </c>
      <c r="B198" s="65" t="n">
        <v>107</v>
      </c>
      <c r="C198" s="65" t="n"/>
      <c r="D198" s="65" t="n"/>
      <c r="E198" s="65" t="n"/>
    </row>
    <row r="199">
      <c r="A199" s="65" t="n">
        <v>6.8</v>
      </c>
      <c r="B199" s="65" t="n">
        <v>96</v>
      </c>
      <c r="C199" s="65" t="n"/>
      <c r="D199" s="65" t="n"/>
      <c r="E199" s="65" t="n"/>
    </row>
    <row r="200">
      <c r="A200" s="65" t="n">
        <v>6.5</v>
      </c>
      <c r="B200" s="65" t="n">
        <v>10</v>
      </c>
      <c r="C200" s="65" t="n"/>
      <c r="D200" s="65" t="n"/>
      <c r="E200" s="65" t="n"/>
    </row>
    <row r="201">
      <c r="A201" s="65" t="n">
        <v>6.5</v>
      </c>
      <c r="B201" s="65" t="n">
        <v>12.06</v>
      </c>
      <c r="C201" s="65" t="n"/>
      <c r="D201" s="65" t="n"/>
      <c r="E201" s="65" t="n"/>
    </row>
    <row r="202">
      <c r="A202" s="65" t="n">
        <v>7.5</v>
      </c>
      <c r="B202" s="65" t="n">
        <v>57.8</v>
      </c>
      <c r="C202" s="65" t="n"/>
      <c r="D202" s="65" t="n"/>
      <c r="E202" s="65" t="n"/>
    </row>
    <row r="203">
      <c r="A203" s="65" t="n">
        <v>7</v>
      </c>
      <c r="B203" s="65" t="n">
        <v>143</v>
      </c>
      <c r="C203" s="65" t="n"/>
      <c r="D203" s="65" t="n"/>
      <c r="E203" s="65" t="n"/>
    </row>
    <row r="204">
      <c r="A204" s="65" t="n">
        <v>7.7</v>
      </c>
      <c r="B204" s="65" t="n">
        <v>14.86</v>
      </c>
      <c r="C204" s="65" t="n"/>
      <c r="D204" s="65" t="n"/>
      <c r="E204" s="65" t="n"/>
    </row>
    <row r="205">
      <c r="A205" s="65" t="n">
        <v>6.7</v>
      </c>
      <c r="B205" s="65" t="n">
        <v>10</v>
      </c>
      <c r="C205" s="65" t="n"/>
      <c r="D205" s="65" t="n"/>
      <c r="E205" s="65" t="n"/>
    </row>
    <row r="206">
      <c r="A206" s="65" t="n">
        <v>6.8</v>
      </c>
      <c r="B206" s="65" t="n">
        <v>18</v>
      </c>
      <c r="C206" s="65" t="n"/>
      <c r="D206" s="65" t="n"/>
      <c r="E206" s="65" t="n"/>
    </row>
    <row r="207">
      <c r="A207" s="65" t="n">
        <v>7.1</v>
      </c>
      <c r="B207" s="65" t="n">
        <v>33</v>
      </c>
      <c r="C207" s="65" t="n"/>
      <c r="D207" s="65" t="n"/>
      <c r="E207" s="65" t="n"/>
    </row>
    <row r="208">
      <c r="A208" s="65" t="n">
        <v>6.5</v>
      </c>
      <c r="B208" s="65" t="n">
        <v>577</v>
      </c>
      <c r="C208" s="65" t="n"/>
      <c r="D208" s="65" t="n"/>
      <c r="E208" s="65" t="n"/>
    </row>
    <row r="209">
      <c r="A209" s="65" t="n">
        <v>6.6</v>
      </c>
      <c r="B209" s="65" t="n">
        <v>10</v>
      </c>
      <c r="C209" s="65" t="n"/>
      <c r="D209" s="65" t="n"/>
      <c r="E209" s="65" t="n"/>
    </row>
    <row r="210">
      <c r="A210" s="65" t="n">
        <v>6.5</v>
      </c>
      <c r="B210" s="65" t="n">
        <v>10</v>
      </c>
      <c r="C210" s="65" t="n"/>
      <c r="D210" s="65" t="n"/>
      <c r="E210" s="65" t="n"/>
    </row>
    <row r="211">
      <c r="A211" s="65" t="n">
        <v>6.6</v>
      </c>
      <c r="B211" s="65" t="n">
        <v>15</v>
      </c>
      <c r="C211" s="65" t="n"/>
      <c r="D211" s="65" t="n"/>
      <c r="E211" s="65" t="n"/>
    </row>
    <row r="212">
      <c r="A212" s="65" t="n">
        <v>6.7</v>
      </c>
      <c r="B212" s="65" t="n">
        <v>11</v>
      </c>
      <c r="C212" s="65" t="n"/>
      <c r="D212" s="65" t="n"/>
      <c r="E212" s="65" t="n"/>
    </row>
    <row r="213">
      <c r="A213" s="65" t="n">
        <v>6.5</v>
      </c>
      <c r="B213" s="65" t="n">
        <v>12.26</v>
      </c>
      <c r="C213" s="65" t="n"/>
      <c r="D213" s="65" t="n"/>
      <c r="E213" s="65" t="n"/>
    </row>
    <row r="214">
      <c r="A214" s="65" t="n">
        <v>6.6</v>
      </c>
      <c r="B214" s="65" t="n">
        <v>591</v>
      </c>
      <c r="C214" s="65" t="n"/>
      <c r="D214" s="65" t="n"/>
      <c r="E214" s="65" t="n"/>
    </row>
    <row r="215">
      <c r="A215" s="65" t="n">
        <v>6.6</v>
      </c>
      <c r="B215" s="65" t="n">
        <v>16</v>
      </c>
      <c r="C215" s="65" t="n"/>
      <c r="D215" s="65" t="n"/>
      <c r="E215" s="65" t="n"/>
    </row>
    <row r="216">
      <c r="A216" s="65" t="n">
        <v>6.9</v>
      </c>
      <c r="B216" s="65" t="n">
        <v>49</v>
      </c>
      <c r="C216" s="65" t="n"/>
      <c r="D216" s="65" t="n"/>
      <c r="E216" s="65" t="n"/>
    </row>
    <row r="217">
      <c r="A217" s="65" t="n">
        <v>6.8</v>
      </c>
      <c r="B217" s="65" t="n">
        <v>25</v>
      </c>
      <c r="C217" s="65" t="n"/>
      <c r="D217" s="65" t="n"/>
      <c r="E217" s="65" t="n"/>
    </row>
    <row r="218">
      <c r="A218" s="65" t="n">
        <v>6.6</v>
      </c>
      <c r="B218" s="65" t="n">
        <v>181</v>
      </c>
      <c r="C218" s="65" t="n"/>
      <c r="D218" s="65" t="n"/>
      <c r="E218" s="65" t="n"/>
    </row>
    <row r="219">
      <c r="A219" s="65" t="n">
        <v>7.2</v>
      </c>
      <c r="B219" s="65" t="n">
        <v>18.98</v>
      </c>
      <c r="C219" s="65" t="n"/>
      <c r="D219" s="65" t="n"/>
      <c r="E219" s="65" t="n"/>
    </row>
    <row r="220">
      <c r="A220" s="65" t="n">
        <v>6.6</v>
      </c>
      <c r="B220" s="65" t="n">
        <v>10</v>
      </c>
      <c r="C220" s="65" t="n"/>
      <c r="D220" s="65" t="n"/>
      <c r="E220" s="65" t="n"/>
    </row>
    <row r="221">
      <c r="A221" s="65" t="n">
        <v>6.9</v>
      </c>
      <c r="B221" s="65" t="n">
        <v>35</v>
      </c>
      <c r="C221" s="65" t="n"/>
      <c r="D221" s="65" t="n"/>
      <c r="E221" s="65" t="n"/>
    </row>
    <row r="222">
      <c r="A222" s="65" t="n">
        <v>7.1</v>
      </c>
      <c r="B222" s="65" t="n">
        <v>8</v>
      </c>
      <c r="C222" s="65" t="n"/>
      <c r="D222" s="65" t="n"/>
      <c r="E222" s="65" t="n"/>
    </row>
    <row r="223">
      <c r="A223" s="65" t="n">
        <v>7.3</v>
      </c>
      <c r="B223" s="65" t="n">
        <v>212</v>
      </c>
      <c r="C223" s="65" t="n"/>
      <c r="D223" s="65" t="n"/>
      <c r="E223" s="65" t="n"/>
    </row>
    <row r="224">
      <c r="A224" s="65" t="n">
        <v>7.3</v>
      </c>
      <c r="B224" s="65" t="n">
        <v>46</v>
      </c>
      <c r="C224" s="65" t="n"/>
      <c r="D224" s="65" t="n"/>
      <c r="E224" s="65" t="n"/>
    </row>
    <row r="225">
      <c r="A225" s="65" t="n">
        <v>6.6</v>
      </c>
      <c r="B225" s="65" t="n">
        <v>57.92</v>
      </c>
      <c r="C225" s="65" t="n"/>
      <c r="D225" s="65" t="n"/>
      <c r="E225" s="65" t="n"/>
    </row>
    <row r="226">
      <c r="A226" s="65" t="n">
        <v>8</v>
      </c>
      <c r="B226" s="65" t="n">
        <v>122.57</v>
      </c>
      <c r="C226" s="65" t="n"/>
      <c r="D226" s="65" t="n"/>
      <c r="E226" s="65" t="n"/>
    </row>
    <row r="227">
      <c r="A227" s="65" t="n">
        <v>7.6</v>
      </c>
      <c r="B227" s="65" t="n">
        <v>10</v>
      </c>
      <c r="C227" s="65" t="n"/>
      <c r="D227" s="65" t="n"/>
      <c r="E227" s="65" t="n"/>
    </row>
    <row r="228">
      <c r="A228" s="65" t="n">
        <v>7.1</v>
      </c>
      <c r="B228" s="65" t="n">
        <v>146</v>
      </c>
      <c r="C228" s="65" t="n"/>
      <c r="D228" s="65" t="n"/>
      <c r="E228" s="65" t="n"/>
    </row>
    <row r="229">
      <c r="A229" s="65" t="n">
        <v>6.8</v>
      </c>
      <c r="B229" s="65" t="n">
        <v>15.46</v>
      </c>
      <c r="C229" s="65" t="n"/>
      <c r="D229" s="65" t="n"/>
      <c r="E229" s="65" t="n"/>
    </row>
    <row r="230">
      <c r="A230" s="65" t="n">
        <v>6.5</v>
      </c>
      <c r="B230" s="65" t="n">
        <v>38</v>
      </c>
      <c r="C230" s="65" t="n"/>
      <c r="D230" s="65" t="n"/>
      <c r="E230" s="65" t="n"/>
    </row>
    <row r="231">
      <c r="A231" s="65" t="n">
        <v>7</v>
      </c>
      <c r="B231" s="65" t="n">
        <v>267</v>
      </c>
      <c r="C231" s="65" t="n"/>
      <c r="D231" s="65" t="n"/>
      <c r="E231" s="65" t="n"/>
    </row>
    <row r="232">
      <c r="A232" s="65" t="n">
        <v>7.5</v>
      </c>
      <c r="B232" s="65" t="n">
        <v>145</v>
      </c>
      <c r="C232" s="65" t="n"/>
      <c r="D232" s="65" t="n"/>
      <c r="E232" s="65" t="n"/>
    </row>
    <row r="233">
      <c r="A233" s="65" t="n">
        <v>6.7</v>
      </c>
      <c r="B233" s="65" t="n">
        <v>66</v>
      </c>
      <c r="C233" s="65" t="n"/>
      <c r="D233" s="65" t="n"/>
      <c r="E233" s="65" t="n"/>
    </row>
    <row r="234">
      <c r="A234" s="65" t="n">
        <v>6.7</v>
      </c>
      <c r="B234" s="65" t="n">
        <v>13</v>
      </c>
      <c r="C234" s="65" t="n"/>
      <c r="D234" s="65" t="n"/>
      <c r="E234" s="65" t="n"/>
    </row>
    <row r="235">
      <c r="A235" s="65" t="n">
        <v>6.7</v>
      </c>
      <c r="B235" s="65" t="n">
        <v>63</v>
      </c>
      <c r="C235" s="65" t="n"/>
      <c r="D235" s="65" t="n"/>
      <c r="E235" s="65" t="n"/>
    </row>
    <row r="236">
      <c r="A236" s="65" t="n">
        <v>6.6</v>
      </c>
      <c r="B236" s="65" t="n">
        <v>35</v>
      </c>
      <c r="C236" s="65" t="n"/>
      <c r="D236" s="65" t="n"/>
      <c r="E236" s="65" t="n"/>
    </row>
    <row r="237">
      <c r="A237" s="65" t="n">
        <v>6.6</v>
      </c>
      <c r="B237" s="65" t="n">
        <v>43.21</v>
      </c>
      <c r="C237" s="65" t="n"/>
      <c r="D237" s="65" t="n"/>
      <c r="E237" s="65" t="n"/>
    </row>
    <row r="238">
      <c r="A238" s="65" t="n">
        <v>6.8</v>
      </c>
      <c r="B238" s="65" t="n">
        <v>570.41</v>
      </c>
      <c r="C238" s="65" t="n"/>
      <c r="D238" s="65" t="n"/>
      <c r="E238" s="65" t="n"/>
    </row>
    <row r="239">
      <c r="A239" s="65" t="n">
        <v>7</v>
      </c>
      <c r="B239" s="65" t="n">
        <v>60.21</v>
      </c>
      <c r="C239" s="65" t="n"/>
      <c r="D239" s="65" t="n"/>
      <c r="E239" s="65" t="n"/>
    </row>
    <row r="240">
      <c r="A240" s="65" t="n">
        <v>7.3</v>
      </c>
      <c r="B240" s="65" t="n">
        <v>16.56</v>
      </c>
      <c r="C240" s="65" t="n"/>
      <c r="D240" s="65" t="n"/>
      <c r="E240" s="65" t="n"/>
    </row>
    <row r="241">
      <c r="A241" s="65" t="n">
        <v>7.1</v>
      </c>
      <c r="B241" s="65" t="n">
        <v>133</v>
      </c>
      <c r="C241" s="65" t="n"/>
      <c r="D241" s="65" t="n"/>
      <c r="E241" s="65" t="n"/>
    </row>
    <row r="242">
      <c r="A242" s="65" t="n">
        <v>6.6</v>
      </c>
      <c r="B242" s="65" t="n">
        <v>10</v>
      </c>
      <c r="C242" s="65" t="n"/>
      <c r="D242" s="65" t="n"/>
      <c r="E242" s="65" t="n"/>
    </row>
    <row r="243">
      <c r="A243" s="65" t="n">
        <v>7.5</v>
      </c>
      <c r="B243" s="65" t="n">
        <v>10</v>
      </c>
      <c r="C243" s="65" t="n"/>
      <c r="D243" s="65" t="n"/>
      <c r="E243" s="65" t="n"/>
    </row>
    <row r="244">
      <c r="A244" s="65" t="n">
        <v>7.1</v>
      </c>
      <c r="B244" s="65" t="n">
        <v>46.7</v>
      </c>
      <c r="C244" s="65" t="n"/>
      <c r="D244" s="65" t="n"/>
      <c r="E244" s="65" t="n"/>
    </row>
    <row r="245">
      <c r="A245" s="65" t="n">
        <v>6.8</v>
      </c>
      <c r="B245" s="65" t="n">
        <v>540</v>
      </c>
      <c r="C245" s="65" t="n"/>
      <c r="D245" s="65" t="n"/>
      <c r="E245" s="65" t="n"/>
    </row>
    <row r="246">
      <c r="A246" s="65" t="n">
        <v>6.7</v>
      </c>
      <c r="B246" s="65" t="n">
        <v>10</v>
      </c>
      <c r="C246" s="65" t="n"/>
      <c r="D246" s="65" t="n"/>
      <c r="E246" s="65" t="n"/>
    </row>
    <row r="247">
      <c r="A247" s="65" t="n">
        <v>6.8</v>
      </c>
      <c r="B247" s="65" t="n">
        <v>14</v>
      </c>
      <c r="C247" s="65" t="n"/>
      <c r="D247" s="65" t="n"/>
      <c r="E247" s="65" t="n"/>
    </row>
    <row r="248">
      <c r="A248" s="65" t="n">
        <v>6.5</v>
      </c>
      <c r="B248" s="65" t="n">
        <v>10</v>
      </c>
      <c r="C248" s="65" t="n"/>
      <c r="D248" s="65" t="n"/>
      <c r="E248" s="65" t="n"/>
    </row>
    <row r="249">
      <c r="A249" s="65" t="n">
        <v>6.8</v>
      </c>
      <c r="B249" s="65" t="n">
        <v>10</v>
      </c>
      <c r="C249" s="65" t="n"/>
      <c r="D249" s="65" t="n"/>
      <c r="E249" s="65" t="n"/>
    </row>
    <row r="250">
      <c r="A250" s="65" t="n">
        <v>6.5</v>
      </c>
      <c r="B250" s="65" t="n">
        <v>10</v>
      </c>
      <c r="C250" s="65" t="n"/>
      <c r="D250" s="65" t="n"/>
      <c r="E250" s="65" t="n"/>
    </row>
    <row r="251">
      <c r="A251" s="65" t="n">
        <v>6.5</v>
      </c>
      <c r="B251" s="65" t="n">
        <v>17</v>
      </c>
      <c r="C251" s="65" t="n"/>
      <c r="D251" s="65" t="n"/>
      <c r="E251" s="65" t="n"/>
    </row>
    <row r="252">
      <c r="A252" s="65" t="n">
        <v>6.7</v>
      </c>
      <c r="B252" s="65" t="n">
        <v>461</v>
      </c>
      <c r="C252" s="65" t="n"/>
      <c r="D252" s="65" t="n"/>
      <c r="E252" s="65" t="n"/>
    </row>
    <row r="253">
      <c r="A253" s="65" t="n">
        <v>6.5</v>
      </c>
      <c r="B253" s="65" t="n">
        <v>20</v>
      </c>
      <c r="C253" s="65" t="n"/>
      <c r="D253" s="65" t="n"/>
      <c r="E253" s="65" t="n"/>
    </row>
    <row r="254">
      <c r="A254" s="65" t="n">
        <v>7</v>
      </c>
      <c r="B254" s="65" t="n">
        <v>39</v>
      </c>
      <c r="C254" s="65" t="n"/>
      <c r="D254" s="65" t="n"/>
      <c r="E254" s="65" t="n"/>
    </row>
    <row r="255">
      <c r="A255" s="65" t="n">
        <v>6.7</v>
      </c>
      <c r="B255" s="65" t="n">
        <v>550</v>
      </c>
      <c r="C255" s="65" t="n"/>
      <c r="D255" s="65" t="n"/>
      <c r="E255" s="65" t="n"/>
    </row>
    <row r="256">
      <c r="A256" s="65" t="n">
        <v>7.5</v>
      </c>
      <c r="B256" s="65" t="n">
        <v>20</v>
      </c>
      <c r="C256" s="65" t="n"/>
      <c r="D256" s="65" t="n"/>
      <c r="E256" s="65" t="n"/>
    </row>
    <row r="257">
      <c r="A257" s="65" t="n">
        <v>6.5</v>
      </c>
      <c r="B257" s="65" t="n">
        <v>576</v>
      </c>
      <c r="C257" s="65" t="n"/>
      <c r="D257" s="65" t="n"/>
      <c r="E257" s="65" t="n"/>
    </row>
    <row r="258">
      <c r="A258" s="65" t="n">
        <v>6.9</v>
      </c>
      <c r="B258" s="65" t="n">
        <v>115</v>
      </c>
      <c r="C258" s="65" t="n"/>
      <c r="D258" s="65" t="n"/>
      <c r="E258" s="65" t="n"/>
    </row>
    <row r="259">
      <c r="A259" s="65" t="n">
        <v>6.5</v>
      </c>
      <c r="B259" s="65" t="n">
        <v>68</v>
      </c>
      <c r="C259" s="65" t="n"/>
      <c r="D259" s="65" t="n"/>
      <c r="E259" s="65" t="n"/>
    </row>
    <row r="260">
      <c r="A260" s="65" t="n">
        <v>7.9</v>
      </c>
      <c r="B260" s="65" t="n">
        <v>670.8099999999999</v>
      </c>
      <c r="C260" s="65" t="n"/>
      <c r="D260" s="65" t="n"/>
      <c r="E260" s="65" t="n"/>
    </row>
    <row r="261">
      <c r="A261" s="65" t="n">
        <v>6.6</v>
      </c>
      <c r="B261" s="65" t="n">
        <v>35</v>
      </c>
      <c r="C261" s="65" t="n"/>
      <c r="D261" s="65" t="n"/>
      <c r="E261" s="65" t="n"/>
    </row>
    <row r="262">
      <c r="A262" s="65" t="n">
        <v>7.1</v>
      </c>
      <c r="B262" s="65" t="n">
        <v>21.43</v>
      </c>
      <c r="C262" s="65" t="n"/>
      <c r="D262" s="65" t="n"/>
      <c r="E262" s="65" t="n"/>
    </row>
    <row r="263">
      <c r="A263" s="65" t="n">
        <v>7.1</v>
      </c>
      <c r="B263" s="65" t="n">
        <v>630</v>
      </c>
      <c r="C263" s="65" t="n"/>
      <c r="D263" s="65" t="n"/>
      <c r="E263" s="65" t="n"/>
    </row>
    <row r="264">
      <c r="A264" s="65" t="n">
        <v>6.5</v>
      </c>
      <c r="B264" s="65" t="n">
        <v>9</v>
      </c>
      <c r="C264" s="65" t="n"/>
      <c r="D264" s="65" t="n"/>
      <c r="E264" s="65" t="n"/>
    </row>
    <row r="265">
      <c r="A265" s="65" t="n">
        <v>7.3</v>
      </c>
      <c r="B265" s="65" t="n">
        <v>146.82</v>
      </c>
      <c r="C265" s="65" t="n"/>
      <c r="D265" s="65" t="n"/>
      <c r="E265" s="65" t="n"/>
    </row>
    <row r="266">
      <c r="A266" s="65" t="n">
        <v>6.9</v>
      </c>
      <c r="B266" s="65" t="n">
        <v>21</v>
      </c>
      <c r="C266" s="65" t="n"/>
      <c r="D266" s="65" t="n"/>
      <c r="E266" s="65" t="n"/>
    </row>
    <row r="267">
      <c r="A267" s="65" t="n">
        <v>8.199999999999999</v>
      </c>
      <c r="B267" s="65" t="n">
        <v>600</v>
      </c>
      <c r="C267" s="65" t="n"/>
      <c r="D267" s="65" t="n"/>
      <c r="E267" s="65" t="n"/>
    </row>
    <row r="268">
      <c r="A268" s="65" t="n">
        <v>6.5</v>
      </c>
      <c r="B268" s="65" t="n">
        <v>529</v>
      </c>
      <c r="C268" s="65" t="n"/>
      <c r="D268" s="65" t="n"/>
      <c r="E268" s="65" t="n"/>
    </row>
    <row r="269">
      <c r="A269" s="65" t="n">
        <v>6.5</v>
      </c>
      <c r="B269" s="65" t="n">
        <v>33.93</v>
      </c>
      <c r="C269" s="65" t="n"/>
      <c r="D269" s="65" t="n"/>
      <c r="E269" s="65" t="n"/>
    </row>
    <row r="270">
      <c r="A270" s="65" t="n">
        <v>6.9</v>
      </c>
      <c r="B270" s="65" t="n">
        <v>34</v>
      </c>
      <c r="C270" s="65" t="n"/>
      <c r="D270" s="65" t="n"/>
      <c r="E270" s="65" t="n"/>
    </row>
    <row r="271">
      <c r="A271" s="65" t="n">
        <v>6.9</v>
      </c>
      <c r="B271" s="65" t="n">
        <v>5.81</v>
      </c>
      <c r="C271" s="65" t="n"/>
      <c r="D271" s="65" t="n"/>
      <c r="E271" s="65" t="n"/>
    </row>
    <row r="272">
      <c r="A272" s="65" t="n">
        <v>6.8</v>
      </c>
      <c r="B272" s="65" t="n">
        <v>559</v>
      </c>
      <c r="C272" s="65" t="n"/>
      <c r="D272" s="65" t="n"/>
      <c r="E272" s="65" t="n"/>
    </row>
    <row r="273">
      <c r="A273" s="65" t="n">
        <v>6.9</v>
      </c>
      <c r="B273" s="65" t="n">
        <v>35</v>
      </c>
      <c r="C273" s="65" t="n"/>
      <c r="D273" s="65" t="n"/>
      <c r="E273" s="65" t="n"/>
    </row>
    <row r="274">
      <c r="A274" s="65" t="n">
        <v>6.7</v>
      </c>
      <c r="B274" s="65" t="n">
        <v>40</v>
      </c>
      <c r="C274" s="65" t="n"/>
      <c r="D274" s="65" t="n"/>
      <c r="E274" s="65" t="n"/>
    </row>
    <row r="275">
      <c r="A275" s="65" t="n">
        <v>6.8</v>
      </c>
      <c r="B275" s="65" t="n">
        <v>22.86</v>
      </c>
      <c r="C275" s="65" t="n"/>
      <c r="D275" s="65" t="n"/>
      <c r="E275" s="65" t="n"/>
    </row>
    <row r="276">
      <c r="A276" s="65" t="n">
        <v>6.7</v>
      </c>
      <c r="B276" s="65" t="n">
        <v>20.49</v>
      </c>
      <c r="C276" s="65" t="n"/>
      <c r="D276" s="65" t="n"/>
      <c r="E276" s="65" t="n"/>
    </row>
    <row r="277">
      <c r="A277" s="65" t="n">
        <v>7.5</v>
      </c>
      <c r="B277" s="65" t="n">
        <v>25.21</v>
      </c>
      <c r="C277" s="65" t="n"/>
      <c r="D277" s="65" t="n"/>
      <c r="E277" s="65" t="n"/>
    </row>
    <row r="278">
      <c r="A278" s="65" t="n">
        <v>7.2</v>
      </c>
      <c r="B278" s="65" t="n">
        <v>22</v>
      </c>
      <c r="C278" s="65" t="n"/>
      <c r="D278" s="65" t="n"/>
      <c r="E278" s="65" t="n"/>
    </row>
    <row r="279">
      <c r="A279" s="65" t="n">
        <v>7.9</v>
      </c>
      <c r="B279" s="65" t="n">
        <v>14.06</v>
      </c>
      <c r="C279" s="65" t="n"/>
      <c r="D279" s="65" t="n"/>
      <c r="E279" s="65" t="n"/>
    </row>
    <row r="280">
      <c r="A280" s="65" t="n">
        <v>7.1</v>
      </c>
      <c r="B280" s="65" t="n">
        <v>39</v>
      </c>
      <c r="C280" s="65" t="n"/>
      <c r="D280" s="65" t="n"/>
      <c r="E280" s="65" t="n"/>
    </row>
    <row r="281">
      <c r="A281" s="65" t="n">
        <v>7.5</v>
      </c>
      <c r="B281" s="65" t="n">
        <v>19</v>
      </c>
      <c r="C281" s="65" t="n"/>
      <c r="D281" s="65" t="n"/>
      <c r="E281" s="65" t="n"/>
    </row>
    <row r="282">
      <c r="A282" s="65" t="n">
        <v>6.5</v>
      </c>
      <c r="B282" s="65" t="n">
        <v>90</v>
      </c>
      <c r="C282" s="65" t="n"/>
      <c r="D282" s="65" t="n"/>
      <c r="E282" s="65" t="n"/>
    </row>
    <row r="283">
      <c r="A283" s="65" t="n">
        <v>6.5</v>
      </c>
      <c r="B283" s="65" t="n">
        <v>17</v>
      </c>
      <c r="C283" s="65" t="n"/>
      <c r="D283" s="65" t="n"/>
      <c r="E283" s="65" t="n"/>
    </row>
    <row r="284">
      <c r="A284" s="65" t="n">
        <v>7</v>
      </c>
      <c r="B284" s="65" t="n">
        <v>10</v>
      </c>
      <c r="C284" s="65" t="n"/>
      <c r="D284" s="65" t="n"/>
      <c r="E284" s="65" t="n"/>
    </row>
    <row r="285">
      <c r="A285" s="65" t="n">
        <v>6.6</v>
      </c>
      <c r="B285" s="65" t="n">
        <v>13</v>
      </c>
      <c r="C285" s="65" t="n"/>
      <c r="D285" s="65" t="n"/>
      <c r="E285" s="65" t="n"/>
    </row>
    <row r="286">
      <c r="A286" s="65" t="n">
        <v>6.5</v>
      </c>
      <c r="B286" s="65" t="n">
        <v>19.36</v>
      </c>
      <c r="C286" s="65" t="n"/>
      <c r="D286" s="65" t="n"/>
      <c r="E286" s="65" t="n"/>
    </row>
    <row r="287">
      <c r="A287" s="65" t="n">
        <v>7.3</v>
      </c>
      <c r="B287" s="65" t="n">
        <v>19</v>
      </c>
      <c r="C287" s="65" t="n"/>
      <c r="D287" s="65" t="n"/>
      <c r="E287" s="65" t="n"/>
    </row>
    <row r="288">
      <c r="A288" s="65" t="n">
        <v>6.5</v>
      </c>
      <c r="B288" s="65" t="n">
        <v>110.57</v>
      </c>
      <c r="C288" s="65" t="n"/>
      <c r="D288" s="65" t="n"/>
      <c r="E288" s="65" t="n"/>
    </row>
    <row r="289">
      <c r="A289" s="65" t="n">
        <v>6.8</v>
      </c>
      <c r="B289" s="65" t="n">
        <v>10</v>
      </c>
      <c r="C289" s="65" t="n"/>
      <c r="D289" s="65" t="n"/>
      <c r="E289" s="65" t="n"/>
    </row>
    <row r="290">
      <c r="A290" s="65" t="n">
        <v>6.6</v>
      </c>
      <c r="B290" s="65" t="n">
        <v>22</v>
      </c>
      <c r="C290" s="65" t="n"/>
      <c r="D290" s="65" t="n"/>
      <c r="E290" s="65" t="n"/>
    </row>
    <row r="291">
      <c r="A291" s="65" t="n">
        <v>6.7</v>
      </c>
      <c r="B291" s="65" t="n">
        <v>24</v>
      </c>
      <c r="C291" s="65" t="n"/>
      <c r="D291" s="65" t="n"/>
      <c r="E291" s="65" t="n"/>
    </row>
    <row r="292">
      <c r="A292" s="65" t="n">
        <v>6.7</v>
      </c>
      <c r="B292" s="65" t="n">
        <v>553.8099999999999</v>
      </c>
      <c r="C292" s="65" t="n"/>
      <c r="D292" s="65" t="n"/>
      <c r="E292" s="65" t="n"/>
    </row>
    <row r="293">
      <c r="A293" s="65" t="n">
        <v>6.5</v>
      </c>
      <c r="B293" s="65" t="n">
        <v>119</v>
      </c>
      <c r="C293" s="65" t="n"/>
      <c r="D293" s="65" t="n"/>
      <c r="E293" s="65" t="n"/>
    </row>
    <row r="294">
      <c r="A294" s="65" t="n">
        <v>7.1</v>
      </c>
      <c r="B294" s="65" t="n">
        <v>48</v>
      </c>
      <c r="C294" s="65" t="n"/>
      <c r="D294" s="65" t="n"/>
      <c r="E294" s="65" t="n"/>
    </row>
    <row r="295">
      <c r="A295" s="65" t="n">
        <v>8.199999999999999</v>
      </c>
      <c r="B295" s="65" t="n">
        <v>47.39</v>
      </c>
      <c r="C295" s="65" t="n"/>
      <c r="D295" s="65" t="n"/>
      <c r="E295" s="65" t="n"/>
    </row>
    <row r="296">
      <c r="A296" s="65" t="n">
        <v>6.5</v>
      </c>
      <c r="B296" s="65" t="n">
        <v>9</v>
      </c>
      <c r="C296" s="65" t="n"/>
      <c r="D296" s="65" t="n"/>
      <c r="E296" s="65" t="n"/>
    </row>
    <row r="297">
      <c r="A297" s="65" t="n">
        <v>6.6</v>
      </c>
      <c r="B297" s="65" t="n">
        <v>7</v>
      </c>
      <c r="C297" s="65" t="n"/>
      <c r="D297" s="65" t="n"/>
      <c r="E297" s="65" t="n"/>
    </row>
    <row r="298">
      <c r="A298" s="65" t="n">
        <v>7.7</v>
      </c>
      <c r="B298" s="65" t="n">
        <v>10</v>
      </c>
      <c r="C298" s="65" t="n"/>
      <c r="D298" s="65" t="n"/>
      <c r="E298" s="65" t="n"/>
    </row>
    <row r="299">
      <c r="A299" s="65" t="n">
        <v>6.6</v>
      </c>
      <c r="B299" s="65" t="n">
        <v>10</v>
      </c>
      <c r="C299" s="65" t="n"/>
      <c r="D299" s="65" t="n"/>
      <c r="E299" s="65" t="n"/>
    </row>
    <row r="300">
      <c r="A300" s="65" t="n">
        <v>6.5</v>
      </c>
      <c r="B300" s="65" t="n">
        <v>9</v>
      </c>
      <c r="C300" s="65" t="n"/>
      <c r="D300" s="65" t="n"/>
      <c r="E300" s="65" t="n"/>
    </row>
    <row r="301">
      <c r="A301" s="65" t="n">
        <v>6.8</v>
      </c>
      <c r="B301" s="65" t="n">
        <v>38.12</v>
      </c>
      <c r="C301" s="65" t="n"/>
      <c r="D301" s="65" t="n"/>
      <c r="E301" s="65" t="n"/>
    </row>
    <row r="302">
      <c r="A302" s="65" t="n">
        <v>6.9</v>
      </c>
      <c r="B302" s="65" t="n">
        <v>93</v>
      </c>
      <c r="C302" s="65" t="n"/>
      <c r="D302" s="65" t="n"/>
      <c r="E302" s="65" t="n"/>
    </row>
    <row r="303">
      <c r="A303" s="65" t="n">
        <v>6.8</v>
      </c>
      <c r="B303" s="65" t="n">
        <v>5</v>
      </c>
      <c r="C303" s="65" t="n"/>
      <c r="D303" s="65" t="n"/>
      <c r="E303" s="65" t="n"/>
    </row>
    <row r="304">
      <c r="A304" s="65" t="n">
        <v>6.6</v>
      </c>
      <c r="B304" s="65" t="n">
        <v>12</v>
      </c>
      <c r="C304" s="65" t="n"/>
      <c r="D304" s="65" t="n"/>
      <c r="E304" s="65" t="n"/>
    </row>
    <row r="305">
      <c r="A305" s="65" t="n">
        <v>6.5</v>
      </c>
      <c r="B305" s="65" t="n">
        <v>15</v>
      </c>
      <c r="C305" s="65" t="n"/>
      <c r="D305" s="65" t="n"/>
      <c r="E305" s="65" t="n"/>
    </row>
    <row r="306">
      <c r="A306" s="65" t="n">
        <v>6.8</v>
      </c>
      <c r="B306" s="65" t="n">
        <v>169</v>
      </c>
      <c r="C306" s="65" t="n"/>
      <c r="D306" s="65" t="n"/>
      <c r="E306" s="65" t="n"/>
    </row>
    <row r="307">
      <c r="A307" s="65" t="n">
        <v>6.9</v>
      </c>
      <c r="B307" s="65" t="n">
        <v>26</v>
      </c>
      <c r="C307" s="65" t="n"/>
      <c r="D307" s="65" t="n"/>
      <c r="E307" s="65" t="n"/>
    </row>
    <row r="308">
      <c r="A308" s="65" t="n">
        <v>6.9</v>
      </c>
      <c r="B308" s="65" t="n">
        <v>28</v>
      </c>
      <c r="C308" s="65" t="n"/>
      <c r="D308" s="65" t="n"/>
      <c r="E308" s="65" t="n"/>
    </row>
    <row r="309">
      <c r="A309" s="65" t="n">
        <v>6.5</v>
      </c>
      <c r="B309" s="65" t="n">
        <v>29</v>
      </c>
      <c r="C309" s="65" t="n"/>
      <c r="D309" s="65" t="n"/>
      <c r="E309" s="65" t="n"/>
    </row>
    <row r="310">
      <c r="A310" s="65" t="n">
        <v>6.6</v>
      </c>
      <c r="B310" s="65" t="n">
        <v>17</v>
      </c>
      <c r="C310" s="65" t="n"/>
      <c r="D310" s="65" t="n"/>
      <c r="E310" s="65" t="n"/>
    </row>
    <row r="311">
      <c r="A311" s="65" t="n">
        <v>6.9</v>
      </c>
      <c r="B311" s="65" t="n">
        <v>414.5</v>
      </c>
      <c r="C311" s="65" t="n"/>
      <c r="D311" s="65" t="n"/>
      <c r="E311" s="65" t="n"/>
    </row>
    <row r="312">
      <c r="A312" s="65" t="n">
        <v>6.5</v>
      </c>
      <c r="B312" s="65" t="n">
        <v>595.98</v>
      </c>
      <c r="C312" s="65" t="n"/>
      <c r="D312" s="65" t="n"/>
      <c r="E312" s="65" t="n"/>
    </row>
    <row r="313">
      <c r="A313" s="65" t="n">
        <v>6.5</v>
      </c>
      <c r="B313" s="65" t="n">
        <v>15</v>
      </c>
      <c r="C313" s="65" t="n"/>
      <c r="D313" s="65" t="n"/>
      <c r="E313" s="65" t="n"/>
    </row>
    <row r="314">
      <c r="A314" s="65" t="n">
        <v>7.9</v>
      </c>
      <c r="B314" s="65" t="n">
        <v>135</v>
      </c>
      <c r="C314" s="65" t="n"/>
      <c r="D314" s="65" t="n"/>
      <c r="E314" s="65" t="n"/>
    </row>
    <row r="315">
      <c r="A315" s="65" t="n">
        <v>6.5</v>
      </c>
      <c r="B315" s="65" t="n">
        <v>36</v>
      </c>
      <c r="C315" s="65" t="n"/>
      <c r="D315" s="65" t="n"/>
      <c r="E315" s="65" t="n"/>
    </row>
    <row r="316">
      <c r="A316" s="65" t="n">
        <v>7.3</v>
      </c>
      <c r="B316" s="65" t="n">
        <v>627.17</v>
      </c>
      <c r="C316" s="65" t="n"/>
      <c r="D316" s="65" t="n"/>
      <c r="E316" s="65" t="n"/>
    </row>
    <row r="317">
      <c r="A317" s="65" t="n">
        <v>6.9</v>
      </c>
      <c r="B317" s="65" t="n">
        <v>12</v>
      </c>
      <c r="C317" s="65" t="n"/>
      <c r="D317" s="65" t="n"/>
      <c r="E317" s="65" t="n"/>
    </row>
    <row r="318">
      <c r="A318" s="65" t="n">
        <v>7.6</v>
      </c>
      <c r="B318" s="65" t="n">
        <v>38</v>
      </c>
      <c r="C318" s="65" t="n"/>
      <c r="D318" s="65" t="n"/>
      <c r="E318" s="65" t="n"/>
    </row>
    <row r="319">
      <c r="A319" s="65" t="n">
        <v>6.7</v>
      </c>
      <c r="B319" s="65" t="n">
        <v>152</v>
      </c>
      <c r="C319" s="65" t="n"/>
      <c r="D319" s="65" t="n"/>
      <c r="E319" s="65" t="n"/>
    </row>
    <row r="320">
      <c r="A320" s="65" t="n">
        <v>7.9</v>
      </c>
      <c r="B320" s="65" t="n">
        <v>94.54000000000001</v>
      </c>
      <c r="C320" s="65" t="n"/>
      <c r="D320" s="65" t="n"/>
      <c r="E320" s="65" t="n"/>
    </row>
    <row r="321">
      <c r="A321" s="65" t="n">
        <v>6.9</v>
      </c>
      <c r="B321" s="65" t="n">
        <v>19.73</v>
      </c>
      <c r="C321" s="65" t="n"/>
      <c r="D321" s="65" t="n"/>
      <c r="E321" s="65" t="n"/>
    </row>
    <row r="322">
      <c r="A322" s="65" t="n">
        <v>6.5</v>
      </c>
      <c r="B322" s="65" t="n">
        <v>12.26</v>
      </c>
      <c r="C322" s="65" t="n"/>
      <c r="D322" s="65" t="n"/>
      <c r="E322" s="65" t="n"/>
    </row>
    <row r="323">
      <c r="A323" s="65" t="n">
        <v>7.8</v>
      </c>
      <c r="B323" s="65" t="n">
        <v>40</v>
      </c>
      <c r="C323" s="65" t="n"/>
      <c r="D323" s="65" t="n"/>
      <c r="E323" s="65" t="n"/>
    </row>
    <row r="324">
      <c r="A324" s="65" t="n">
        <v>6.6</v>
      </c>
      <c r="B324" s="65" t="n">
        <v>8.449999999999999</v>
      </c>
      <c r="C324" s="65" t="n"/>
      <c r="D324" s="65" t="n"/>
      <c r="E324" s="65" t="n"/>
    </row>
    <row r="325">
      <c r="A325" s="65" t="n">
        <v>6.5</v>
      </c>
      <c r="B325" s="65" t="n">
        <v>13</v>
      </c>
      <c r="C325" s="65" t="n"/>
      <c r="D325" s="65" t="n"/>
      <c r="E325" s="65" t="n"/>
    </row>
    <row r="326">
      <c r="A326" s="65" t="n">
        <v>6.6</v>
      </c>
      <c r="B326" s="65" t="n">
        <v>17</v>
      </c>
      <c r="C326" s="65" t="n"/>
      <c r="D326" s="65" t="n"/>
      <c r="E326" s="65" t="n"/>
    </row>
    <row r="327">
      <c r="A327" s="65" t="n">
        <v>6.9</v>
      </c>
      <c r="B327" s="65" t="n">
        <v>10</v>
      </c>
      <c r="C327" s="65" t="n"/>
      <c r="D327" s="65" t="n"/>
      <c r="E327" s="65" t="n"/>
    </row>
    <row r="328">
      <c r="A328" s="65" t="n">
        <v>6.9</v>
      </c>
      <c r="B328" s="65" t="n">
        <v>9</v>
      </c>
      <c r="C328" s="65" t="n"/>
      <c r="D328" s="65" t="n"/>
      <c r="E328" s="65" t="n"/>
    </row>
    <row r="329">
      <c r="A329" s="65" t="n">
        <v>6.5</v>
      </c>
      <c r="B329" s="65" t="n">
        <v>9</v>
      </c>
      <c r="C329" s="65" t="n"/>
      <c r="D329" s="65" t="n"/>
      <c r="E329" s="65" t="n"/>
    </row>
    <row r="330">
      <c r="A330" s="65" t="n">
        <v>6.5</v>
      </c>
      <c r="B330" s="65" t="n">
        <v>10</v>
      </c>
      <c r="C330" s="65" t="n"/>
      <c r="D330" s="65" t="n"/>
      <c r="E330" s="65" t="n"/>
    </row>
    <row r="331">
      <c r="A331" s="65" t="n">
        <v>7.8</v>
      </c>
      <c r="B331" s="65" t="n">
        <v>15.11</v>
      </c>
      <c r="C331" s="65" t="n"/>
      <c r="D331" s="65" t="n"/>
      <c r="E331" s="65" t="n"/>
    </row>
    <row r="332">
      <c r="A332" s="65" t="n">
        <v>6.6</v>
      </c>
      <c r="B332" s="65" t="n">
        <v>8</v>
      </c>
      <c r="C332" s="65" t="n"/>
      <c r="D332" s="65" t="n"/>
      <c r="E332" s="65" t="n"/>
    </row>
    <row r="333">
      <c r="A333" s="65" t="n">
        <v>6.6</v>
      </c>
      <c r="B333" s="65" t="n">
        <v>614</v>
      </c>
      <c r="C333" s="65" t="n"/>
      <c r="D333" s="65" t="n"/>
      <c r="E333" s="65" t="n"/>
    </row>
    <row r="334">
      <c r="A334" s="65" t="n">
        <v>6.8</v>
      </c>
      <c r="B334" s="65" t="n">
        <v>42</v>
      </c>
      <c r="C334" s="65" t="n"/>
      <c r="D334" s="65" t="n"/>
      <c r="E334" s="65" t="n"/>
    </row>
    <row r="335">
      <c r="A335" s="65" t="n">
        <v>6.9</v>
      </c>
      <c r="B335" s="65" t="n">
        <v>596.4</v>
      </c>
      <c r="C335" s="65" t="n"/>
      <c r="D335" s="65" t="n"/>
      <c r="E335" s="65" t="n"/>
    </row>
    <row r="336">
      <c r="A336" s="65" t="n">
        <v>7</v>
      </c>
      <c r="B336" s="65" t="n">
        <v>19</v>
      </c>
      <c r="C336" s="65" t="n"/>
      <c r="D336" s="65" t="n"/>
      <c r="E336" s="65" t="n"/>
    </row>
    <row r="337">
      <c r="A337" s="65" t="n">
        <v>6.8</v>
      </c>
      <c r="B337" s="65" t="n">
        <v>476</v>
      </c>
      <c r="C337" s="65" t="n"/>
      <c r="D337" s="65" t="n"/>
      <c r="E337" s="65" t="n"/>
    </row>
    <row r="338">
      <c r="A338" s="65" t="n">
        <v>6.8</v>
      </c>
      <c r="B338" s="65" t="n">
        <v>82</v>
      </c>
      <c r="C338" s="65" t="n"/>
      <c r="D338" s="65" t="n"/>
      <c r="E338" s="65" t="n"/>
    </row>
    <row r="339">
      <c r="A339" s="65" t="n">
        <v>7.2</v>
      </c>
      <c r="B339" s="65" t="n">
        <v>16.37</v>
      </c>
      <c r="C339" s="65" t="n"/>
      <c r="D339" s="65" t="n"/>
      <c r="E339" s="65" t="n"/>
    </row>
    <row r="340">
      <c r="A340" s="65" t="n">
        <v>7.7</v>
      </c>
      <c r="B340" s="65" t="n">
        <v>196</v>
      </c>
      <c r="C340" s="65" t="n"/>
      <c r="D340" s="65" t="n"/>
      <c r="E340" s="65" t="n"/>
    </row>
    <row r="341">
      <c r="A341" s="65" t="n">
        <v>6.6</v>
      </c>
      <c r="B341" s="65" t="n">
        <v>50</v>
      </c>
      <c r="C341" s="65" t="n"/>
      <c r="D341" s="65" t="n"/>
      <c r="E341" s="65" t="n"/>
    </row>
    <row r="342">
      <c r="A342" s="65" t="n">
        <v>7.2</v>
      </c>
      <c r="B342" s="65" t="n">
        <v>78</v>
      </c>
      <c r="C342" s="65" t="n"/>
      <c r="D342" s="65" t="n"/>
      <c r="E342" s="65" t="n"/>
    </row>
    <row r="343">
      <c r="A343" s="65" t="n">
        <v>6.9</v>
      </c>
      <c r="B343" s="65" t="n">
        <v>405.69</v>
      </c>
      <c r="C343" s="65" t="n"/>
      <c r="D343" s="65" t="n"/>
      <c r="E343" s="65" t="n"/>
    </row>
    <row r="344">
      <c r="A344" s="65" t="n">
        <v>6.9</v>
      </c>
      <c r="B344" s="65" t="n">
        <v>29.95</v>
      </c>
      <c r="C344" s="65" t="n"/>
      <c r="D344" s="65" t="n"/>
      <c r="E344" s="65" t="n"/>
    </row>
    <row r="345">
      <c r="A345" s="65" t="n">
        <v>6.7</v>
      </c>
      <c r="B345" s="65" t="n">
        <v>16</v>
      </c>
      <c r="C345" s="65" t="n"/>
      <c r="D345" s="65" t="n"/>
      <c r="E345" s="65" t="n"/>
    </row>
    <row r="346">
      <c r="A346" s="65" t="n">
        <v>7</v>
      </c>
      <c r="B346" s="65" t="n">
        <v>24</v>
      </c>
      <c r="C346" s="65" t="n"/>
      <c r="D346" s="65" t="n"/>
      <c r="E346" s="65" t="n"/>
    </row>
    <row r="347">
      <c r="A347" s="65" t="n">
        <v>7.8</v>
      </c>
      <c r="B347" s="65" t="n">
        <v>20.59</v>
      </c>
      <c r="C347" s="65" t="n"/>
      <c r="D347" s="65" t="n"/>
      <c r="E347" s="65" t="n"/>
    </row>
    <row r="348">
      <c r="A348" s="65" t="n">
        <v>7</v>
      </c>
      <c r="B348" s="65" t="n">
        <v>10</v>
      </c>
      <c r="C348" s="65" t="n"/>
      <c r="D348" s="65" t="n"/>
      <c r="E348" s="65" t="n"/>
    </row>
    <row r="349">
      <c r="A349" s="65" t="n">
        <v>6.9</v>
      </c>
      <c r="B349" s="65" t="n">
        <v>136</v>
      </c>
      <c r="C349" s="65" t="n"/>
      <c r="D349" s="65" t="n"/>
      <c r="E349" s="65" t="n"/>
    </row>
    <row r="350">
      <c r="A350" s="65" t="n">
        <v>6.6</v>
      </c>
      <c r="B350" s="65" t="n">
        <v>212</v>
      </c>
      <c r="C350" s="65" t="n"/>
      <c r="D350" s="65" t="n"/>
      <c r="E350" s="65" t="n"/>
    </row>
    <row r="351">
      <c r="A351" s="65" t="n">
        <v>6.7</v>
      </c>
      <c r="B351" s="65" t="n">
        <v>27.59</v>
      </c>
      <c r="C351" s="65" t="n"/>
      <c r="D351" s="65" t="n"/>
      <c r="E351" s="65" t="n"/>
    </row>
    <row r="352">
      <c r="A352" s="65" t="n">
        <v>6.7</v>
      </c>
      <c r="B352" s="65" t="n">
        <v>24</v>
      </c>
      <c r="C352" s="65" t="n"/>
      <c r="D352" s="65" t="n"/>
      <c r="E352" s="65" t="n"/>
    </row>
    <row r="353">
      <c r="A353" s="65" t="n">
        <v>6.9</v>
      </c>
      <c r="B353" s="65" t="n">
        <v>26</v>
      </c>
      <c r="C353" s="65" t="n"/>
      <c r="D353" s="65" t="n"/>
      <c r="E353" s="65" t="n"/>
    </row>
    <row r="354">
      <c r="A354" s="65" t="n">
        <v>7.8</v>
      </c>
      <c r="B354" s="65" t="n">
        <v>24</v>
      </c>
      <c r="C354" s="65" t="n"/>
      <c r="D354" s="65" t="n"/>
      <c r="E354" s="65" t="n"/>
    </row>
    <row r="355">
      <c r="A355" s="65" t="n">
        <v>7.2</v>
      </c>
      <c r="B355" s="65" t="n">
        <v>177</v>
      </c>
      <c r="C355" s="65" t="n"/>
      <c r="D355" s="65" t="n"/>
      <c r="E355" s="65" t="n"/>
    </row>
    <row r="356">
      <c r="A356" s="65" t="n">
        <v>7.1</v>
      </c>
      <c r="B356" s="65" t="n">
        <v>125.6</v>
      </c>
      <c r="C356" s="65" t="n"/>
      <c r="D356" s="65" t="n"/>
      <c r="E356" s="65" t="n"/>
    </row>
    <row r="357">
      <c r="A357" s="65" t="n">
        <v>6.6</v>
      </c>
      <c r="B357" s="65" t="n">
        <v>10</v>
      </c>
      <c r="C357" s="65" t="n"/>
      <c r="D357" s="65" t="n"/>
      <c r="E357" s="65" t="n"/>
    </row>
    <row r="358">
      <c r="A358" s="65" t="n">
        <v>6.7</v>
      </c>
      <c r="B358" s="65" t="n">
        <v>46</v>
      </c>
      <c r="C358" s="65" t="n"/>
      <c r="D358" s="65" t="n"/>
      <c r="E358" s="65" t="n"/>
    </row>
    <row r="359">
      <c r="A359" s="65" t="n">
        <v>6.5</v>
      </c>
      <c r="B359" s="65" t="n">
        <v>13</v>
      </c>
      <c r="C359" s="65" t="n"/>
      <c r="D359" s="65" t="n"/>
      <c r="E359" s="65" t="n"/>
    </row>
    <row r="360">
      <c r="A360" s="65" t="n">
        <v>6.7</v>
      </c>
      <c r="B360" s="65" t="n">
        <v>55</v>
      </c>
      <c r="C360" s="65" t="n"/>
      <c r="D360" s="65" t="n"/>
      <c r="E360" s="65" t="n"/>
    </row>
    <row r="361">
      <c r="A361" s="65" t="n">
        <v>6.6</v>
      </c>
      <c r="B361" s="65" t="n">
        <v>85</v>
      </c>
      <c r="C361" s="65" t="n"/>
      <c r="D361" s="65" t="n"/>
      <c r="E361" s="65" t="n"/>
    </row>
    <row r="362">
      <c r="A362" s="65" t="n">
        <v>6.9</v>
      </c>
      <c r="B362" s="65" t="n">
        <v>21</v>
      </c>
      <c r="C362" s="65" t="n"/>
      <c r="D362" s="65" t="n"/>
      <c r="E362" s="65" t="n"/>
    </row>
    <row r="363">
      <c r="A363" s="65" t="n">
        <v>7.2</v>
      </c>
      <c r="B363" s="65" t="n">
        <v>22</v>
      </c>
      <c r="C363" s="65" t="n"/>
      <c r="D363" s="65" t="n"/>
      <c r="E363" s="65" t="n"/>
    </row>
    <row r="364">
      <c r="A364" s="65" t="n">
        <v>6.7</v>
      </c>
      <c r="B364" s="65" t="n">
        <v>602.75</v>
      </c>
      <c r="C364" s="65" t="n"/>
      <c r="D364" s="65" t="n"/>
      <c r="E364" s="65" t="n"/>
    </row>
    <row r="365">
      <c r="A365" s="65" t="n">
        <v>7.6</v>
      </c>
      <c r="B365" s="65" t="n">
        <v>620.5599999999999</v>
      </c>
      <c r="C365" s="65" t="n"/>
      <c r="D365" s="65" t="n"/>
      <c r="E365" s="65" t="n"/>
    </row>
    <row r="366">
      <c r="A366" s="65" t="n">
        <v>7.6</v>
      </c>
      <c r="B366" s="65" t="n">
        <v>606.21</v>
      </c>
      <c r="C366" s="65" t="n"/>
      <c r="D366" s="65" t="n"/>
      <c r="E366" s="65" t="n"/>
    </row>
    <row r="367">
      <c r="A367" s="65" t="n">
        <v>6.8</v>
      </c>
      <c r="B367" s="65" t="n">
        <v>12.59</v>
      </c>
      <c r="C367" s="65" t="n"/>
      <c r="D367" s="65" t="n"/>
      <c r="E367" s="65" t="n"/>
    </row>
    <row r="368">
      <c r="A368" s="65" t="n">
        <v>6.5</v>
      </c>
      <c r="B368" s="65" t="n">
        <v>11</v>
      </c>
      <c r="C368" s="65" t="n"/>
      <c r="D368" s="65" t="n"/>
      <c r="E368" s="65" t="n"/>
    </row>
    <row r="369">
      <c r="A369" s="65" t="n">
        <v>6.7</v>
      </c>
      <c r="B369" s="65" t="n">
        <v>12</v>
      </c>
      <c r="C369" s="65" t="n"/>
      <c r="D369" s="65" t="n"/>
      <c r="E369" s="65" t="n"/>
    </row>
    <row r="370">
      <c r="A370" s="65" t="n">
        <v>6.9</v>
      </c>
      <c r="B370" s="65" t="n">
        <v>10</v>
      </c>
      <c r="C370" s="65" t="n"/>
      <c r="D370" s="65" t="n"/>
      <c r="E370" s="65" t="n"/>
    </row>
    <row r="371">
      <c r="A371" s="65" t="n">
        <v>6.9</v>
      </c>
      <c r="B371" s="65" t="n">
        <v>12</v>
      </c>
      <c r="C371" s="65" t="n"/>
      <c r="D371" s="65" t="n"/>
      <c r="E371" s="65" t="n"/>
    </row>
    <row r="372">
      <c r="A372" s="65" t="n">
        <v>6.6</v>
      </c>
      <c r="B372" s="65" t="n">
        <v>10</v>
      </c>
      <c r="C372" s="65" t="n"/>
      <c r="D372" s="65" t="n"/>
      <c r="E372" s="65" t="n"/>
    </row>
    <row r="373">
      <c r="A373" s="65" t="n">
        <v>6.8</v>
      </c>
      <c r="B373" s="65" t="n">
        <v>46</v>
      </c>
      <c r="C373" s="65" t="n"/>
      <c r="D373" s="65" t="n"/>
      <c r="E373" s="65" t="n"/>
    </row>
    <row r="374">
      <c r="A374" s="65" t="n">
        <v>6.5</v>
      </c>
      <c r="B374" s="65" t="n">
        <v>20</v>
      </c>
      <c r="C374" s="65" t="n"/>
      <c r="D374" s="65" t="n"/>
      <c r="E374" s="65" t="n"/>
    </row>
    <row r="375">
      <c r="A375" s="65" t="n">
        <v>7.5</v>
      </c>
      <c r="B375" s="65" t="n">
        <v>231</v>
      </c>
      <c r="C375" s="65" t="n"/>
      <c r="D375" s="65" t="n"/>
      <c r="E375" s="65" t="n"/>
    </row>
    <row r="376">
      <c r="A376" s="65" t="n">
        <v>7.1</v>
      </c>
      <c r="B376" s="65" t="n">
        <v>135</v>
      </c>
      <c r="C376" s="65" t="n"/>
      <c r="D376" s="65" t="n"/>
      <c r="E376" s="65" t="n"/>
    </row>
    <row r="377">
      <c r="A377" s="65" t="n">
        <v>6.6</v>
      </c>
      <c r="B377" s="65" t="n">
        <v>18</v>
      </c>
      <c r="C377" s="65" t="n"/>
      <c r="D377" s="65" t="n"/>
      <c r="E377" s="65" t="n"/>
    </row>
    <row r="378">
      <c r="A378" s="65" t="n">
        <v>6.6</v>
      </c>
      <c r="B378" s="65" t="n">
        <v>35</v>
      </c>
      <c r="C378" s="65" t="n"/>
      <c r="D378" s="65" t="n"/>
      <c r="E378" s="65" t="n"/>
    </row>
    <row r="379">
      <c r="A379" s="65" t="n">
        <v>6.7</v>
      </c>
      <c r="B379" s="65" t="n">
        <v>23</v>
      </c>
      <c r="C379" s="65" t="n"/>
      <c r="D379" s="65" t="n"/>
      <c r="E379" s="65" t="n"/>
    </row>
    <row r="380">
      <c r="A380" s="65" t="n">
        <v>6.5</v>
      </c>
      <c r="B380" s="65" t="n">
        <v>27</v>
      </c>
      <c r="C380" s="65" t="n"/>
      <c r="D380" s="65" t="n"/>
      <c r="E380" s="65" t="n"/>
    </row>
    <row r="381">
      <c r="A381" s="65" t="n">
        <v>7</v>
      </c>
      <c r="B381" s="65" t="n">
        <v>28.41</v>
      </c>
      <c r="C381" s="65" t="n"/>
      <c r="D381" s="65" t="n"/>
      <c r="E381" s="65" t="n"/>
    </row>
    <row r="382">
      <c r="A382" s="65" t="n">
        <v>8.300000000000001</v>
      </c>
      <c r="B382" s="65" t="n">
        <v>22.44</v>
      </c>
      <c r="C382" s="65" t="n"/>
      <c r="D382" s="65" t="n"/>
      <c r="E382" s="65" t="n"/>
    </row>
    <row r="383">
      <c r="A383" s="65" t="n">
        <v>6.7</v>
      </c>
      <c r="B383" s="65" t="n">
        <v>10</v>
      </c>
      <c r="C383" s="65" t="n"/>
      <c r="D383" s="65" t="n"/>
      <c r="E383" s="65" t="n"/>
    </row>
    <row r="384">
      <c r="A384" s="65" t="n">
        <v>6.5</v>
      </c>
      <c r="B384" s="65" t="n">
        <v>6.43</v>
      </c>
      <c r="C384" s="65" t="n"/>
      <c r="D384" s="65" t="n"/>
      <c r="E384" s="65" t="n"/>
    </row>
    <row r="385">
      <c r="A385" s="65" t="n">
        <v>6.6</v>
      </c>
      <c r="B385" s="65" t="n">
        <v>22</v>
      </c>
      <c r="C385" s="65" t="n"/>
      <c r="D385" s="65" t="n"/>
      <c r="E385" s="65" t="n"/>
    </row>
    <row r="386">
      <c r="A386" s="65" t="n">
        <v>7</v>
      </c>
      <c r="B386" s="65" t="n">
        <v>48</v>
      </c>
      <c r="C386" s="65" t="n"/>
      <c r="D386" s="65" t="n"/>
      <c r="E386" s="65" t="n"/>
    </row>
    <row r="387">
      <c r="A387" s="65" t="n">
        <v>6.9</v>
      </c>
      <c r="B387" s="65" t="n">
        <v>29</v>
      </c>
      <c r="C387" s="65" t="n"/>
      <c r="D387" s="65" t="n"/>
      <c r="E387" s="65" t="n"/>
    </row>
    <row r="388">
      <c r="A388" s="65" t="n">
        <v>7</v>
      </c>
      <c r="B388" s="65" t="n">
        <v>11</v>
      </c>
      <c r="C388" s="65" t="n"/>
      <c r="D388" s="65" t="n"/>
      <c r="E388" s="65" t="n"/>
    </row>
    <row r="389">
      <c r="A389" s="65" t="n">
        <v>6.5</v>
      </c>
      <c r="B389" s="65" t="n">
        <v>20</v>
      </c>
      <c r="C389" s="65" t="n"/>
      <c r="D389" s="65" t="n"/>
      <c r="E389" s="65" t="n"/>
    </row>
    <row r="390">
      <c r="A390" s="65" t="n">
        <v>6.7</v>
      </c>
      <c r="B390" s="65" t="n">
        <v>12</v>
      </c>
      <c r="C390" s="65" t="n"/>
      <c r="D390" s="65" t="n"/>
      <c r="E390" s="65" t="n"/>
    </row>
    <row r="391">
      <c r="A391" s="65" t="n">
        <v>6.5</v>
      </c>
      <c r="B391" s="65" t="n">
        <v>460</v>
      </c>
      <c r="C391" s="65" t="n"/>
      <c r="D391" s="65" t="n"/>
      <c r="E391" s="65" t="n"/>
    </row>
    <row r="392">
      <c r="A392" s="65" t="n">
        <v>7.8</v>
      </c>
      <c r="B392" s="65" t="n">
        <v>664</v>
      </c>
      <c r="C392" s="65" t="n"/>
      <c r="D392" s="65" t="n"/>
      <c r="E392" s="65" t="n"/>
    </row>
    <row r="393">
      <c r="A393" s="65" t="n">
        <v>6.8</v>
      </c>
      <c r="B393" s="65" t="n">
        <v>72.59999999999999</v>
      </c>
      <c r="C393" s="65" t="n"/>
      <c r="D393" s="65" t="n"/>
      <c r="E393" s="65" t="n"/>
    </row>
    <row r="394">
      <c r="A394" s="65" t="n">
        <v>6.8</v>
      </c>
      <c r="B394" s="65" t="n">
        <v>10</v>
      </c>
      <c r="C394" s="65" t="n"/>
      <c r="D394" s="65" t="n"/>
      <c r="E394" s="65" t="n"/>
    </row>
    <row r="395">
      <c r="A395" s="65" t="n">
        <v>6.9</v>
      </c>
      <c r="B395" s="65" t="n">
        <v>11.19</v>
      </c>
      <c r="C395" s="65" t="n"/>
      <c r="D395" s="65" t="n"/>
      <c r="E395" s="65" t="n"/>
    </row>
    <row r="396">
      <c r="A396" s="65" t="n">
        <v>6.8</v>
      </c>
      <c r="B396" s="65" t="n">
        <v>11</v>
      </c>
      <c r="C396" s="65" t="n"/>
      <c r="D396" s="65" t="n"/>
      <c r="E396" s="65" t="n"/>
    </row>
    <row r="397">
      <c r="A397" s="65" t="n">
        <v>6.8</v>
      </c>
      <c r="B397" s="65" t="n">
        <v>35</v>
      </c>
      <c r="C397" s="65" t="n"/>
      <c r="D397" s="65" t="n"/>
      <c r="E397" s="65" t="n"/>
    </row>
    <row r="398">
      <c r="A398" s="65" t="n">
        <v>7.3</v>
      </c>
      <c r="B398" s="65" t="n">
        <v>15</v>
      </c>
      <c r="C398" s="65" t="n"/>
      <c r="D398" s="65" t="n"/>
      <c r="E398" s="65" t="n"/>
    </row>
    <row r="399">
      <c r="A399" s="65" t="n">
        <v>7.1</v>
      </c>
      <c r="B399" s="65" t="n">
        <v>10</v>
      </c>
      <c r="C399" s="65" t="n"/>
      <c r="D399" s="65" t="n"/>
      <c r="E399" s="65" t="n"/>
    </row>
    <row r="400">
      <c r="A400" s="65" t="n">
        <v>7.5</v>
      </c>
      <c r="B400" s="65" t="n">
        <v>55</v>
      </c>
      <c r="C400" s="65" t="n"/>
      <c r="D400" s="65" t="n"/>
      <c r="E400" s="65" t="n"/>
    </row>
    <row r="401">
      <c r="A401" s="65" t="n">
        <v>6.8</v>
      </c>
      <c r="B401" s="65" t="n">
        <v>44</v>
      </c>
      <c r="C401" s="65" t="n"/>
      <c r="D401" s="65" t="n"/>
      <c r="E401" s="65" t="n"/>
    </row>
    <row r="402">
      <c r="A402" s="65" t="n">
        <v>6.7</v>
      </c>
      <c r="B402" s="65" t="n">
        <v>31</v>
      </c>
      <c r="C402" s="65" t="n"/>
      <c r="D402" s="65" t="n"/>
      <c r="E402" s="65" t="n"/>
    </row>
    <row r="403">
      <c r="A403" s="65" t="n">
        <v>6.7</v>
      </c>
      <c r="B403" s="65" t="n">
        <v>22.91</v>
      </c>
      <c r="C403" s="65" t="n"/>
      <c r="D403" s="65" t="n"/>
      <c r="E403" s="65" t="n"/>
    </row>
    <row r="404">
      <c r="A404" s="65" t="n">
        <v>6.6</v>
      </c>
      <c r="B404" s="65" t="n">
        <v>10</v>
      </c>
      <c r="C404" s="65" t="n"/>
      <c r="D404" s="65" t="n"/>
      <c r="E404" s="65" t="n"/>
    </row>
    <row r="405">
      <c r="A405" s="65" t="n">
        <v>7.8</v>
      </c>
      <c r="B405" s="65" t="n">
        <v>8.220000000000001</v>
      </c>
      <c r="C405" s="65" t="n"/>
      <c r="D405" s="65" t="n"/>
      <c r="E405" s="65" t="n"/>
    </row>
    <row r="406">
      <c r="A406" s="65" t="n">
        <v>6.5</v>
      </c>
      <c r="B406" s="65" t="n">
        <v>10</v>
      </c>
      <c r="C406" s="65" t="n"/>
      <c r="D406" s="65" t="n"/>
      <c r="E406" s="65" t="n"/>
    </row>
    <row r="407">
      <c r="A407" s="65" t="n">
        <v>6.5</v>
      </c>
      <c r="B407" s="65" t="n">
        <v>11</v>
      </c>
      <c r="C407" s="65" t="n"/>
      <c r="D407" s="65" t="n"/>
      <c r="E407" s="65" t="n"/>
    </row>
    <row r="408">
      <c r="A408" s="65" t="n">
        <v>7.5</v>
      </c>
      <c r="B408" s="65" t="n">
        <v>41</v>
      </c>
      <c r="C408" s="65" t="n"/>
      <c r="D408" s="65" t="n"/>
      <c r="E408" s="65" t="n"/>
    </row>
    <row r="409">
      <c r="A409" s="65" t="n">
        <v>7</v>
      </c>
      <c r="B409" s="65" t="n">
        <v>552.0599999999999</v>
      </c>
      <c r="C409" s="65" t="n"/>
      <c r="D409" s="65" t="n"/>
      <c r="E409" s="65" t="n"/>
    </row>
    <row r="410">
      <c r="A410" s="65" t="n">
        <v>6.7</v>
      </c>
      <c r="B410" s="65" t="n">
        <v>23</v>
      </c>
      <c r="C410" s="65" t="n"/>
      <c r="D410" s="65" t="n"/>
      <c r="E410" s="65" t="n"/>
    </row>
    <row r="411">
      <c r="A411" s="65" t="n">
        <v>6.7</v>
      </c>
      <c r="B411" s="65" t="n">
        <v>223</v>
      </c>
      <c r="C411" s="65" t="n"/>
      <c r="D411" s="65" t="n"/>
      <c r="E411" s="65" t="n"/>
    </row>
    <row r="412">
      <c r="A412" s="65" t="n">
        <v>6.8</v>
      </c>
      <c r="B412" s="65" t="n">
        <v>219.96</v>
      </c>
      <c r="C412" s="65" t="n"/>
      <c r="D412" s="65" t="n"/>
      <c r="E412" s="65" t="n"/>
    </row>
    <row r="413">
      <c r="A413" s="65" t="n">
        <v>6.5</v>
      </c>
      <c r="B413" s="65" t="n">
        <v>8</v>
      </c>
      <c r="C413" s="65" t="n"/>
      <c r="D413" s="65" t="n"/>
      <c r="E413" s="65" t="n"/>
    </row>
    <row r="414">
      <c r="A414" s="65" t="n">
        <v>6.6</v>
      </c>
      <c r="B414" s="65" t="n">
        <v>20</v>
      </c>
      <c r="C414" s="65" t="n"/>
      <c r="D414" s="65" t="n"/>
      <c r="E414" s="65" t="n"/>
    </row>
    <row r="415">
      <c r="A415" s="65" t="n">
        <v>6.6</v>
      </c>
      <c r="B415" s="65" t="n">
        <v>23</v>
      </c>
      <c r="C415" s="65" t="n"/>
      <c r="D415" s="65" t="n"/>
      <c r="E415" s="65" t="n"/>
    </row>
    <row r="416">
      <c r="A416" s="65" t="n">
        <v>6.6</v>
      </c>
      <c r="B416" s="65" t="n">
        <v>614</v>
      </c>
      <c r="C416" s="65" t="n"/>
      <c r="D416" s="65" t="n"/>
      <c r="E416" s="65" t="n"/>
    </row>
    <row r="417">
      <c r="A417" s="65" t="n">
        <v>6.8</v>
      </c>
      <c r="B417" s="65" t="n">
        <v>39</v>
      </c>
      <c r="C417" s="65" t="n"/>
      <c r="D417" s="65" t="n"/>
      <c r="E417" s="65" t="n"/>
    </row>
    <row r="418">
      <c r="A418" s="65" t="n">
        <v>6.5</v>
      </c>
      <c r="B418" s="65" t="n">
        <v>35</v>
      </c>
      <c r="C418" s="65" t="n"/>
      <c r="D418" s="65" t="n"/>
      <c r="E418" s="65" t="n"/>
    </row>
    <row r="419">
      <c r="A419" s="65" t="n">
        <v>6.7</v>
      </c>
      <c r="B419" s="65" t="n">
        <v>22</v>
      </c>
      <c r="C419" s="65" t="n"/>
      <c r="D419" s="65" t="n"/>
      <c r="E419" s="65" t="n"/>
    </row>
    <row r="420">
      <c r="A420" s="65" t="n">
        <v>7.1</v>
      </c>
      <c r="B420" s="65" t="n">
        <v>45</v>
      </c>
      <c r="C420" s="65" t="n"/>
      <c r="D420" s="65" t="n"/>
      <c r="E420" s="65" t="n"/>
    </row>
    <row r="421">
      <c r="A421" s="65" t="n">
        <v>6.6</v>
      </c>
      <c r="B421" s="65" t="n">
        <v>53.19</v>
      </c>
      <c r="C421" s="65" t="n"/>
      <c r="D421" s="65" t="n"/>
      <c r="E421" s="65" t="n"/>
    </row>
    <row r="422">
      <c r="A422" s="65" t="n">
        <v>7.1</v>
      </c>
      <c r="B422" s="65" t="n">
        <v>434</v>
      </c>
      <c r="C422" s="65" t="n"/>
      <c r="D422" s="65" t="n"/>
      <c r="E422" s="65" t="n"/>
    </row>
    <row r="423">
      <c r="A423" s="65" t="n">
        <v>7.3</v>
      </c>
      <c r="B423" s="65" t="n">
        <v>40</v>
      </c>
      <c r="C423" s="65" t="n"/>
      <c r="D423" s="65" t="n"/>
      <c r="E423" s="65" t="n"/>
    </row>
    <row r="424">
      <c r="A424" s="65" t="n">
        <v>6.7</v>
      </c>
      <c r="B424" s="65" t="n">
        <v>130</v>
      </c>
      <c r="C424" s="65" t="n"/>
      <c r="D424" s="65" t="n"/>
      <c r="E424" s="65" t="n"/>
    </row>
    <row r="425">
      <c r="A425" s="65" t="n">
        <v>6.8</v>
      </c>
      <c r="B425" s="65" t="n">
        <v>101</v>
      </c>
      <c r="C425" s="65" t="n"/>
      <c r="D425" s="65" t="n"/>
      <c r="E425" s="65" t="n"/>
    </row>
    <row r="426">
      <c r="A426" s="65" t="n">
        <v>6.9</v>
      </c>
      <c r="B426" s="65" t="n">
        <v>13</v>
      </c>
      <c r="C426" s="65" t="n"/>
      <c r="D426" s="65" t="n"/>
      <c r="E426" s="65" t="n"/>
    </row>
    <row r="427">
      <c r="A427" s="65" t="n">
        <v>6.9</v>
      </c>
      <c r="B427" s="65" t="n">
        <v>615.42</v>
      </c>
      <c r="C427" s="65" t="n"/>
      <c r="D427" s="65" t="n"/>
      <c r="E427" s="65" t="n"/>
    </row>
    <row r="428">
      <c r="A428" s="65" t="n">
        <v>6.5</v>
      </c>
      <c r="B428" s="65" t="n">
        <v>20</v>
      </c>
      <c r="C428" s="65" t="n"/>
      <c r="D428" s="65" t="n"/>
      <c r="E428" s="65" t="n"/>
    </row>
    <row r="429">
      <c r="A429" s="65" t="n">
        <v>6.9</v>
      </c>
      <c r="B429" s="65" t="n">
        <v>53</v>
      </c>
      <c r="C429" s="65" t="n"/>
      <c r="D429" s="65" t="n"/>
      <c r="E429" s="65" t="n"/>
    </row>
    <row r="430">
      <c r="A430" s="65" t="n">
        <v>6.5</v>
      </c>
      <c r="B430" s="65" t="n">
        <v>20</v>
      </c>
      <c r="C430" s="65" t="n"/>
      <c r="D430" s="65" t="n"/>
      <c r="E430" s="65" t="n"/>
    </row>
    <row r="431">
      <c r="A431" s="65" t="n">
        <v>6.7</v>
      </c>
      <c r="B431" s="65" t="n">
        <v>18</v>
      </c>
      <c r="C431" s="65" t="n"/>
      <c r="D431" s="65" t="n"/>
      <c r="E431" s="65" t="n"/>
    </row>
    <row r="432">
      <c r="A432" s="65" t="n">
        <v>6.9</v>
      </c>
      <c r="B432" s="65" t="n">
        <v>8</v>
      </c>
      <c r="C432" s="65" t="n"/>
      <c r="D432" s="65" t="n"/>
      <c r="E432" s="65" t="n"/>
    </row>
    <row r="433">
      <c r="A433" s="65" t="n">
        <v>7.9</v>
      </c>
      <c r="B433" s="65" t="n">
        <v>109</v>
      </c>
      <c r="C433" s="65" t="n"/>
      <c r="D433" s="65" t="n"/>
      <c r="E433" s="65" t="n"/>
    </row>
    <row r="434">
      <c r="A434" s="65" t="n">
        <v>6.7</v>
      </c>
      <c r="B434" s="65" t="n">
        <v>26.59</v>
      </c>
      <c r="C434" s="65" t="n"/>
      <c r="D434" s="65" t="n"/>
      <c r="E434" s="65" t="n"/>
    </row>
    <row r="435">
      <c r="A435" s="65" t="n">
        <v>6.5</v>
      </c>
      <c r="B435" s="65" t="n">
        <v>10</v>
      </c>
      <c r="C435" s="65" t="n"/>
      <c r="D435" s="65" t="n"/>
      <c r="E435" s="65" t="n"/>
    </row>
    <row r="436">
      <c r="A436" s="65" t="n">
        <v>6.9</v>
      </c>
      <c r="B436" s="65" t="n">
        <v>20</v>
      </c>
      <c r="C436" s="65" t="n"/>
      <c r="D436" s="65" t="n"/>
      <c r="E436" s="65" t="n"/>
    </row>
    <row r="437">
      <c r="A437" s="65" t="n">
        <v>6.9</v>
      </c>
      <c r="B437" s="65" t="n">
        <v>6.43</v>
      </c>
      <c r="C437" s="65" t="n"/>
      <c r="D437" s="65" t="n"/>
      <c r="E437" s="65" t="n"/>
    </row>
    <row r="438">
      <c r="A438" s="65" t="n">
        <v>6.5</v>
      </c>
      <c r="B438" s="65" t="n">
        <v>10</v>
      </c>
      <c r="C438" s="65" t="n"/>
      <c r="D438" s="65" t="n"/>
      <c r="E438" s="65" t="n"/>
    </row>
    <row r="439">
      <c r="A439" s="65" t="n">
        <v>6.6</v>
      </c>
      <c r="B439" s="65" t="n">
        <v>106</v>
      </c>
      <c r="C439" s="65" t="n"/>
      <c r="D439" s="65" t="n"/>
      <c r="E439" s="65" t="n"/>
    </row>
    <row r="440">
      <c r="A440" s="65" t="n">
        <v>6.5</v>
      </c>
      <c r="B440" s="65" t="n">
        <v>10</v>
      </c>
      <c r="C440" s="65" t="n"/>
      <c r="D440" s="65" t="n"/>
      <c r="E440" s="65" t="n"/>
    </row>
    <row r="441">
      <c r="A441" s="65" t="n">
        <v>7.5</v>
      </c>
      <c r="B441" s="65" t="n">
        <v>43.37</v>
      </c>
      <c r="C441" s="65" t="n"/>
      <c r="D441" s="65" t="n"/>
      <c r="E441" s="65" t="n"/>
    </row>
    <row r="442">
      <c r="A442" s="65" t="n">
        <v>6.6</v>
      </c>
      <c r="B442" s="65" t="n">
        <v>29</v>
      </c>
      <c r="C442" s="65" t="n"/>
      <c r="D442" s="65" t="n"/>
      <c r="E442" s="65" t="n"/>
    </row>
    <row r="443">
      <c r="A443" s="65" t="n">
        <v>7.2</v>
      </c>
      <c r="B443" s="65" t="n">
        <v>24</v>
      </c>
      <c r="C443" s="65" t="n"/>
      <c r="D443" s="65" t="n"/>
      <c r="E443" s="65" t="n"/>
    </row>
    <row r="444">
      <c r="A444" s="65" t="n">
        <v>6.6</v>
      </c>
      <c r="B444" s="65" t="n">
        <v>10</v>
      </c>
      <c r="C444" s="65" t="n"/>
      <c r="D444" s="65" t="n"/>
      <c r="E444" s="65" t="n"/>
    </row>
    <row r="445">
      <c r="A445" s="65" t="n">
        <v>7.4</v>
      </c>
      <c r="B445" s="65" t="n">
        <v>39</v>
      </c>
      <c r="C445" s="65" t="n"/>
      <c r="D445" s="65" t="n"/>
      <c r="E445" s="65" t="n"/>
    </row>
    <row r="446">
      <c r="A446" s="65" t="n">
        <v>7.6</v>
      </c>
      <c r="B446" s="65" t="n">
        <v>22.56</v>
      </c>
      <c r="C446" s="65" t="n"/>
      <c r="D446" s="65" t="n"/>
      <c r="E446" s="65" t="n"/>
    </row>
    <row r="447">
      <c r="A447" s="65" t="n">
        <v>6.6</v>
      </c>
      <c r="B447" s="65" t="n">
        <v>135</v>
      </c>
      <c r="C447" s="65" t="n"/>
      <c r="D447" s="65" t="n"/>
      <c r="E447" s="65" t="n"/>
    </row>
    <row r="448">
      <c r="A448" s="65" t="n">
        <v>6.5</v>
      </c>
      <c r="B448" s="65" t="n">
        <v>20</v>
      </c>
      <c r="C448" s="65" t="n"/>
      <c r="D448" s="65" t="n"/>
      <c r="E448" s="65" t="n"/>
    </row>
    <row r="449">
      <c r="A449" s="65" t="n">
        <v>7.1</v>
      </c>
      <c r="B449" s="65" t="n">
        <v>60.53</v>
      </c>
      <c r="C449" s="65" t="n"/>
      <c r="D449" s="65" t="n"/>
      <c r="E449" s="65" t="n"/>
    </row>
    <row r="450">
      <c r="A450" s="65" t="n">
        <v>7.7</v>
      </c>
      <c r="B450" s="65" t="n">
        <v>22.4</v>
      </c>
      <c r="C450" s="65" t="n"/>
      <c r="D450" s="65" t="n"/>
      <c r="E450" s="65" t="n"/>
    </row>
    <row r="451">
      <c r="A451" s="65" t="n">
        <v>6.5</v>
      </c>
      <c r="B451" s="65" t="n">
        <v>24.07</v>
      </c>
      <c r="C451" s="65" t="n"/>
      <c r="D451" s="65" t="n"/>
      <c r="E451" s="65" t="n"/>
    </row>
    <row r="452">
      <c r="A452" s="65" t="n">
        <v>6.9</v>
      </c>
      <c r="B452" s="65" t="n">
        <v>28.42</v>
      </c>
      <c r="C452" s="65" t="n"/>
      <c r="D452" s="65" t="n"/>
      <c r="E452" s="65" t="n"/>
    </row>
    <row r="453">
      <c r="A453" s="65" t="n">
        <v>8.199999999999999</v>
      </c>
      <c r="B453" s="65" t="n">
        <v>25</v>
      </c>
      <c r="C453" s="65" t="n"/>
      <c r="D453" s="65" t="n"/>
      <c r="E453" s="65" t="n"/>
    </row>
    <row r="454">
      <c r="A454" s="65" t="n">
        <v>6.7</v>
      </c>
      <c r="B454" s="65" t="n">
        <v>20</v>
      </c>
      <c r="C454" s="65" t="n"/>
      <c r="D454" s="65" t="n"/>
      <c r="E454" s="65" t="n"/>
    </row>
    <row r="455">
      <c r="A455" s="65" t="n">
        <v>6.8</v>
      </c>
      <c r="B455" s="65" t="n">
        <v>16.441</v>
      </c>
      <c r="C455" s="65" t="n"/>
      <c r="D455" s="65" t="n"/>
      <c r="E455" s="65" t="n"/>
    </row>
    <row r="456">
      <c r="A456" s="65" t="n">
        <v>6.5</v>
      </c>
      <c r="B456" s="65" t="n">
        <v>119</v>
      </c>
      <c r="C456" s="65" t="n"/>
      <c r="D456" s="65" t="n"/>
      <c r="E456" s="65" t="n"/>
    </row>
    <row r="457">
      <c r="A457" s="65" t="n">
        <v>6.5</v>
      </c>
      <c r="B457" s="65" t="n">
        <v>14.83</v>
      </c>
      <c r="C457" s="65" t="n"/>
      <c r="D457" s="65" t="n"/>
      <c r="E457" s="65" t="n"/>
    </row>
    <row r="458">
      <c r="A458" s="65" t="n">
        <v>6.9</v>
      </c>
      <c r="B458" s="65" t="n">
        <v>10</v>
      </c>
      <c r="C458" s="65" t="n"/>
      <c r="D458" s="65" t="n"/>
      <c r="E458" s="65" t="n"/>
    </row>
    <row r="459">
      <c r="A459" s="65" t="n">
        <v>6.5</v>
      </c>
      <c r="B459" s="65" t="n">
        <v>122</v>
      </c>
      <c r="C459" s="65" t="n"/>
      <c r="D459" s="65" t="n"/>
      <c r="E459" s="65" t="n"/>
    </row>
    <row r="460">
      <c r="A460" s="65" t="n">
        <v>6.5</v>
      </c>
      <c r="B460" s="65" t="n">
        <v>44.26</v>
      </c>
      <c r="C460" s="65" t="n"/>
      <c r="D460" s="65" t="n"/>
      <c r="E460" s="65" t="n"/>
    </row>
    <row r="461">
      <c r="A461" s="65" t="n">
        <v>6.5</v>
      </c>
      <c r="B461" s="65" t="n">
        <v>187</v>
      </c>
      <c r="C461" s="65" t="n"/>
      <c r="D461" s="65" t="n"/>
      <c r="E461" s="65" t="n"/>
    </row>
    <row r="462">
      <c r="A462" s="65" t="n">
        <v>6.5</v>
      </c>
      <c r="B462" s="65" t="n">
        <v>371</v>
      </c>
      <c r="C462" s="65" t="n"/>
      <c r="D462" s="65" t="n"/>
      <c r="E462" s="65" t="n"/>
    </row>
    <row r="463">
      <c r="A463" s="65" t="n">
        <v>7.7</v>
      </c>
      <c r="B463" s="65" t="n">
        <v>10</v>
      </c>
      <c r="C463" s="65" t="n"/>
      <c r="D463" s="65" t="n"/>
      <c r="E463" s="65" t="n"/>
    </row>
    <row r="464">
      <c r="A464" s="65" t="n">
        <v>6.9</v>
      </c>
      <c r="B464" s="65" t="n">
        <v>9.970000000000001</v>
      </c>
      <c r="C464" s="65" t="n"/>
      <c r="D464" s="65" t="n"/>
      <c r="E464" s="65" t="n"/>
    </row>
    <row r="465">
      <c r="A465" s="65" t="n">
        <v>6.6</v>
      </c>
      <c r="B465" s="65" t="n">
        <v>27</v>
      </c>
      <c r="C465" s="65" t="n"/>
      <c r="D465" s="65" t="n"/>
      <c r="E465" s="65" t="n"/>
    </row>
    <row r="466">
      <c r="A466" s="65" t="n">
        <v>7.1</v>
      </c>
      <c r="B466" s="65" t="n">
        <v>35</v>
      </c>
      <c r="C466" s="65" t="n"/>
      <c r="D466" s="65" t="n"/>
      <c r="E466" s="65" t="n"/>
    </row>
    <row r="467">
      <c r="A467" s="65" t="n">
        <v>6.6</v>
      </c>
      <c r="B467" s="65" t="n">
        <v>9.449999999999999</v>
      </c>
      <c r="C467" s="65" t="n"/>
      <c r="D467" s="65" t="n"/>
      <c r="E467" s="65" t="n"/>
    </row>
    <row r="468">
      <c r="A468" s="65" t="n">
        <v>6.8</v>
      </c>
      <c r="B468" s="65" t="n">
        <v>35</v>
      </c>
      <c r="C468" s="65" t="n"/>
      <c r="D468" s="65" t="n"/>
      <c r="E468" s="65" t="n"/>
    </row>
    <row r="469">
      <c r="A469" s="65" t="n">
        <v>7.1</v>
      </c>
      <c r="B469" s="65" t="n">
        <v>19.04</v>
      </c>
      <c r="C469" s="65" t="n"/>
      <c r="D469" s="65" t="n"/>
      <c r="E469" s="65" t="n"/>
    </row>
    <row r="470">
      <c r="A470" s="65" t="n">
        <v>6.6</v>
      </c>
      <c r="B470" s="65" t="n">
        <v>40</v>
      </c>
      <c r="C470" s="65" t="n"/>
      <c r="D470" s="65" t="n"/>
      <c r="E470" s="65" t="n"/>
    </row>
    <row r="471">
      <c r="A471" s="65" t="n">
        <v>6.7</v>
      </c>
      <c r="B471" s="65" t="n">
        <v>573</v>
      </c>
      <c r="C471" s="65" t="n"/>
      <c r="D471" s="65" t="n"/>
      <c r="E471" s="65" t="n"/>
    </row>
    <row r="472">
      <c r="A472" s="65" t="n">
        <v>6.5</v>
      </c>
      <c r="B472" s="65" t="n">
        <v>41.54</v>
      </c>
      <c r="C472" s="65" t="n"/>
      <c r="D472" s="65" t="n"/>
      <c r="E472" s="65" t="n"/>
    </row>
    <row r="473">
      <c r="A473" s="65" t="n">
        <v>6.8</v>
      </c>
      <c r="B473" s="65" t="n">
        <v>12</v>
      </c>
      <c r="C473" s="65" t="n"/>
      <c r="D473" s="65" t="n"/>
      <c r="E473" s="65" t="n"/>
    </row>
    <row r="474">
      <c r="A474" s="65" t="n">
        <v>7.1</v>
      </c>
      <c r="B474" s="65" t="n">
        <v>40</v>
      </c>
      <c r="C474" s="65" t="n"/>
      <c r="D474" s="65" t="n"/>
      <c r="E474" s="65" t="n"/>
    </row>
    <row r="475">
      <c r="A475" s="65" t="n">
        <v>7.7</v>
      </c>
      <c r="B475" s="65" t="n">
        <v>15</v>
      </c>
      <c r="C475" s="65" t="n"/>
      <c r="D475" s="65" t="n"/>
      <c r="E475" s="65" t="n"/>
    </row>
    <row r="476">
      <c r="A476" s="65" t="n">
        <v>6.5</v>
      </c>
      <c r="B476" s="65" t="n">
        <v>20</v>
      </c>
      <c r="C476" s="65" t="n"/>
      <c r="D476" s="65" t="n"/>
      <c r="E476" s="65" t="n"/>
    </row>
    <row r="477">
      <c r="A477" s="65" t="n">
        <v>6.5</v>
      </c>
      <c r="B477" s="65" t="n">
        <v>402</v>
      </c>
      <c r="C477" s="65" t="n"/>
      <c r="D477" s="65" t="n"/>
      <c r="E477" s="65" t="n"/>
    </row>
    <row r="478">
      <c r="A478" s="65" t="n">
        <v>6.5</v>
      </c>
      <c r="B478" s="65" t="n">
        <v>112</v>
      </c>
      <c r="C478" s="65" t="n"/>
      <c r="D478" s="65" t="n"/>
      <c r="E478" s="65" t="n"/>
    </row>
    <row r="479">
      <c r="A479" s="65" t="n">
        <v>7</v>
      </c>
      <c r="B479" s="65" t="n">
        <v>29</v>
      </c>
      <c r="C479" s="65" t="n"/>
      <c r="D479" s="65" t="n"/>
      <c r="E479" s="65" t="n"/>
    </row>
    <row r="480">
      <c r="A480" s="65" t="n">
        <v>6.5</v>
      </c>
      <c r="B480" s="65" t="n">
        <v>8.199999999999999</v>
      </c>
      <c r="C480" s="65" t="n"/>
      <c r="D480" s="65" t="n"/>
      <c r="E480" s="65" t="n"/>
    </row>
    <row r="481">
      <c r="A481" s="65" t="n">
        <v>6.7</v>
      </c>
      <c r="B481" s="65" t="n">
        <v>12</v>
      </c>
      <c r="C481" s="65" t="n"/>
      <c r="D481" s="65" t="n"/>
      <c r="E481" s="65" t="n"/>
    </row>
    <row r="482">
      <c r="A482" s="65" t="n">
        <v>6.5</v>
      </c>
      <c r="B482" s="65" t="n">
        <v>17</v>
      </c>
      <c r="C482" s="65" t="n"/>
      <c r="D482" s="65" t="n"/>
      <c r="E482" s="65" t="n"/>
    </row>
    <row r="483">
      <c r="A483" s="65" t="n">
        <v>7.3</v>
      </c>
      <c r="B483" s="65" t="n">
        <v>11</v>
      </c>
      <c r="C483" s="65" t="n"/>
      <c r="D483" s="65" t="n"/>
      <c r="E483" s="65" t="n"/>
    </row>
    <row r="484">
      <c r="A484" s="65" t="n">
        <v>6.6</v>
      </c>
      <c r="B484" s="65" t="n">
        <v>56</v>
      </c>
      <c r="C484" s="65" t="n"/>
      <c r="D484" s="65" t="n"/>
      <c r="E484" s="65" t="n"/>
    </row>
    <row r="485">
      <c r="A485" s="65" t="n">
        <v>7.3</v>
      </c>
      <c r="B485" s="65" t="n">
        <v>385.5</v>
      </c>
      <c r="C485" s="65" t="n"/>
      <c r="D485" s="65" t="n"/>
      <c r="E485" s="65" t="n"/>
    </row>
    <row r="486">
      <c r="A486" s="65" t="n">
        <v>6.6</v>
      </c>
      <c r="B486" s="65" t="n">
        <v>10</v>
      </c>
      <c r="C486" s="65" t="n"/>
      <c r="D486" s="65" t="n"/>
      <c r="E486" s="65" t="n"/>
    </row>
    <row r="487">
      <c r="A487" s="65" t="n">
        <v>6.5</v>
      </c>
      <c r="B487" s="65" t="n">
        <v>30</v>
      </c>
      <c r="C487" s="65" t="n"/>
      <c r="D487" s="65" t="n"/>
      <c r="E487" s="65" t="n"/>
    </row>
    <row r="488">
      <c r="A488" s="65" t="n">
        <v>6.7</v>
      </c>
      <c r="B488" s="65" t="n">
        <v>9</v>
      </c>
      <c r="C488" s="65" t="n"/>
      <c r="D488" s="65" t="n"/>
      <c r="E488" s="65" t="n"/>
    </row>
    <row r="489">
      <c r="A489" s="65" t="n">
        <v>6.7</v>
      </c>
      <c r="B489" s="65" t="n">
        <v>624</v>
      </c>
      <c r="C489" s="65" t="n"/>
      <c r="D489" s="65" t="n"/>
      <c r="E489" s="65" t="n"/>
    </row>
    <row r="490">
      <c r="A490" s="65" t="n">
        <v>8.300000000000001</v>
      </c>
      <c r="B490" s="65" t="n">
        <v>598.1</v>
      </c>
      <c r="C490" s="65" t="n"/>
      <c r="D490" s="65" t="n"/>
      <c r="E490" s="65" t="n"/>
    </row>
    <row r="491">
      <c r="A491" s="65" t="n">
        <v>7.4</v>
      </c>
      <c r="B491" s="65" t="n">
        <v>173.7</v>
      </c>
      <c r="C491" s="65" t="n"/>
      <c r="D491" s="65" t="n"/>
      <c r="E491" s="65" t="n"/>
    </row>
    <row r="492">
      <c r="A492" s="65" t="n">
        <v>6.8</v>
      </c>
      <c r="B492" s="65" t="n">
        <v>602.2</v>
      </c>
      <c r="C492" s="65" t="n"/>
      <c r="D492" s="65" t="n"/>
      <c r="E492" s="65" t="n"/>
    </row>
    <row r="493">
      <c r="A493" s="65" t="n">
        <v>6.5</v>
      </c>
      <c r="B493" s="65" t="n">
        <v>10</v>
      </c>
      <c r="C493" s="65" t="n"/>
      <c r="D493" s="65" t="n"/>
      <c r="E493" s="65" t="n"/>
    </row>
    <row r="494">
      <c r="A494" s="65" t="n">
        <v>6.6</v>
      </c>
      <c r="B494" s="65" t="n">
        <v>14</v>
      </c>
      <c r="C494" s="65" t="n"/>
      <c r="D494" s="65" t="n"/>
      <c r="E494" s="65" t="n"/>
    </row>
    <row r="495">
      <c r="A495" s="65" t="n">
        <v>7.2</v>
      </c>
      <c r="B495" s="65" t="n">
        <v>110</v>
      </c>
      <c r="C495" s="65" t="n"/>
      <c r="D495" s="65" t="n"/>
      <c r="E495" s="65" t="n"/>
    </row>
    <row r="496">
      <c r="A496" s="65" t="n">
        <v>6.6</v>
      </c>
      <c r="B496" s="65" t="n">
        <v>13</v>
      </c>
      <c r="C496" s="65" t="n"/>
      <c r="D496" s="65" t="n"/>
      <c r="E496" s="65" t="n"/>
    </row>
    <row r="497">
      <c r="A497" s="65" t="n">
        <v>7.7</v>
      </c>
      <c r="B497" s="65" t="n">
        <v>80</v>
      </c>
      <c r="C497" s="65" t="n"/>
      <c r="D497" s="65" t="n"/>
      <c r="E497" s="65" t="n"/>
    </row>
    <row r="498">
      <c r="A498" s="65" t="n">
        <v>6.6</v>
      </c>
      <c r="B498" s="65" t="n">
        <v>31</v>
      </c>
      <c r="C498" s="65" t="n"/>
      <c r="D498" s="65" t="n"/>
      <c r="E498" s="65" t="n"/>
    </row>
    <row r="499">
      <c r="A499" s="65" t="n">
        <v>7</v>
      </c>
      <c r="B499" s="65" t="n">
        <v>66</v>
      </c>
      <c r="C499" s="65" t="n"/>
      <c r="D499" s="65" t="n"/>
      <c r="E499" s="65" t="n"/>
    </row>
    <row r="500">
      <c r="A500" s="65" t="n">
        <v>6.5</v>
      </c>
      <c r="B500" s="65" t="n">
        <v>28</v>
      </c>
      <c r="C500" s="65" t="n"/>
      <c r="D500" s="65" t="n"/>
      <c r="E500" s="65" t="n"/>
    </row>
    <row r="501">
      <c r="A501" s="65" t="n">
        <v>6.5</v>
      </c>
      <c r="B501" s="65" t="n">
        <v>29</v>
      </c>
      <c r="C501" s="65" t="n"/>
      <c r="D501" s="65" t="n"/>
      <c r="E501" s="65" t="n"/>
    </row>
    <row r="502">
      <c r="A502" s="65" t="n">
        <v>6.9</v>
      </c>
      <c r="B502" s="65" t="n">
        <v>41</v>
      </c>
      <c r="C502" s="65" t="n"/>
      <c r="D502" s="65" t="n"/>
      <c r="E502" s="65" t="n"/>
    </row>
    <row r="503">
      <c r="A503" s="65" t="n">
        <v>6.6</v>
      </c>
      <c r="B503" s="65" t="n">
        <v>11</v>
      </c>
      <c r="C503" s="65" t="n"/>
      <c r="D503" s="65" t="n"/>
      <c r="E503" s="65" t="n"/>
    </row>
    <row r="504">
      <c r="A504" s="65" t="n">
        <v>6.6</v>
      </c>
      <c r="B504" s="65" t="n">
        <v>18</v>
      </c>
      <c r="C504" s="65" t="n"/>
      <c r="D504" s="65" t="n"/>
      <c r="E504" s="65" t="n"/>
    </row>
    <row r="505">
      <c r="A505" s="65" t="n">
        <v>6.9</v>
      </c>
      <c r="B505" s="65" t="n">
        <v>145</v>
      </c>
      <c r="C505" s="65" t="n"/>
      <c r="D505" s="65" t="n"/>
      <c r="E505" s="65" t="n"/>
    </row>
    <row r="506">
      <c r="A506" s="65" t="n">
        <v>7.1</v>
      </c>
      <c r="B506" s="65" t="n">
        <v>21</v>
      </c>
      <c r="C506" s="65" t="n"/>
      <c r="D506" s="65" t="n"/>
      <c r="E506" s="65" t="n"/>
    </row>
    <row r="507">
      <c r="A507" s="65" t="n">
        <v>6.8</v>
      </c>
      <c r="B507" s="65" t="n">
        <v>12</v>
      </c>
      <c r="C507" s="65" t="n"/>
      <c r="D507" s="65" t="n"/>
      <c r="E507" s="65" t="n"/>
    </row>
    <row r="508">
      <c r="A508" s="65" t="n">
        <v>6.7</v>
      </c>
      <c r="B508" s="65" t="n">
        <v>11</v>
      </c>
      <c r="C508" s="65" t="n"/>
      <c r="D508" s="65" t="n"/>
      <c r="E508" s="65" t="n"/>
    </row>
    <row r="509">
      <c r="A509" s="65" t="n">
        <v>7</v>
      </c>
      <c r="B509" s="65" t="n">
        <v>8.800000000000001</v>
      </c>
      <c r="C509" s="65" t="n"/>
      <c r="D509" s="65" t="n"/>
      <c r="E509" s="65" t="n"/>
    </row>
    <row r="510">
      <c r="A510" s="65" t="n">
        <v>7.1</v>
      </c>
      <c r="B510" s="65" t="n">
        <v>10</v>
      </c>
      <c r="C510" s="65" t="n"/>
      <c r="D510" s="65" t="n"/>
      <c r="E510" s="65" t="n"/>
    </row>
    <row r="511">
      <c r="A511" s="65" t="n">
        <v>8</v>
      </c>
      <c r="B511" s="65" t="n">
        <v>24</v>
      </c>
      <c r="C511" s="65" t="n"/>
      <c r="D511" s="65" t="n"/>
      <c r="E511" s="65" t="n"/>
    </row>
    <row r="512">
      <c r="A512" s="65" t="n">
        <v>6.9</v>
      </c>
      <c r="B512" s="65" t="n">
        <v>107</v>
      </c>
      <c r="C512" s="65" t="n"/>
      <c r="D512" s="65" t="n"/>
      <c r="E512" s="65" t="n"/>
    </row>
    <row r="513">
      <c r="A513" s="65" t="n">
        <v>6.8</v>
      </c>
      <c r="B513" s="65" t="n">
        <v>45</v>
      </c>
      <c r="C513" s="65" t="n"/>
      <c r="D513" s="65" t="n"/>
      <c r="E513" s="65" t="n"/>
    </row>
    <row r="514">
      <c r="A514" s="65" t="n">
        <v>7.5</v>
      </c>
      <c r="B514" s="65" t="n">
        <v>8.699999999999999</v>
      </c>
      <c r="C514" s="65" t="n"/>
      <c r="D514" s="65" t="n"/>
      <c r="E514" s="65" t="n"/>
    </row>
    <row r="515">
      <c r="A515" s="65" t="n">
        <v>6.7</v>
      </c>
      <c r="B515" s="65" t="n">
        <v>200.7</v>
      </c>
      <c r="C515" s="65" t="n"/>
      <c r="D515" s="65" t="n"/>
      <c r="E515" s="65" t="n"/>
    </row>
    <row r="516">
      <c r="A516" s="65" t="n">
        <v>7.1</v>
      </c>
      <c r="B516" s="65" t="n">
        <v>155</v>
      </c>
      <c r="C516" s="65" t="n"/>
      <c r="D516" s="65" t="n"/>
      <c r="E516" s="65" t="n"/>
    </row>
    <row r="517">
      <c r="A517" s="65" t="n">
        <v>7.3</v>
      </c>
      <c r="B517" s="65" t="n">
        <v>31</v>
      </c>
      <c r="C517" s="65" t="n"/>
      <c r="D517" s="65" t="n"/>
      <c r="E517" s="65" t="n"/>
    </row>
    <row r="518">
      <c r="A518" s="65" t="n">
        <v>6.5</v>
      </c>
      <c r="B518" s="65" t="n">
        <v>20</v>
      </c>
      <c r="C518" s="65" t="n"/>
      <c r="D518" s="65" t="n"/>
      <c r="E518" s="65" t="n"/>
    </row>
    <row r="519">
      <c r="A519" s="65" t="n">
        <v>6.8</v>
      </c>
      <c r="B519" s="65" t="n">
        <v>13.7</v>
      </c>
      <c r="C519" s="65" t="n"/>
      <c r="D519" s="65" t="n"/>
      <c r="E519" s="65" t="n"/>
    </row>
    <row r="520">
      <c r="A520" s="65" t="n">
        <v>7.4</v>
      </c>
      <c r="B520" s="65" t="n">
        <v>24</v>
      </c>
      <c r="C520" s="65" t="n"/>
      <c r="D520" s="65" t="n"/>
      <c r="E520" s="65" t="n"/>
    </row>
    <row r="521">
      <c r="A521" s="65" t="n">
        <v>7.8</v>
      </c>
      <c r="B521" s="65" t="n">
        <v>14</v>
      </c>
      <c r="C521" s="65" t="n"/>
      <c r="D521" s="65" t="n"/>
      <c r="E521" s="65" t="n"/>
    </row>
    <row r="522">
      <c r="A522" s="65" t="n">
        <v>6.5</v>
      </c>
      <c r="B522" s="65" t="n">
        <v>17</v>
      </c>
      <c r="C522" s="65" t="n"/>
      <c r="D522" s="65" t="n"/>
      <c r="E522" s="65" t="n"/>
    </row>
    <row r="523">
      <c r="A523" s="65" t="n">
        <v>6.6</v>
      </c>
      <c r="B523" s="65" t="n">
        <v>13</v>
      </c>
      <c r="C523" s="65" t="n"/>
      <c r="D523" s="65" t="n"/>
      <c r="E523" s="65" t="n"/>
    </row>
    <row r="524">
      <c r="A524" s="65" t="n">
        <v>7.3</v>
      </c>
      <c r="B524" s="65" t="n">
        <v>170</v>
      </c>
      <c r="C524" s="65" t="n"/>
      <c r="D524" s="65" t="n"/>
      <c r="E524" s="65" t="n"/>
    </row>
    <row r="525">
      <c r="A525" s="65" t="n">
        <v>7.6</v>
      </c>
      <c r="B525" s="65" t="n">
        <v>35</v>
      </c>
      <c r="C525" s="65" t="n"/>
      <c r="D525" s="65" t="n"/>
      <c r="E525" s="65" t="n"/>
    </row>
    <row r="526">
      <c r="A526" s="65" t="n">
        <v>7.6</v>
      </c>
      <c r="B526" s="65" t="n">
        <v>28</v>
      </c>
      <c r="C526" s="65" t="n"/>
      <c r="D526" s="65" t="n"/>
      <c r="E526" s="65" t="n"/>
    </row>
    <row r="527">
      <c r="A527" s="65" t="n">
        <v>7.3</v>
      </c>
      <c r="B527" s="65" t="n">
        <v>28</v>
      </c>
      <c r="C527" s="65" t="n"/>
      <c r="D527" s="65" t="n"/>
      <c r="E527" s="65" t="n"/>
    </row>
    <row r="528">
      <c r="A528" s="65" t="n">
        <v>6.6</v>
      </c>
      <c r="B528" s="65" t="n">
        <v>91.09999999999999</v>
      </c>
      <c r="C528" s="65" t="n"/>
      <c r="D528" s="65" t="n"/>
      <c r="E528" s="65" t="n"/>
    </row>
    <row r="529">
      <c r="A529" s="65" t="n">
        <v>7.7</v>
      </c>
      <c r="B529" s="65" t="n">
        <v>583.2</v>
      </c>
      <c r="C529" s="65" t="n"/>
      <c r="D529" s="65" t="n"/>
      <c r="E529" s="65" t="n"/>
    </row>
    <row r="530">
      <c r="A530" s="65" t="n">
        <v>6.5</v>
      </c>
      <c r="B530" s="65" t="n">
        <v>41</v>
      </c>
      <c r="C530" s="65" t="n"/>
      <c r="D530" s="65" t="n"/>
      <c r="E530" s="65" t="n"/>
    </row>
    <row r="531">
      <c r="A531" s="65" t="n">
        <v>6.6</v>
      </c>
      <c r="B531" s="65" t="n">
        <v>134.7</v>
      </c>
      <c r="C531" s="65" t="n"/>
      <c r="D531" s="65" t="n"/>
      <c r="E531" s="65" t="n"/>
    </row>
    <row r="532">
      <c r="A532" s="65" t="n">
        <v>6.7</v>
      </c>
      <c r="B532" s="65" t="n">
        <v>16</v>
      </c>
      <c r="C532" s="65" t="n"/>
      <c r="D532" s="65" t="n"/>
      <c r="E532" s="65" t="n"/>
    </row>
    <row r="533">
      <c r="A533" s="65" t="n">
        <v>6.8</v>
      </c>
      <c r="B533" s="65" t="n">
        <v>198</v>
      </c>
      <c r="C533" s="65" t="n"/>
      <c r="D533" s="65" t="n"/>
      <c r="E533" s="65" t="n"/>
    </row>
    <row r="534">
      <c r="A534" s="65" t="n">
        <v>6.7</v>
      </c>
      <c r="B534" s="65" t="n">
        <v>29</v>
      </c>
      <c r="C534" s="65" t="n"/>
      <c r="D534" s="65" t="n"/>
      <c r="E534" s="65" t="n"/>
    </row>
    <row r="535">
      <c r="A535" s="65" t="n">
        <v>7</v>
      </c>
      <c r="B535" s="65" t="n">
        <v>13</v>
      </c>
      <c r="C535" s="65" t="n"/>
      <c r="D535" s="65" t="n"/>
      <c r="E535" s="65" t="n"/>
    </row>
    <row r="536">
      <c r="A536" s="65" t="n">
        <v>6.5</v>
      </c>
      <c r="B536" s="65" t="n">
        <v>20</v>
      </c>
      <c r="C536" s="65" t="n"/>
      <c r="D536" s="65" t="n"/>
      <c r="E536" s="65" t="n"/>
    </row>
    <row r="537">
      <c r="A537" s="65" t="n">
        <v>8.199999999999999</v>
      </c>
      <c r="B537" s="65" t="n">
        <v>25.1</v>
      </c>
      <c r="C537" s="65" t="n"/>
      <c r="D537" s="65" t="n"/>
      <c r="E537" s="65" t="n"/>
    </row>
    <row r="538">
      <c r="A538" s="65" t="n">
        <v>8.6</v>
      </c>
      <c r="B538" s="65" t="n">
        <v>20</v>
      </c>
      <c r="C538" s="65" t="n"/>
      <c r="D538" s="65" t="n"/>
      <c r="E538" s="65" t="n"/>
    </row>
    <row r="539">
      <c r="A539" s="65" t="n">
        <v>7.1</v>
      </c>
      <c r="B539" s="65" t="n">
        <v>40.7</v>
      </c>
      <c r="C539" s="65" t="n"/>
      <c r="D539" s="65" t="n"/>
      <c r="E539" s="65" t="n"/>
    </row>
    <row r="540">
      <c r="A540" s="65" t="n">
        <v>6.6</v>
      </c>
      <c r="B540" s="65" t="n">
        <v>118</v>
      </c>
      <c r="C540" s="65" t="n"/>
      <c r="D540" s="65" t="n"/>
      <c r="E540" s="65" t="n"/>
    </row>
    <row r="541">
      <c r="A541" s="65" t="n">
        <v>7.4</v>
      </c>
      <c r="B541" s="65" t="n">
        <v>20</v>
      </c>
      <c r="C541" s="65" t="n"/>
      <c r="D541" s="65" t="n"/>
      <c r="E541" s="65" t="n"/>
    </row>
    <row r="542">
      <c r="A542" s="65" t="n">
        <v>6.7</v>
      </c>
      <c r="B542" s="65" t="n">
        <v>12</v>
      </c>
      <c r="C542" s="65" t="n"/>
      <c r="D542" s="65" t="n"/>
      <c r="E542" s="65" t="n"/>
    </row>
    <row r="543">
      <c r="A543" s="65" t="n">
        <v>6.7</v>
      </c>
      <c r="B543" s="65" t="n">
        <v>11</v>
      </c>
      <c r="C543" s="65" t="n"/>
      <c r="D543" s="65" t="n"/>
      <c r="E543" s="65" t="n"/>
    </row>
    <row r="544">
      <c r="A544" s="65" t="n">
        <v>7.1</v>
      </c>
      <c r="B544" s="65" t="n">
        <v>23</v>
      </c>
      <c r="C544" s="65" t="n"/>
      <c r="D544" s="65" t="n"/>
      <c r="E544" s="65" t="n"/>
    </row>
    <row r="545">
      <c r="A545" s="65" t="n">
        <v>7.2</v>
      </c>
      <c r="B545" s="65" t="n">
        <v>19</v>
      </c>
      <c r="C545" s="65" t="n"/>
      <c r="D545" s="65" t="n"/>
      <c r="E545" s="65" t="n"/>
    </row>
    <row r="546">
      <c r="A546" s="65" t="n">
        <v>6.6</v>
      </c>
      <c r="B546" s="65" t="n">
        <v>15</v>
      </c>
      <c r="C546" s="65" t="n"/>
      <c r="D546" s="65" t="n"/>
      <c r="E546" s="65" t="n"/>
    </row>
    <row r="547">
      <c r="A547" s="65" t="n">
        <v>7.1</v>
      </c>
      <c r="B547" s="65" t="n">
        <v>135</v>
      </c>
      <c r="C547" s="65" t="n"/>
      <c r="D547" s="65" t="n"/>
      <c r="E547" s="65" t="n"/>
    </row>
    <row r="548">
      <c r="A548" s="65" t="n">
        <v>6.5</v>
      </c>
      <c r="B548" s="65" t="n">
        <v>59</v>
      </c>
      <c r="C548" s="65" t="n"/>
      <c r="D548" s="65" t="n"/>
      <c r="E548" s="65" t="n"/>
    </row>
    <row r="549">
      <c r="A549" s="65" t="n">
        <v>6.9</v>
      </c>
      <c r="B549" s="65" t="n">
        <v>24</v>
      </c>
      <c r="C549" s="65" t="n"/>
      <c r="D549" s="65" t="n"/>
      <c r="E549" s="65" t="n"/>
    </row>
    <row r="550">
      <c r="A550" s="65" t="n">
        <v>7.1</v>
      </c>
      <c r="B550" s="65" t="n">
        <v>18</v>
      </c>
      <c r="C550" s="65" t="n"/>
      <c r="D550" s="65" t="n"/>
      <c r="E550" s="65" t="n"/>
    </row>
    <row r="551">
      <c r="A551" s="65" t="n">
        <v>6.5</v>
      </c>
      <c r="B551" s="65" t="n">
        <v>37</v>
      </c>
      <c r="C551" s="65" t="n"/>
      <c r="D551" s="65" t="n"/>
      <c r="E551" s="65" t="n"/>
    </row>
    <row r="552">
      <c r="A552" s="65" t="n">
        <v>6.9</v>
      </c>
      <c r="B552" s="65" t="n">
        <v>50</v>
      </c>
      <c r="C552" s="65" t="n"/>
      <c r="D552" s="65" t="n"/>
      <c r="E552" s="65" t="n"/>
    </row>
    <row r="553">
      <c r="A553" s="65" t="n">
        <v>6.7</v>
      </c>
      <c r="B553" s="65" t="n">
        <v>30</v>
      </c>
      <c r="C553" s="65" t="n"/>
      <c r="D553" s="65" t="n"/>
      <c r="E553" s="65" t="n"/>
    </row>
    <row r="554">
      <c r="A554" s="65" t="n">
        <v>6.7</v>
      </c>
      <c r="B554" s="65" t="n">
        <v>91</v>
      </c>
      <c r="C554" s="65" t="n"/>
      <c r="D554" s="65" t="n"/>
      <c r="E554" s="65" t="n"/>
    </row>
    <row r="555">
      <c r="A555" s="65" t="n">
        <v>7</v>
      </c>
      <c r="B555" s="65" t="n">
        <v>185.1</v>
      </c>
      <c r="C555" s="65" t="n"/>
      <c r="D555" s="65" t="n"/>
      <c r="E555" s="65" t="n"/>
    </row>
    <row r="556">
      <c r="A556" s="65" t="n">
        <v>7</v>
      </c>
      <c r="B556" s="65" t="n">
        <v>147</v>
      </c>
      <c r="C556" s="65" t="n"/>
      <c r="D556" s="65" t="n"/>
      <c r="E556" s="65" t="n"/>
    </row>
    <row r="557">
      <c r="A557" s="65" t="n">
        <v>7.1</v>
      </c>
      <c r="B557" s="65" t="n">
        <v>28</v>
      </c>
      <c r="C557" s="65" t="n"/>
      <c r="D557" s="65" t="n"/>
      <c r="E557" s="65" t="n"/>
    </row>
    <row r="558">
      <c r="A558" s="65" t="n">
        <v>6.5</v>
      </c>
      <c r="B558" s="65" t="n">
        <v>35</v>
      </c>
      <c r="C558" s="65" t="n"/>
      <c r="D558" s="65" t="n"/>
      <c r="E558" s="65" t="n"/>
    </row>
    <row r="559">
      <c r="A559" s="65" t="n">
        <v>7.2</v>
      </c>
      <c r="B559" s="65" t="n">
        <v>32</v>
      </c>
      <c r="C559" s="65" t="n"/>
      <c r="D559" s="65" t="n"/>
      <c r="E559" s="65" t="n"/>
    </row>
    <row r="560">
      <c r="A560" s="65" t="n">
        <v>6.6</v>
      </c>
      <c r="B560" s="65" t="n">
        <v>10</v>
      </c>
      <c r="C560" s="65" t="n"/>
      <c r="D560" s="65" t="n"/>
      <c r="E560" s="65" t="n"/>
    </row>
    <row r="561">
      <c r="A561" s="65" t="n">
        <v>7.6</v>
      </c>
      <c r="B561" s="65" t="n">
        <v>17</v>
      </c>
      <c r="C561" s="65" t="n"/>
      <c r="D561" s="65" t="n"/>
      <c r="E561" s="65" t="n"/>
    </row>
    <row r="562">
      <c r="A562" s="65" t="n">
        <v>6.7</v>
      </c>
      <c r="B562" s="65" t="n">
        <v>33</v>
      </c>
      <c r="C562" s="65" t="n"/>
      <c r="D562" s="65" t="n"/>
      <c r="E562" s="65" t="n"/>
    </row>
    <row r="563">
      <c r="A563" s="65" t="n">
        <v>6.8</v>
      </c>
      <c r="B563" s="65" t="n">
        <v>11</v>
      </c>
      <c r="C563" s="65" t="n"/>
      <c r="D563" s="65" t="n"/>
      <c r="E563" s="65" t="n"/>
    </row>
    <row r="564">
      <c r="A564" s="65" t="n">
        <v>6.8</v>
      </c>
      <c r="B564" s="65" t="n">
        <v>79</v>
      </c>
      <c r="C564" s="65" t="n"/>
      <c r="D564" s="65" t="n"/>
      <c r="E564" s="65" t="n"/>
    </row>
    <row r="565">
      <c r="A565" s="65" t="n">
        <v>6.6</v>
      </c>
      <c r="B565" s="65" t="n">
        <v>11</v>
      </c>
      <c r="C565" s="65" t="n"/>
      <c r="D565" s="65" t="n"/>
      <c r="E565" s="65" t="n"/>
    </row>
    <row r="566">
      <c r="A566" s="65" t="n">
        <v>7.1</v>
      </c>
      <c r="B566" s="65" t="n">
        <v>42</v>
      </c>
      <c r="C566" s="65" t="n"/>
      <c r="D566" s="65" t="n"/>
      <c r="E566" s="65" t="n"/>
    </row>
    <row r="567">
      <c r="A567" s="65" t="n">
        <v>6.6</v>
      </c>
      <c r="B567" s="65" t="n">
        <v>166.2</v>
      </c>
      <c r="C567" s="65" t="n"/>
      <c r="D567" s="65" t="n"/>
      <c r="E567" s="65" t="n"/>
    </row>
    <row r="568">
      <c r="A568" s="65" t="n">
        <v>6.9</v>
      </c>
      <c r="B568" s="65" t="n">
        <v>8</v>
      </c>
      <c r="C568" s="65" t="n"/>
      <c r="D568" s="65" t="n"/>
      <c r="E568" s="65" t="n"/>
    </row>
    <row r="569">
      <c r="A569" s="65" t="n">
        <v>6.6</v>
      </c>
      <c r="B569" s="65" t="n">
        <v>25.7</v>
      </c>
      <c r="C569" s="65" t="n"/>
      <c r="D569" s="65" t="n"/>
      <c r="E569" s="65" t="n"/>
    </row>
    <row r="570">
      <c r="A570" s="65" t="n">
        <v>6.5</v>
      </c>
      <c r="B570" s="65" t="n">
        <v>6.8</v>
      </c>
      <c r="C570" s="65" t="n"/>
      <c r="D570" s="65" t="n"/>
      <c r="E570" s="65" t="n"/>
    </row>
    <row r="571">
      <c r="A571" s="65" t="n">
        <v>7.7</v>
      </c>
      <c r="B571" s="65" t="n">
        <v>18.6</v>
      </c>
      <c r="C571" s="65" t="n"/>
      <c r="D571" s="65" t="n"/>
      <c r="E571" s="65" t="n"/>
    </row>
    <row r="572">
      <c r="A572" s="65" t="n">
        <v>7.9</v>
      </c>
      <c r="B572" s="65" t="n">
        <v>42.6</v>
      </c>
      <c r="C572" s="65" t="n"/>
      <c r="D572" s="65" t="n"/>
      <c r="E572" s="65" t="n"/>
    </row>
    <row r="573">
      <c r="A573" s="65" t="n">
        <v>9.1</v>
      </c>
      <c r="B573" s="65" t="n">
        <v>29</v>
      </c>
      <c r="C573" s="65" t="n"/>
      <c r="D573" s="65" t="n"/>
      <c r="E573" s="65" t="n"/>
    </row>
    <row r="574">
      <c r="A574" s="65" t="n">
        <v>7.3</v>
      </c>
      <c r="B574" s="65" t="n">
        <v>32</v>
      </c>
      <c r="C574" s="65" t="n"/>
      <c r="D574" s="65" t="n"/>
      <c r="E574" s="65" t="n"/>
    </row>
    <row r="575">
      <c r="A575" s="65" t="n">
        <v>6.7</v>
      </c>
      <c r="B575" s="65" t="n">
        <v>21</v>
      </c>
      <c r="C575" s="65" t="n"/>
      <c r="D575" s="65" t="n"/>
      <c r="E575" s="65" t="n"/>
    </row>
    <row r="576">
      <c r="A576" s="65" t="n">
        <v>6.9</v>
      </c>
      <c r="B576" s="65" t="n">
        <v>26</v>
      </c>
      <c r="C576" s="65" t="n"/>
      <c r="D576" s="65" t="n"/>
      <c r="E576" s="65" t="n"/>
    </row>
    <row r="577">
      <c r="A577" s="65" t="n">
        <v>7.2</v>
      </c>
      <c r="B577" s="65" t="n">
        <v>68</v>
      </c>
      <c r="C577" s="65" t="n"/>
      <c r="D577" s="65" t="n"/>
      <c r="E577" s="65" t="n"/>
    </row>
    <row r="578">
      <c r="A578" s="65" t="n">
        <v>7</v>
      </c>
      <c r="B578" s="65" t="n">
        <v>9</v>
      </c>
      <c r="C578" s="65" t="n"/>
      <c r="D578" s="65" t="n"/>
      <c r="E578" s="65" t="n"/>
    </row>
    <row r="579">
      <c r="A579" s="65" t="n">
        <v>7.2</v>
      </c>
      <c r="B579" s="65" t="n">
        <v>24</v>
      </c>
      <c r="C579" s="65" t="n"/>
      <c r="D579" s="65" t="n"/>
      <c r="E579" s="65" t="n"/>
    </row>
    <row r="580">
      <c r="A580" s="65" t="n">
        <v>7.3</v>
      </c>
      <c r="B580" s="65" t="n">
        <v>16</v>
      </c>
      <c r="C580" s="65" t="n"/>
      <c r="D580" s="65" t="n"/>
      <c r="E580" s="65" t="n"/>
    </row>
    <row r="581">
      <c r="A581" s="65" t="n">
        <v>6.7</v>
      </c>
      <c r="B581" s="65" t="n">
        <v>12</v>
      </c>
      <c r="C581" s="65" t="n"/>
      <c r="D581" s="65" t="n"/>
      <c r="E581" s="65" t="n"/>
    </row>
    <row r="582">
      <c r="A582" s="65" t="n">
        <v>6.6</v>
      </c>
      <c r="B582" s="65" t="n">
        <v>33</v>
      </c>
      <c r="C582" s="65" t="n"/>
      <c r="D582" s="65" t="n"/>
      <c r="E582" s="65" t="n"/>
    </row>
    <row r="583">
      <c r="A583" s="65" t="n">
        <v>7.8</v>
      </c>
      <c r="B583" s="65" t="n">
        <v>20.1</v>
      </c>
      <c r="C583" s="65" t="n"/>
      <c r="D583" s="65" t="n"/>
      <c r="E583" s="65" t="n"/>
    </row>
    <row r="584">
      <c r="A584" s="65" t="n">
        <v>6.7</v>
      </c>
      <c r="B584" s="65" t="n">
        <v>13</v>
      </c>
      <c r="C584" s="65" t="n"/>
      <c r="D584" s="65" t="n"/>
      <c r="E584" s="65" t="n"/>
    </row>
    <row r="585">
      <c r="A585" s="65" t="n">
        <v>7</v>
      </c>
      <c r="B585" s="65" t="n">
        <v>26</v>
      </c>
      <c r="C585" s="65" t="n"/>
      <c r="D585" s="65" t="n"/>
      <c r="E585" s="65" t="n"/>
    </row>
    <row r="586">
      <c r="A586" s="65" t="n">
        <v>7</v>
      </c>
      <c r="B586" s="65" t="n">
        <v>12</v>
      </c>
      <c r="C586" s="65" t="n"/>
      <c r="D586" s="65" t="n"/>
      <c r="E586" s="65" t="n"/>
    </row>
    <row r="587">
      <c r="A587" s="65" t="n">
        <v>7.1</v>
      </c>
      <c r="B587" s="65" t="n">
        <v>206.7</v>
      </c>
      <c r="C587" s="65" t="n"/>
      <c r="D587" s="65" t="n"/>
      <c r="E587" s="65" t="n"/>
    </row>
    <row r="588">
      <c r="A588" s="65" t="n">
        <v>7.3</v>
      </c>
      <c r="B588" s="65" t="n">
        <v>25</v>
      </c>
      <c r="C588" s="65" t="n"/>
      <c r="D588" s="65" t="n"/>
      <c r="E588" s="65" t="n"/>
    </row>
    <row r="589">
      <c r="A589" s="65" t="n">
        <v>7</v>
      </c>
      <c r="B589" s="65" t="n">
        <v>44</v>
      </c>
      <c r="C589" s="65" t="n"/>
      <c r="D589" s="65" t="n"/>
      <c r="E589" s="65" t="n"/>
    </row>
    <row r="590">
      <c r="A590" s="65" t="n">
        <v>6.5</v>
      </c>
      <c r="B590" s="65" t="n">
        <v>220</v>
      </c>
      <c r="C590" s="65" t="n"/>
      <c r="D590" s="65" t="n"/>
      <c r="E590" s="65" t="n"/>
    </row>
    <row r="591">
      <c r="A591" s="65" t="n">
        <v>7.6</v>
      </c>
      <c r="B591" s="65" t="n">
        <v>578</v>
      </c>
      <c r="C591" s="65" t="n"/>
      <c r="D591" s="65" t="n"/>
      <c r="E591" s="65" t="n"/>
    </row>
    <row r="592">
      <c r="A592" s="65" t="n">
        <v>7.3</v>
      </c>
      <c r="B592" s="65" t="n">
        <v>35</v>
      </c>
      <c r="C592" s="65" t="n"/>
      <c r="D592" s="65" t="n"/>
      <c r="E592" s="65" t="n"/>
    </row>
    <row r="593">
      <c r="A593" s="65" t="n">
        <v>6.9</v>
      </c>
      <c r="B593" s="65" t="n">
        <v>28</v>
      </c>
      <c r="C593" s="65" t="n"/>
      <c r="D593" s="65" t="n"/>
      <c r="E593" s="65" t="n"/>
    </row>
    <row r="594">
      <c r="A594" s="65" t="n">
        <v>6.6</v>
      </c>
      <c r="B594" s="65" t="n">
        <v>22</v>
      </c>
      <c r="C594" s="65" t="n"/>
      <c r="D594" s="65" t="n"/>
      <c r="E594" s="65" t="n"/>
    </row>
    <row r="595">
      <c r="A595" s="65" t="n">
        <v>6.7</v>
      </c>
      <c r="B595" s="65" t="n">
        <v>35</v>
      </c>
      <c r="C595" s="65" t="n"/>
      <c r="D595" s="65" t="n"/>
      <c r="E595" s="65" t="n"/>
    </row>
    <row r="596">
      <c r="A596" s="65" t="n">
        <v>6.6</v>
      </c>
      <c r="B596" s="65" t="n">
        <v>10.5</v>
      </c>
      <c r="C596" s="65" t="n"/>
      <c r="D596" s="65" t="n"/>
      <c r="E596" s="65" t="n"/>
    </row>
    <row r="597">
      <c r="A597" s="65" t="n">
        <v>7</v>
      </c>
      <c r="B597" s="65" t="n">
        <v>18</v>
      </c>
      <c r="C597" s="65" t="n"/>
      <c r="D597" s="65" t="n"/>
      <c r="E597" s="65" t="n"/>
    </row>
    <row r="598">
      <c r="A598" s="65" t="n">
        <v>7.5</v>
      </c>
      <c r="B598" s="65" t="n">
        <v>35</v>
      </c>
      <c r="C598" s="65" t="n"/>
      <c r="D598" s="65" t="n"/>
      <c r="E598" s="65" t="n"/>
    </row>
    <row r="599">
      <c r="A599" s="65" t="n">
        <v>7.2</v>
      </c>
      <c r="B599" s="65" t="n">
        <v>31</v>
      </c>
      <c r="C599" s="65" t="n"/>
      <c r="D599" s="65" t="n"/>
      <c r="E599" s="65" t="n"/>
    </row>
    <row r="600">
      <c r="A600" s="65" t="n">
        <v>7.2</v>
      </c>
      <c r="B600" s="65" t="n">
        <v>38</v>
      </c>
      <c r="C600" s="65" t="n"/>
      <c r="D600" s="65" t="n"/>
      <c r="E600" s="65" t="n"/>
    </row>
    <row r="601">
      <c r="A601" s="65" t="n">
        <v>6.9</v>
      </c>
      <c r="B601" s="65" t="n">
        <v>17</v>
      </c>
      <c r="C601" s="65" t="n"/>
      <c r="D601" s="65" t="n"/>
      <c r="E601" s="65" t="n"/>
    </row>
    <row r="602">
      <c r="A602" s="65" t="n">
        <v>6.9</v>
      </c>
      <c r="B602" s="65" t="n">
        <v>21</v>
      </c>
      <c r="C602" s="65" t="n"/>
      <c r="D602" s="65" t="n"/>
      <c r="E602" s="65" t="n"/>
    </row>
    <row r="603">
      <c r="A603" s="65" t="n">
        <v>7.8</v>
      </c>
      <c r="B603" s="65" t="n">
        <v>31</v>
      </c>
      <c r="C603" s="65" t="n"/>
      <c r="D603" s="65" t="n"/>
      <c r="E603" s="65" t="n"/>
    </row>
    <row r="604">
      <c r="A604" s="65" t="n">
        <v>7.2</v>
      </c>
      <c r="B604" s="65" t="n">
        <v>9.987</v>
      </c>
      <c r="C604" s="65" t="n"/>
      <c r="D604" s="65" t="n"/>
      <c r="E604" s="65" t="n"/>
    </row>
    <row r="605">
      <c r="A605" s="65" t="n">
        <v>6.6</v>
      </c>
      <c r="B605" s="65" t="n">
        <v>34</v>
      </c>
      <c r="C605" s="65" t="n"/>
      <c r="D605" s="65" t="n"/>
      <c r="E605" s="65" t="n"/>
    </row>
    <row r="606">
      <c r="A606" s="65" t="n">
        <v>6.7</v>
      </c>
      <c r="B606" s="65" t="n">
        <v>18</v>
      </c>
      <c r="C606" s="65" t="n"/>
      <c r="D606" s="65" t="n"/>
      <c r="E606" s="65" t="n"/>
    </row>
    <row r="607">
      <c r="A607" s="65" t="n">
        <v>6.5</v>
      </c>
      <c r="B607" s="65" t="n">
        <v>32</v>
      </c>
      <c r="C607" s="65" t="n"/>
      <c r="D607" s="65" t="n"/>
      <c r="E607" s="65" t="n"/>
    </row>
    <row r="608">
      <c r="A608" s="65" t="n">
        <v>7</v>
      </c>
      <c r="B608" s="65" t="n">
        <v>18</v>
      </c>
      <c r="C608" s="65" t="n"/>
      <c r="D608" s="65" t="n"/>
      <c r="E608" s="65" t="n"/>
    </row>
    <row r="609">
      <c r="A609" s="65" t="n">
        <v>6.9</v>
      </c>
      <c r="B609" s="65" t="n">
        <v>11</v>
      </c>
      <c r="C609" s="65" t="n"/>
      <c r="D609" s="65" t="n"/>
      <c r="E609" s="65" t="n"/>
    </row>
    <row r="610">
      <c r="A610" s="65" t="n">
        <v>6.8</v>
      </c>
      <c r="B610" s="65" t="n">
        <v>26</v>
      </c>
      <c r="C610" s="65" t="n"/>
      <c r="D610" s="65" t="n"/>
      <c r="E610" s="65" t="n"/>
    </row>
    <row r="611">
      <c r="A611" s="65" t="n">
        <v>6.6</v>
      </c>
      <c r="B611" s="65" t="n">
        <v>18</v>
      </c>
      <c r="C611" s="65" t="n"/>
      <c r="D611" s="65" t="n"/>
      <c r="E611" s="65" t="n"/>
    </row>
    <row r="612">
      <c r="A612" s="65" t="n">
        <v>6.5</v>
      </c>
      <c r="B612" s="65" t="n">
        <v>176</v>
      </c>
      <c r="C612" s="65" t="n"/>
      <c r="D612" s="65" t="n"/>
      <c r="E612" s="65" t="n"/>
    </row>
    <row r="613">
      <c r="A613" s="65" t="n">
        <v>7.4</v>
      </c>
      <c r="B613" s="65" t="n">
        <v>35</v>
      </c>
      <c r="C613" s="65" t="n"/>
      <c r="D613" s="65" t="n"/>
      <c r="E613" s="65" t="n"/>
    </row>
    <row r="614">
      <c r="A614" s="65" t="n">
        <v>8.800000000000001</v>
      </c>
      <c r="B614" s="65" t="n">
        <v>22.9</v>
      </c>
      <c r="C614" s="65" t="n"/>
      <c r="D614" s="65" t="n"/>
      <c r="E614" s="65" t="n"/>
    </row>
    <row r="615">
      <c r="A615" s="65" t="n">
        <v>7</v>
      </c>
      <c r="B615" s="65" t="n">
        <v>25</v>
      </c>
      <c r="C615" s="65" t="n"/>
      <c r="D615" s="65" t="n"/>
      <c r="E615" s="65" t="n"/>
    </row>
    <row r="616">
      <c r="A616" s="65" t="n">
        <v>7</v>
      </c>
      <c r="B616" s="65" t="n">
        <v>13</v>
      </c>
      <c r="C616" s="65" t="n"/>
      <c r="D616" s="65" t="n"/>
      <c r="E616" s="65" t="n"/>
    </row>
    <row r="617">
      <c r="A617" s="65" t="n">
        <v>6.5</v>
      </c>
      <c r="B617" s="65" t="n">
        <v>28.737</v>
      </c>
      <c r="C617" s="65" t="n"/>
      <c r="D617" s="65" t="n"/>
      <c r="E617" s="65" t="n"/>
    </row>
    <row r="618">
      <c r="A618" s="65" t="n">
        <v>6.8</v>
      </c>
      <c r="B618" s="65" t="n">
        <v>15.4</v>
      </c>
      <c r="C618" s="65" t="n"/>
      <c r="D618" s="65" t="n"/>
      <c r="E618" s="65" t="n"/>
    </row>
    <row r="619">
      <c r="A619" s="65" t="n">
        <v>7.1</v>
      </c>
      <c r="B619" s="65" t="n">
        <v>10</v>
      </c>
      <c r="C619" s="65" t="n"/>
      <c r="D619" s="65" t="n"/>
      <c r="E619" s="65" t="n"/>
    </row>
    <row r="620">
      <c r="A620" s="65" t="n">
        <v>6.6</v>
      </c>
      <c r="B620" s="65" t="n">
        <v>10</v>
      </c>
      <c r="C620" s="65" t="n"/>
      <c r="D620" s="65" t="n"/>
      <c r="E620" s="65" t="n"/>
    </row>
    <row r="621">
      <c r="A621" s="65" t="n">
        <v>6.5</v>
      </c>
      <c r="B621" s="65" t="n">
        <v>27</v>
      </c>
      <c r="C621" s="65" t="n"/>
      <c r="D621" s="65" t="n"/>
      <c r="E621" s="65" t="n"/>
    </row>
    <row r="622">
      <c r="A622" s="65" t="n">
        <v>7.3</v>
      </c>
      <c r="B622" s="65" t="n">
        <v>595</v>
      </c>
      <c r="C622" s="65" t="n"/>
      <c r="D622" s="65" t="n"/>
      <c r="E622" s="65" t="n"/>
    </row>
    <row r="623">
      <c r="A623" s="65" t="n">
        <v>6.6</v>
      </c>
      <c r="B623" s="65" t="n">
        <v>18</v>
      </c>
      <c r="C623" s="65" t="n"/>
      <c r="D623" s="65" t="n"/>
      <c r="E623" s="65" t="n"/>
    </row>
    <row r="624">
      <c r="A624" s="65" t="n">
        <v>6.8</v>
      </c>
      <c r="B624" s="65" t="n">
        <v>34</v>
      </c>
      <c r="C624" s="65" t="n"/>
      <c r="D624" s="65" t="n"/>
      <c r="E624" s="65" t="n"/>
    </row>
    <row r="625">
      <c r="A625" s="65" t="n">
        <v>6.9</v>
      </c>
      <c r="B625" s="65" t="n">
        <v>130</v>
      </c>
      <c r="C625" s="65" t="n"/>
      <c r="D625" s="65" t="n"/>
      <c r="E625" s="65" t="n"/>
    </row>
    <row r="626">
      <c r="A626" s="65" t="n">
        <v>6.8</v>
      </c>
      <c r="B626" s="65" t="n">
        <v>35</v>
      </c>
      <c r="C626" s="65" t="n"/>
      <c r="D626" s="65" t="n"/>
      <c r="E626" s="65" t="n"/>
    </row>
    <row r="627">
      <c r="A627" s="65" t="n">
        <v>7.4</v>
      </c>
      <c r="B627" s="65" t="n">
        <v>31.1</v>
      </c>
      <c r="C627" s="65" t="n"/>
      <c r="D627" s="65" t="n"/>
      <c r="E627" s="65" t="n"/>
    </row>
    <row r="628">
      <c r="A628" s="65" t="n">
        <v>7.8</v>
      </c>
      <c r="B628" s="65" t="n">
        <v>35</v>
      </c>
      <c r="C628" s="65" t="n"/>
      <c r="D628" s="65" t="n"/>
      <c r="E628" s="65" t="n"/>
    </row>
    <row r="629">
      <c r="A629" s="65" t="n">
        <v>7.7</v>
      </c>
      <c r="B629" s="65" t="n">
        <v>45</v>
      </c>
      <c r="C629" s="65" t="n"/>
      <c r="D629" s="65" t="n"/>
      <c r="E629" s="65" t="n"/>
    </row>
    <row r="630">
      <c r="A630" s="65" t="n">
        <v>6.6</v>
      </c>
      <c r="B630" s="65" t="n">
        <v>9</v>
      </c>
      <c r="C630" s="65" t="n"/>
      <c r="D630" s="65" t="n"/>
      <c r="E630" s="65" t="n"/>
    </row>
    <row r="631">
      <c r="A631" s="65" t="n">
        <v>7.6</v>
      </c>
      <c r="B631" s="65" t="n">
        <v>81</v>
      </c>
      <c r="C631" s="65" t="n"/>
      <c r="D631" s="65" t="n"/>
      <c r="E631" s="65" t="n"/>
    </row>
    <row r="632">
      <c r="A632" s="65" t="n">
        <v>8.1</v>
      </c>
      <c r="B632" s="65" t="n">
        <v>18</v>
      </c>
      <c r="C632" s="65" t="n"/>
      <c r="D632" s="65" t="n"/>
      <c r="E632" s="65" t="n"/>
    </row>
    <row r="633">
      <c r="A633" s="65" t="n">
        <v>7</v>
      </c>
      <c r="B633" s="65" t="n">
        <v>46</v>
      </c>
      <c r="C633" s="65" t="n"/>
      <c r="D633" s="65" t="n"/>
      <c r="E633" s="65" t="n"/>
    </row>
    <row r="634">
      <c r="A634" s="65" t="n">
        <v>6.7</v>
      </c>
      <c r="B634" s="65" t="n">
        <v>20</v>
      </c>
      <c r="C634" s="65" t="n"/>
      <c r="D634" s="65" t="n"/>
      <c r="E634" s="65" t="n"/>
    </row>
    <row r="635">
      <c r="A635" s="65" t="n">
        <v>6.6</v>
      </c>
      <c r="B635" s="65" t="n">
        <v>53</v>
      </c>
      <c r="C635" s="65" t="n"/>
      <c r="D635" s="65" t="n"/>
      <c r="E635" s="65" t="n"/>
    </row>
    <row r="636">
      <c r="A636" s="65" t="n">
        <v>7.5</v>
      </c>
      <c r="B636" s="65" t="n">
        <v>24</v>
      </c>
      <c r="C636" s="65" t="n"/>
      <c r="D636" s="65" t="n"/>
      <c r="E636" s="65" t="n"/>
    </row>
    <row r="637">
      <c r="A637" s="65" t="n">
        <v>7.1</v>
      </c>
      <c r="B637" s="65" t="n">
        <v>292</v>
      </c>
      <c r="C637" s="65" t="n"/>
      <c r="D637" s="65" t="n"/>
      <c r="E637" s="65" t="n"/>
    </row>
    <row r="638">
      <c r="A638" s="65" t="n">
        <v>6.9</v>
      </c>
      <c r="B638" s="65" t="n">
        <v>10</v>
      </c>
      <c r="C638" s="65" t="n"/>
      <c r="D638" s="65" t="n"/>
      <c r="E638" s="65" t="n"/>
    </row>
    <row r="639">
      <c r="A639" s="65" t="n">
        <v>7.8</v>
      </c>
      <c r="B639" s="65" t="n">
        <v>12</v>
      </c>
      <c r="C639" s="65" t="n"/>
      <c r="D639" s="65" t="n"/>
      <c r="E639" s="65" t="n"/>
    </row>
    <row r="640">
      <c r="A640" s="65" t="n">
        <v>6.7</v>
      </c>
      <c r="B640" s="65" t="n">
        <v>64</v>
      </c>
      <c r="C640" s="65" t="n"/>
      <c r="D640" s="65" t="n"/>
      <c r="E640" s="65" t="n"/>
    </row>
    <row r="641">
      <c r="A641" s="65" t="n">
        <v>7.3</v>
      </c>
      <c r="B641" s="65" t="n">
        <v>19</v>
      </c>
      <c r="C641" s="65" t="n"/>
      <c r="D641" s="65" t="n"/>
      <c r="E641" s="65" t="n"/>
    </row>
    <row r="642">
      <c r="A642" s="65" t="n">
        <v>7.6</v>
      </c>
      <c r="B642" s="65" t="n">
        <v>31</v>
      </c>
      <c r="C642" s="65" t="n"/>
      <c r="D642" s="65" t="n"/>
      <c r="E642" s="65" t="n"/>
    </row>
    <row r="643">
      <c r="A643" s="65" t="n">
        <v>7.2</v>
      </c>
      <c r="B643" s="65" t="n">
        <v>20</v>
      </c>
      <c r="C643" s="65" t="n"/>
      <c r="D643" s="65" t="n"/>
      <c r="E643" s="65" t="n"/>
    </row>
    <row r="644">
      <c r="A644" s="65" t="n">
        <v>7.4</v>
      </c>
      <c r="B644" s="65" t="n">
        <v>23</v>
      </c>
      <c r="C644" s="65" t="n"/>
      <c r="D644" s="65" t="n"/>
      <c r="E644" s="65" t="n"/>
    </row>
    <row r="645">
      <c r="A645" s="65" t="n">
        <v>6.6</v>
      </c>
      <c r="B645" s="65" t="n">
        <v>204.8</v>
      </c>
      <c r="C645" s="65" t="n"/>
      <c r="D645" s="65" t="n"/>
      <c r="E645" s="65" t="n"/>
    </row>
    <row r="646">
      <c r="A646" s="65" t="n">
        <v>7.7</v>
      </c>
      <c r="B646" s="65" t="n">
        <v>17</v>
      </c>
      <c r="C646" s="65" t="n"/>
      <c r="D646" s="65" t="n"/>
      <c r="E646" s="65" t="n"/>
    </row>
    <row r="647">
      <c r="A647" s="65" t="n">
        <v>7.4</v>
      </c>
      <c r="B647" s="65" t="n">
        <v>30</v>
      </c>
      <c r="C647" s="65" t="n"/>
      <c r="D647" s="65" t="n"/>
      <c r="E647" s="65" t="n"/>
    </row>
    <row r="648">
      <c r="A648" s="65" t="n">
        <v>6.7</v>
      </c>
      <c r="B648" s="65" t="n">
        <v>24</v>
      </c>
      <c r="C648" s="65" t="n"/>
      <c r="D648" s="65" t="n"/>
      <c r="E648" s="65" t="n"/>
    </row>
    <row r="649">
      <c r="A649" s="65" t="n">
        <v>6.7</v>
      </c>
      <c r="B649" s="65" t="n">
        <v>27.4</v>
      </c>
      <c r="C649" s="65" t="n"/>
      <c r="D649" s="65" t="n"/>
      <c r="E649" s="65" t="n"/>
    </row>
    <row r="650">
      <c r="A650" s="65" t="n">
        <v>6.8</v>
      </c>
      <c r="B650" s="65" t="n">
        <v>25</v>
      </c>
      <c r="C650" s="65" t="n"/>
      <c r="D650" s="65" t="n"/>
      <c r="E650" s="65" t="n"/>
    </row>
    <row r="651">
      <c r="A651" s="65" t="n">
        <v>6.6</v>
      </c>
      <c r="B651" s="65" t="n">
        <v>96</v>
      </c>
      <c r="C651" s="65" t="n"/>
      <c r="D651" s="65" t="n"/>
      <c r="E651" s="65" t="n"/>
    </row>
    <row r="652">
      <c r="A652" s="65" t="n">
        <v>6.9</v>
      </c>
      <c r="B652" s="65" t="n">
        <v>110</v>
      </c>
      <c r="C652" s="65" t="n"/>
      <c r="D652" s="65" t="n"/>
      <c r="E652" s="65" t="n"/>
    </row>
    <row r="653">
      <c r="A653" s="65" t="n">
        <v>6.7</v>
      </c>
      <c r="B653" s="65" t="n">
        <v>12</v>
      </c>
      <c r="C653" s="65" t="n"/>
      <c r="D653" s="65" t="n"/>
      <c r="E653" s="65" t="n"/>
    </row>
    <row r="654">
      <c r="A654" s="65" t="n">
        <v>6.8</v>
      </c>
      <c r="B654" s="65" t="n">
        <v>108</v>
      </c>
      <c r="C654" s="65" t="n"/>
      <c r="D654" s="65" t="n"/>
      <c r="E654" s="65" t="n"/>
    </row>
    <row r="655">
      <c r="A655" s="65" t="n">
        <v>7</v>
      </c>
      <c r="B655" s="65" t="n">
        <v>22</v>
      </c>
      <c r="C655" s="65" t="n"/>
      <c r="D655" s="65" t="n"/>
      <c r="E655" s="65" t="n"/>
    </row>
    <row r="656">
      <c r="A656" s="65" t="n">
        <v>6.9</v>
      </c>
      <c r="B656" s="65" t="n">
        <v>25.5</v>
      </c>
      <c r="C656" s="65" t="n"/>
      <c r="D656" s="65" t="n"/>
      <c r="E656" s="65" t="n"/>
    </row>
    <row r="657">
      <c r="A657" s="65" t="n">
        <v>6.6</v>
      </c>
      <c r="B657" s="65" t="n">
        <v>17</v>
      </c>
      <c r="C657" s="65" t="n"/>
      <c r="D657" s="65" t="n"/>
      <c r="E657" s="65" t="n"/>
    </row>
    <row r="658">
      <c r="A658" s="65" t="n">
        <v>6.9</v>
      </c>
      <c r="B658" s="65" t="n">
        <v>7.8</v>
      </c>
      <c r="C658" s="65" t="n"/>
      <c r="D658" s="65" t="n"/>
      <c r="E658" s="65" t="n"/>
    </row>
    <row r="659">
      <c r="A659" s="65" t="n">
        <v>7.9</v>
      </c>
      <c r="B659" s="65" t="n">
        <v>19</v>
      </c>
      <c r="C659" s="65" t="n"/>
      <c r="D659" s="65" t="n"/>
      <c r="E659" s="65" t="n"/>
    </row>
    <row r="660">
      <c r="A660" s="65" t="n">
        <v>6.9</v>
      </c>
      <c r="B660" s="65" t="n">
        <v>27</v>
      </c>
      <c r="C660" s="65" t="n"/>
      <c r="D660" s="65" t="n"/>
      <c r="E660" s="65" t="n"/>
    </row>
    <row r="661">
      <c r="A661" s="65" t="n">
        <v>7.3</v>
      </c>
      <c r="B661" s="65" t="n">
        <v>33</v>
      </c>
      <c r="C661" s="65" t="n"/>
      <c r="D661" s="65" t="n"/>
      <c r="E661" s="65" t="n"/>
    </row>
    <row r="662">
      <c r="A662" s="65" t="n">
        <v>7.2</v>
      </c>
      <c r="B662" s="65" t="n">
        <v>10</v>
      </c>
      <c r="C662" s="65" t="n"/>
      <c r="D662" s="65" t="n"/>
      <c r="E662" s="65" t="n"/>
    </row>
    <row r="663">
      <c r="A663" s="65" t="n">
        <v>6.9</v>
      </c>
      <c r="B663" s="65" t="n">
        <v>24</v>
      </c>
      <c r="C663" s="65" t="n"/>
      <c r="D663" s="65" t="n"/>
      <c r="E663" s="65" t="n"/>
    </row>
    <row r="664">
      <c r="A664" s="65" t="n">
        <v>6.7</v>
      </c>
      <c r="B664" s="65" t="n">
        <v>25</v>
      </c>
      <c r="C664" s="65" t="n"/>
      <c r="D664" s="65" t="n"/>
      <c r="E664" s="65" t="n"/>
    </row>
    <row r="665">
      <c r="A665" s="65" t="n">
        <v>6.6</v>
      </c>
      <c r="B665" s="65" t="n">
        <v>25</v>
      </c>
      <c r="C665" s="65" t="n"/>
      <c r="D665" s="65" t="n"/>
      <c r="E665" s="65" t="n"/>
    </row>
    <row r="666">
      <c r="A666" s="65" t="n">
        <v>7.2</v>
      </c>
      <c r="B666" s="65" t="n">
        <v>25</v>
      </c>
      <c r="C666" s="65" t="n"/>
      <c r="D666" s="65" t="n"/>
      <c r="E666" s="65" t="n"/>
    </row>
    <row r="667">
      <c r="A667" s="65" t="n">
        <v>6.5</v>
      </c>
      <c r="B667" s="65" t="n">
        <v>22</v>
      </c>
      <c r="C667" s="65" t="n"/>
      <c r="D667" s="65" t="n"/>
      <c r="E667" s="65" t="n"/>
    </row>
    <row r="668">
      <c r="A668" s="65" t="n">
        <v>7.4</v>
      </c>
      <c r="B668" s="65" t="n">
        <v>26</v>
      </c>
      <c r="C668" s="65" t="n"/>
      <c r="D668" s="65" t="n"/>
      <c r="E668" s="65" t="n"/>
    </row>
    <row r="669">
      <c r="A669" s="65" t="n">
        <v>6.5</v>
      </c>
      <c r="B669" s="65" t="n">
        <v>28</v>
      </c>
      <c r="C669" s="65" t="n"/>
      <c r="D669" s="65" t="n"/>
      <c r="E669" s="65" t="n"/>
    </row>
    <row r="670">
      <c r="A670" s="65" t="n">
        <v>6.9</v>
      </c>
      <c r="B670" s="65" t="n">
        <v>29</v>
      </c>
      <c r="C670" s="65" t="n"/>
      <c r="D670" s="65" t="n"/>
      <c r="E670" s="65" t="n"/>
    </row>
    <row r="671">
      <c r="A671" s="65" t="n">
        <v>6.5</v>
      </c>
      <c r="B671" s="65" t="n">
        <v>83</v>
      </c>
      <c r="C671" s="65" t="n"/>
      <c r="D671" s="65" t="n"/>
      <c r="E671" s="65" t="n"/>
    </row>
    <row r="672">
      <c r="A672" s="65" t="n">
        <v>6.6</v>
      </c>
      <c r="B672" s="65" t="n">
        <v>20</v>
      </c>
      <c r="C672" s="65" t="n"/>
      <c r="D672" s="65" t="n"/>
      <c r="E672" s="65" t="n"/>
    </row>
    <row r="673">
      <c r="A673" s="65" t="n">
        <v>6.7</v>
      </c>
      <c r="B673" s="65" t="n">
        <v>45</v>
      </c>
      <c r="C673" s="65" t="n"/>
      <c r="D673" s="65" t="n"/>
      <c r="E673" s="65" t="n"/>
    </row>
    <row r="674">
      <c r="A674" s="65" t="n">
        <v>7.4</v>
      </c>
      <c r="B674" s="65" t="n">
        <v>156</v>
      </c>
      <c r="C674" s="65" t="n"/>
      <c r="D674" s="65" t="n"/>
      <c r="E674" s="65" t="n"/>
    </row>
    <row r="675">
      <c r="A675" s="65" t="n">
        <v>6.6</v>
      </c>
      <c r="B675" s="65" t="n">
        <v>16</v>
      </c>
      <c r="C675" s="65" t="n"/>
      <c r="D675" s="65" t="n"/>
      <c r="E675" s="65" t="n"/>
    </row>
    <row r="676">
      <c r="A676" s="65" t="n">
        <v>6.5</v>
      </c>
      <c r="B676" s="65" t="n">
        <v>18</v>
      </c>
      <c r="C676" s="65" t="n"/>
      <c r="D676" s="65" t="n"/>
      <c r="E676" s="65" t="n"/>
    </row>
    <row r="677">
      <c r="A677" s="65" t="n">
        <v>6.5</v>
      </c>
      <c r="B677" s="65" t="n">
        <v>20</v>
      </c>
      <c r="C677" s="65" t="n"/>
      <c r="D677" s="65" t="n"/>
      <c r="E677" s="65" t="n"/>
    </row>
    <row r="678">
      <c r="A678" s="65" t="n">
        <v>6.8</v>
      </c>
      <c r="B678" s="65" t="n">
        <v>53</v>
      </c>
      <c r="C678" s="65" t="n"/>
      <c r="D678" s="65" t="n"/>
      <c r="E678" s="65" t="n"/>
    </row>
    <row r="679">
      <c r="A679" s="65" t="n">
        <v>6.8</v>
      </c>
      <c r="B679" s="65" t="n">
        <v>122.9</v>
      </c>
      <c r="C679" s="65" t="n"/>
      <c r="D679" s="65" t="n"/>
      <c r="E679" s="65" t="n"/>
    </row>
    <row r="680">
      <c r="A680" s="65" t="n">
        <v>6.8</v>
      </c>
      <c r="B680" s="65" t="n">
        <v>26</v>
      </c>
      <c r="C680" s="65" t="n"/>
      <c r="D680" s="65" t="n"/>
      <c r="E680" s="65" t="n"/>
    </row>
    <row r="681">
      <c r="A681" s="65" t="n">
        <v>7.7</v>
      </c>
      <c r="B681" s="65" t="n">
        <v>40</v>
      </c>
      <c r="C681" s="65" t="n"/>
      <c r="D681" s="65" t="n"/>
      <c r="E681" s="65" t="n"/>
    </row>
    <row r="682">
      <c r="A682" s="65" t="n">
        <v>6.8</v>
      </c>
      <c r="B682" s="65" t="n">
        <v>21</v>
      </c>
      <c r="C682" s="65" t="n"/>
      <c r="D682" s="65" t="n"/>
      <c r="E682" s="65" t="n"/>
    </row>
    <row r="683">
      <c r="A683" s="65" t="n">
        <v>6.8</v>
      </c>
      <c r="B683" s="65" t="n">
        <v>18</v>
      </c>
      <c r="C683" s="65" t="n"/>
      <c r="D683" s="65" t="n"/>
      <c r="E683" s="65" t="n"/>
    </row>
    <row r="684">
      <c r="A684" s="65" t="n">
        <v>6.8</v>
      </c>
      <c r="B684" s="65" t="n">
        <v>40</v>
      </c>
      <c r="C684" s="65" t="n"/>
      <c r="D684" s="65" t="n"/>
      <c r="E684" s="65" t="n"/>
    </row>
    <row r="685">
      <c r="A685" s="65" t="n">
        <v>6.7</v>
      </c>
      <c r="B685" s="65" t="n">
        <v>30</v>
      </c>
      <c r="C685" s="65" t="n"/>
      <c r="D685" s="65" t="n"/>
      <c r="E685" s="65" t="n"/>
    </row>
    <row r="686">
      <c r="A686" s="65" t="n">
        <v>7</v>
      </c>
      <c r="B686" s="65" t="n">
        <v>22</v>
      </c>
      <c r="C686" s="65" t="n"/>
      <c r="D686" s="65" t="n"/>
      <c r="E686" s="65" t="n"/>
    </row>
    <row r="687">
      <c r="A687" s="65" t="n">
        <v>6.5</v>
      </c>
      <c r="B687" s="65" t="n">
        <v>28.9</v>
      </c>
      <c r="C687" s="65" t="n"/>
      <c r="D687" s="65" t="n"/>
      <c r="E687" s="65" t="n"/>
    </row>
    <row r="688">
      <c r="A688" s="65" t="n">
        <v>7.9</v>
      </c>
      <c r="B688" s="65" t="n">
        <v>35</v>
      </c>
      <c r="C688" s="65" t="n"/>
      <c r="D688" s="65" t="n"/>
      <c r="E688" s="65" t="n"/>
    </row>
    <row r="689">
      <c r="A689" s="65" t="n">
        <v>7.8</v>
      </c>
      <c r="B689" s="65" t="n">
        <v>40.5</v>
      </c>
      <c r="C689" s="65" t="n"/>
      <c r="D689" s="65" t="n"/>
      <c r="E689" s="65" t="n"/>
    </row>
    <row r="690">
      <c r="A690" s="65" t="n">
        <v>8.4</v>
      </c>
      <c r="B690" s="65" t="n">
        <v>34</v>
      </c>
      <c r="C690" s="65" t="n"/>
      <c r="D690" s="65" t="n"/>
      <c r="E690" s="65" t="n"/>
    </row>
    <row r="691">
      <c r="A691" s="65" t="n">
        <v>6.8</v>
      </c>
      <c r="B691" s="65" t="n">
        <v>15</v>
      </c>
      <c r="C691" s="65" t="n"/>
      <c r="D691" s="65" t="n"/>
      <c r="E691" s="65" t="n"/>
    </row>
    <row r="692">
      <c r="A692" s="65" t="n">
        <v>7.2</v>
      </c>
      <c r="B692" s="65" t="n">
        <v>35</v>
      </c>
      <c r="C692" s="65" t="n"/>
      <c r="D692" s="65" t="n"/>
      <c r="E692" s="65" t="n"/>
    </row>
    <row r="693">
      <c r="A693" s="65" t="n">
        <v>6.5</v>
      </c>
      <c r="B693" s="65" t="n">
        <v>15</v>
      </c>
      <c r="C693" s="65" t="n"/>
      <c r="D693" s="65" t="n"/>
      <c r="E693" s="65" t="n"/>
    </row>
    <row r="694">
      <c r="A694" s="65" t="n">
        <v>8</v>
      </c>
      <c r="B694" s="65" t="n">
        <v>39</v>
      </c>
      <c r="C694" s="65" t="n"/>
      <c r="D694" s="65" t="n"/>
      <c r="E694" s="65" t="n"/>
    </row>
    <row r="695">
      <c r="A695" s="65" t="n">
        <v>7.5</v>
      </c>
      <c r="B695" s="65" t="n">
        <v>280</v>
      </c>
      <c r="C695" s="65" t="n"/>
      <c r="D695" s="65" t="n"/>
      <c r="E695" s="65" t="n"/>
    </row>
    <row r="696">
      <c r="A696" s="65" t="n">
        <v>7.2</v>
      </c>
      <c r="B696" s="65" t="n">
        <v>120</v>
      </c>
      <c r="C696" s="65" t="n"/>
      <c r="D696" s="65" t="n"/>
      <c r="E696" s="65" t="n"/>
    </row>
    <row r="697">
      <c r="A697" s="65" t="n">
        <v>6.9</v>
      </c>
      <c r="B697" s="65" t="n">
        <v>25</v>
      </c>
      <c r="C697" s="65" t="n"/>
      <c r="D697" s="65" t="n"/>
      <c r="E697" s="65" t="n"/>
    </row>
    <row r="698">
      <c r="A698" s="65" t="n">
        <v>6.8</v>
      </c>
      <c r="B698" s="65" t="n">
        <v>350.4</v>
      </c>
      <c r="C698" s="65" t="n"/>
      <c r="D698" s="65" t="n"/>
      <c r="E698" s="65" t="n"/>
    </row>
    <row r="699">
      <c r="A699" s="65" t="n">
        <v>6.6</v>
      </c>
      <c r="B699" s="65" t="n">
        <v>12</v>
      </c>
      <c r="C699" s="65" t="n"/>
      <c r="D699" s="65" t="n"/>
      <c r="E699" s="65" t="n"/>
    </row>
    <row r="700">
      <c r="A700" s="65" t="n">
        <v>6.7</v>
      </c>
      <c r="B700" s="65" t="n">
        <v>23</v>
      </c>
      <c r="C700" s="65" t="n"/>
      <c r="D700" s="65" t="n"/>
      <c r="E700" s="65" t="n"/>
    </row>
    <row r="701">
      <c r="A701" s="65" t="n">
        <v>6.9</v>
      </c>
      <c r="B701" s="65" t="n">
        <v>10</v>
      </c>
      <c r="C701" s="65" t="n"/>
      <c r="D701" s="65" t="n"/>
      <c r="E701" s="65" t="n"/>
    </row>
    <row r="702">
      <c r="A702" s="65" t="n">
        <v>6.6</v>
      </c>
      <c r="B702" s="65" t="n">
        <v>10</v>
      </c>
      <c r="C702" s="65" t="n"/>
      <c r="D702" s="65" t="n"/>
      <c r="E702" s="65" t="n"/>
    </row>
    <row r="703">
      <c r="A703" s="65" t="n">
        <v>8.1</v>
      </c>
      <c r="B703" s="65" t="n">
        <v>24</v>
      </c>
      <c r="C703" s="65" t="n"/>
      <c r="D703" s="65" t="n"/>
      <c r="E703" s="65" t="n"/>
    </row>
    <row r="704">
      <c r="A704" s="65" t="n">
        <v>6.7</v>
      </c>
      <c r="B704" s="65" t="n">
        <v>8</v>
      </c>
      <c r="C704" s="65" t="n"/>
      <c r="D704" s="65" t="n"/>
      <c r="E704" s="65" t="n"/>
    </row>
    <row r="705">
      <c r="A705" s="65" t="n">
        <v>7.1</v>
      </c>
      <c r="B705" s="65" t="n">
        <v>34</v>
      </c>
      <c r="C705" s="65" t="n"/>
      <c r="D705" s="65" t="n"/>
      <c r="E705" s="65" t="n"/>
    </row>
    <row r="706">
      <c r="A706" s="65" t="n">
        <v>6.7</v>
      </c>
      <c r="B706" s="65" t="n">
        <v>12</v>
      </c>
      <c r="C706" s="65" t="n"/>
      <c r="D706" s="65" t="n"/>
      <c r="E706" s="65" t="n"/>
    </row>
    <row r="707">
      <c r="A707" s="65" t="n">
        <v>7.5</v>
      </c>
      <c r="B707" s="65" t="n">
        <v>22</v>
      </c>
      <c r="C707" s="65" t="n"/>
      <c r="D707" s="65" t="n"/>
      <c r="E707" s="65" t="n"/>
    </row>
    <row r="708">
      <c r="A708" s="65" t="n">
        <v>8.1</v>
      </c>
      <c r="B708" s="65" t="n">
        <v>10</v>
      </c>
      <c r="C708" s="65" t="n"/>
      <c r="D708" s="65" t="n"/>
      <c r="E708" s="65" t="n"/>
    </row>
    <row r="709">
      <c r="A709" s="65" t="n">
        <v>6.9</v>
      </c>
      <c r="B709" s="65" t="n">
        <v>10</v>
      </c>
      <c r="C709" s="65" t="n"/>
      <c r="D709" s="65" t="n"/>
      <c r="E709" s="65" t="n"/>
    </row>
    <row r="710">
      <c r="A710" s="65" t="n">
        <v>7.1</v>
      </c>
      <c r="B710" s="65" t="n">
        <v>10</v>
      </c>
      <c r="C710" s="65" t="n"/>
      <c r="D710" s="65" t="n"/>
      <c r="E710" s="65" t="n"/>
    </row>
    <row r="711">
      <c r="A711" s="65" t="n">
        <v>8.300000000000001</v>
      </c>
      <c r="B711" s="65" t="n">
        <v>10</v>
      </c>
      <c r="C711" s="65" t="n"/>
      <c r="D711" s="65" t="n"/>
      <c r="E711" s="65" t="n"/>
    </row>
    <row r="712">
      <c r="A712" s="65" t="n">
        <v>6.6</v>
      </c>
      <c r="B712" s="65" t="n">
        <v>11</v>
      </c>
      <c r="C712" s="65" t="n"/>
      <c r="D712" s="65" t="n"/>
      <c r="E712" s="65" t="n"/>
    </row>
    <row r="713">
      <c r="A713" s="65" t="n">
        <v>6.7</v>
      </c>
      <c r="B713" s="65" t="n">
        <v>23</v>
      </c>
      <c r="C713" s="65" t="n"/>
      <c r="D713" s="65" t="n"/>
      <c r="E713" s="65" t="n"/>
    </row>
    <row r="714">
      <c r="A714" s="65" t="n">
        <v>6.7</v>
      </c>
      <c r="B714" s="65" t="n">
        <v>32</v>
      </c>
      <c r="C714" s="65" t="n"/>
      <c r="D714" s="65" t="n"/>
      <c r="E714" s="65" t="n"/>
    </row>
    <row r="715">
      <c r="A715" s="65" t="n">
        <v>6.7</v>
      </c>
      <c r="B715" s="65" t="n">
        <v>38.182</v>
      </c>
      <c r="C715" s="65" t="n"/>
      <c r="D715" s="65" t="n"/>
      <c r="E715" s="65" t="n"/>
    </row>
    <row r="716">
      <c r="A716" s="65" t="n">
        <v>6.9</v>
      </c>
      <c r="B716" s="65" t="n">
        <v>28</v>
      </c>
      <c r="C716" s="65" t="n"/>
      <c r="D716" s="65" t="n"/>
      <c r="E716" s="65" t="n"/>
    </row>
    <row r="717">
      <c r="A717" s="65" t="n">
        <v>6.8</v>
      </c>
      <c r="B717" s="65" t="n">
        <v>38</v>
      </c>
      <c r="C717" s="65" t="n"/>
      <c r="D717" s="65" t="n"/>
      <c r="E717" s="65" t="n"/>
    </row>
    <row r="718">
      <c r="A718" s="65" t="n">
        <v>6.5</v>
      </c>
      <c r="B718" s="65" t="n">
        <v>43</v>
      </c>
      <c r="C718" s="65" t="n"/>
      <c r="D718" s="65" t="n"/>
      <c r="E718" s="65" t="n"/>
    </row>
    <row r="719">
      <c r="A719" s="65" t="n">
        <v>6.8</v>
      </c>
      <c r="B719" s="65" t="n">
        <v>150</v>
      </c>
      <c r="C719" s="65" t="n"/>
      <c r="D719" s="65" t="n"/>
      <c r="E719" s="65" t="n"/>
    </row>
    <row r="720">
      <c r="A720" s="65" t="n">
        <v>7.7</v>
      </c>
      <c r="B720" s="65" t="n">
        <v>20</v>
      </c>
      <c r="C720" s="65" t="n"/>
      <c r="D720" s="65" t="n"/>
      <c r="E720" s="65" t="n"/>
    </row>
    <row r="721">
      <c r="A721" s="65" t="n">
        <v>6.5</v>
      </c>
      <c r="B721" s="65" t="n">
        <v>34</v>
      </c>
      <c r="C721" s="65" t="n"/>
      <c r="D721" s="65" t="n"/>
      <c r="E721" s="65" t="n"/>
    </row>
    <row r="722">
      <c r="A722" s="65" t="n">
        <v>6.6</v>
      </c>
      <c r="B722" s="65" t="n">
        <v>19</v>
      </c>
      <c r="C722" s="65" t="n"/>
      <c r="D722" s="65" t="n"/>
      <c r="E722" s="65" t="n"/>
    </row>
    <row r="723">
      <c r="A723" s="65" t="n">
        <v>6.8</v>
      </c>
      <c r="B723" s="65" t="n">
        <v>12</v>
      </c>
      <c r="C723" s="65" t="n"/>
      <c r="D723" s="65" t="n"/>
      <c r="E723" s="65" t="n"/>
    </row>
    <row r="724">
      <c r="A724" s="65" t="n">
        <v>8</v>
      </c>
      <c r="B724" s="65" t="n">
        <v>55</v>
      </c>
      <c r="C724" s="65" t="n"/>
      <c r="D724" s="65" t="n"/>
      <c r="E724" s="65" t="n"/>
    </row>
    <row r="725">
      <c r="A725" s="65" t="n">
        <v>8</v>
      </c>
      <c r="B725" s="65" t="n">
        <v>60.5</v>
      </c>
      <c r="C725" s="65" t="n"/>
      <c r="D725" s="65" t="n"/>
      <c r="E725" s="65" t="n"/>
    </row>
    <row r="726">
      <c r="A726" s="65" t="n">
        <v>6.5</v>
      </c>
      <c r="B726" s="65" t="n">
        <v>12</v>
      </c>
      <c r="C726" s="65" t="n"/>
      <c r="D726" s="65" t="n"/>
      <c r="E726" s="65" t="n"/>
    </row>
    <row r="727">
      <c r="A727" s="65" t="n">
        <v>6.7</v>
      </c>
      <c r="B727" s="65" t="n">
        <v>12</v>
      </c>
      <c r="C727" s="65" t="n"/>
      <c r="D727" s="65" t="n"/>
      <c r="E727" s="65" t="n"/>
    </row>
    <row r="728">
      <c r="A728" s="65" t="n">
        <v>6.6</v>
      </c>
      <c r="B728" s="65" t="n">
        <v>11</v>
      </c>
      <c r="C728" s="65" t="n"/>
      <c r="D728" s="65" t="n"/>
      <c r="E728" s="65" t="n"/>
    </row>
    <row r="729">
      <c r="A729" s="65" t="n">
        <v>7.6</v>
      </c>
      <c r="B729" s="65" t="n">
        <v>22</v>
      </c>
      <c r="C729" s="65" t="n"/>
      <c r="D729" s="65" t="n"/>
      <c r="E729" s="65" t="n"/>
    </row>
    <row r="730">
      <c r="A730" s="65" t="n">
        <v>6.5</v>
      </c>
      <c r="B730" s="65" t="n">
        <v>14</v>
      </c>
      <c r="C730" s="65" t="n"/>
      <c r="D730" s="65" t="n"/>
      <c r="E730" s="65" t="n"/>
    </row>
    <row r="731">
      <c r="A731" s="65" t="n">
        <v>6.7</v>
      </c>
      <c r="B731" s="65" t="n">
        <v>30.1</v>
      </c>
      <c r="C731" s="65" t="n"/>
      <c r="D731" s="65" t="n"/>
      <c r="E731" s="65" t="n"/>
    </row>
    <row r="732">
      <c r="A732" s="65" t="n">
        <v>7</v>
      </c>
      <c r="B732" s="65" t="n">
        <v>11</v>
      </c>
      <c r="C732" s="65" t="n"/>
      <c r="D732" s="65" t="n"/>
      <c r="E732" s="65" t="n"/>
    </row>
    <row r="733">
      <c r="A733" s="65" t="n">
        <v>6.7</v>
      </c>
      <c r="B733" s="65" t="n">
        <v>66</v>
      </c>
      <c r="C733" s="65" t="n"/>
      <c r="D733" s="65" t="n"/>
      <c r="E733" s="65" t="n"/>
    </row>
    <row r="734">
      <c r="A734" s="65" t="n">
        <v>6.6</v>
      </c>
      <c r="B734" s="65" t="n">
        <v>14</v>
      </c>
      <c r="C734" s="65" t="n"/>
      <c r="D734" s="65" t="n"/>
      <c r="E734" s="65" t="n"/>
    </row>
    <row r="735">
      <c r="A735" s="65" t="n">
        <v>6.5</v>
      </c>
      <c r="B735" s="65" t="n">
        <v>224.6</v>
      </c>
      <c r="C735" s="65" t="n"/>
      <c r="D735" s="65" t="n"/>
      <c r="E735" s="65" t="n"/>
    </row>
    <row r="736">
      <c r="A736" s="65" t="n">
        <v>6.8</v>
      </c>
      <c r="B736" s="65" t="n">
        <v>22</v>
      </c>
      <c r="C736" s="65" t="n"/>
      <c r="D736" s="65" t="n"/>
      <c r="E736" s="65" t="n"/>
    </row>
    <row r="737">
      <c r="A737" s="65" t="n">
        <v>6.5</v>
      </c>
      <c r="B737" s="65" t="n">
        <v>29</v>
      </c>
      <c r="C737" s="65" t="n"/>
      <c r="D737" s="65" t="n"/>
      <c r="E737" s="65" t="n"/>
    </row>
    <row r="738">
      <c r="A738" s="65" t="n">
        <v>6.5</v>
      </c>
      <c r="B738" s="65" t="n">
        <v>21</v>
      </c>
      <c r="C738" s="65" t="n"/>
      <c r="D738" s="65" t="n"/>
      <c r="E738" s="65" t="n"/>
    </row>
    <row r="739">
      <c r="A739" s="65" t="n">
        <v>6.8</v>
      </c>
      <c r="B739" s="65" t="n">
        <v>147</v>
      </c>
      <c r="C739" s="65" t="n"/>
      <c r="D739" s="65" t="n"/>
      <c r="E739" s="65" t="n"/>
    </row>
    <row r="740">
      <c r="A740" s="65" t="n">
        <v>7.6</v>
      </c>
      <c r="B740" s="65" t="n">
        <v>26</v>
      </c>
      <c r="C740" s="65" t="n"/>
      <c r="D740" s="65" t="n"/>
      <c r="E740" s="65" t="n"/>
    </row>
    <row r="741">
      <c r="A741" s="65" t="n">
        <v>6.6</v>
      </c>
      <c r="B741" s="65" t="n">
        <v>25</v>
      </c>
      <c r="C741" s="65" t="n"/>
      <c r="D741" s="65" t="n"/>
      <c r="E741" s="65" t="n"/>
    </row>
    <row r="742">
      <c r="A742" s="65" t="n">
        <v>7.5</v>
      </c>
      <c r="B742" s="65" t="n">
        <v>115</v>
      </c>
      <c r="C742" s="65" t="n"/>
      <c r="D742" s="65" t="n"/>
      <c r="E742" s="65" t="n"/>
    </row>
    <row r="743">
      <c r="A743" s="65" t="n">
        <v>7.6</v>
      </c>
      <c r="B743" s="65" t="n">
        <v>90</v>
      </c>
      <c r="C743" s="65" t="n"/>
      <c r="D743" s="65" t="n"/>
      <c r="E743" s="65" t="n"/>
    </row>
    <row r="744">
      <c r="A744" s="65" t="n">
        <v>7.2</v>
      </c>
      <c r="B744" s="65" t="n">
        <v>36</v>
      </c>
      <c r="C744" s="65" t="n"/>
      <c r="D744" s="65" t="n"/>
      <c r="E744" s="65" t="n"/>
    </row>
    <row r="745">
      <c r="A745" s="65" t="n">
        <v>7.2</v>
      </c>
      <c r="B745" s="65" t="n">
        <v>16</v>
      </c>
      <c r="C745" s="65" t="n"/>
      <c r="D745" s="65" t="n"/>
      <c r="E745" s="65" t="n"/>
    </row>
    <row r="746">
      <c r="A746" s="65" t="n">
        <v>6.7</v>
      </c>
      <c r="B746" s="65" t="n">
        <v>21</v>
      </c>
      <c r="C746" s="65" t="n"/>
      <c r="D746" s="65" t="n"/>
      <c r="E746" s="65" t="n"/>
    </row>
    <row r="747">
      <c r="A747" s="65" t="n">
        <v>6.6</v>
      </c>
      <c r="B747" s="65" t="n">
        <v>27</v>
      </c>
      <c r="C747" s="65" t="n"/>
      <c r="D747" s="65" t="n"/>
      <c r="E747" s="65" t="n"/>
    </row>
    <row r="748">
      <c r="A748" s="65" t="n">
        <v>7.2</v>
      </c>
      <c r="B748" s="65" t="n">
        <v>16</v>
      </c>
      <c r="C748" s="65" t="n"/>
      <c r="D748" s="65" t="n"/>
      <c r="E748" s="65" t="n"/>
    </row>
    <row r="749">
      <c r="A749" s="65" t="n">
        <v>7.8</v>
      </c>
      <c r="B749" s="65" t="n">
        <v>115.6</v>
      </c>
      <c r="C749" s="65" t="n"/>
      <c r="D749" s="65" t="n"/>
      <c r="E749" s="65" t="n"/>
    </row>
    <row r="750">
      <c r="A750" s="65" t="n">
        <v>6.9</v>
      </c>
      <c r="B750" s="65" t="n">
        <v>30</v>
      </c>
      <c r="C750" s="65" t="n"/>
      <c r="D750" s="65" t="n"/>
      <c r="E750" s="65" t="n"/>
    </row>
    <row r="751">
      <c r="A751" s="65" t="n">
        <v>6.7</v>
      </c>
      <c r="B751" s="65" t="n">
        <v>34</v>
      </c>
      <c r="C751" s="65" t="n"/>
      <c r="D751" s="65" t="n"/>
      <c r="E751" s="65" t="n"/>
    </row>
    <row r="752">
      <c r="A752" s="65" t="n">
        <v>6.5</v>
      </c>
      <c r="B752" s="65" t="n">
        <v>30</v>
      </c>
      <c r="C752" s="65" t="n"/>
      <c r="D752" s="65" t="n"/>
      <c r="E752" s="65" t="n"/>
    </row>
    <row r="753">
      <c r="A753" s="65" t="n">
        <v>6.7</v>
      </c>
      <c r="B753" s="65" t="n">
        <v>19</v>
      </c>
      <c r="C753" s="65" t="n"/>
      <c r="D753" s="65" t="n"/>
      <c r="E753" s="65" t="n"/>
    </row>
    <row r="754">
      <c r="A754" s="65" t="n">
        <v>8.6</v>
      </c>
      <c r="B754" s="65" t="n">
        <v>30</v>
      </c>
      <c r="C754" s="65" t="n"/>
      <c r="D754" s="65" t="n"/>
      <c r="E754" s="65" t="n"/>
    </row>
    <row r="755">
      <c r="A755" s="65" t="n">
        <v>6.6</v>
      </c>
      <c r="B755" s="65" t="n">
        <v>10</v>
      </c>
      <c r="C755" s="65" t="n"/>
      <c r="D755" s="65" t="n"/>
      <c r="E755" s="65" t="n"/>
    </row>
    <row r="756">
      <c r="A756" s="65" t="n">
        <v>7.1</v>
      </c>
      <c r="B756" s="65" t="n">
        <v>201.7</v>
      </c>
      <c r="C756" s="65" t="n"/>
      <c r="D756" s="65" t="n"/>
      <c r="E756" s="65" t="n"/>
    </row>
    <row r="757">
      <c r="A757" s="65" t="n">
        <v>6.8</v>
      </c>
      <c r="B757" s="65" t="n">
        <v>36</v>
      </c>
      <c r="C757" s="65" t="n"/>
      <c r="D757" s="65" t="n"/>
      <c r="E757" s="65" t="n"/>
    </row>
    <row r="758">
      <c r="A758" s="65" t="n">
        <v>6.5</v>
      </c>
      <c r="B758" s="65" t="n">
        <v>10</v>
      </c>
      <c r="C758" s="65" t="n"/>
      <c r="D758" s="65" t="n"/>
      <c r="E758" s="65" t="n"/>
    </row>
    <row r="759">
      <c r="A759" s="65" t="n">
        <v>6.5</v>
      </c>
      <c r="B759" s="65" t="n">
        <v>39.7</v>
      </c>
      <c r="C759" s="65" t="n"/>
      <c r="D759" s="65" t="n"/>
      <c r="E759" s="65" t="n"/>
    </row>
    <row r="760">
      <c r="A760" s="65" t="n">
        <v>6.7</v>
      </c>
      <c r="B760" s="65" t="n">
        <v>206.3</v>
      </c>
      <c r="C760" s="65" t="n"/>
      <c r="D760" s="65" t="n"/>
      <c r="E760" s="65" t="n"/>
    </row>
    <row r="761">
      <c r="A761" s="65" t="n">
        <v>7.1</v>
      </c>
      <c r="B761" s="65" t="n">
        <v>525</v>
      </c>
      <c r="C761" s="65" t="n"/>
      <c r="D761" s="65" t="n"/>
      <c r="E761" s="65" t="n"/>
    </row>
    <row r="762">
      <c r="A762" s="65" t="n">
        <v>6.6</v>
      </c>
      <c r="B762" s="65" t="n">
        <v>27.8</v>
      </c>
      <c r="C762" s="65" t="n"/>
      <c r="D762" s="65" t="n"/>
      <c r="E762" s="65" t="n"/>
    </row>
    <row r="763">
      <c r="A763" s="65" t="n">
        <v>6.6</v>
      </c>
      <c r="B763" s="65" t="n">
        <v>16.1</v>
      </c>
      <c r="C763" s="65" t="n"/>
      <c r="D763" s="65" t="n"/>
      <c r="E763" s="65" t="n"/>
    </row>
    <row r="764">
      <c r="A764" s="65" t="n">
        <v>7.2</v>
      </c>
      <c r="B764" s="65" t="n">
        <v>39.2</v>
      </c>
      <c r="C764" s="65" t="n"/>
      <c r="D764" s="65" t="n"/>
      <c r="E764" s="65" t="n"/>
    </row>
    <row r="765">
      <c r="A765" s="65" t="n">
        <v>9.1</v>
      </c>
      <c r="B765" s="65" t="n">
        <v>30</v>
      </c>
      <c r="C765" s="65" t="n"/>
      <c r="D765" s="65" t="n"/>
      <c r="E765" s="65" t="n"/>
    </row>
    <row r="766">
      <c r="A766" s="65" t="n">
        <v>8.1</v>
      </c>
      <c r="B766" s="65" t="n">
        <v>10</v>
      </c>
      <c r="C766" s="65" t="n"/>
      <c r="D766" s="65" t="n"/>
      <c r="E766" s="65" t="n"/>
    </row>
    <row r="767">
      <c r="A767" s="65" t="n">
        <v>6.8</v>
      </c>
      <c r="B767" s="65" t="n">
        <v>10</v>
      </c>
      <c r="C767" s="65" t="n"/>
      <c r="D767" s="65" t="n"/>
      <c r="E767" s="65" t="n"/>
    </row>
    <row r="768">
      <c r="A768" s="65" t="n">
        <v>6.8</v>
      </c>
      <c r="B768" s="65" t="n">
        <v>35</v>
      </c>
      <c r="C768" s="65" t="n"/>
      <c r="D768" s="65" t="n"/>
      <c r="E768" s="65" t="n"/>
    </row>
    <row r="769">
      <c r="A769" s="65" t="n">
        <v>7</v>
      </c>
      <c r="B769" s="65" t="n">
        <v>39</v>
      </c>
      <c r="C769" s="65" t="n"/>
      <c r="D769" s="65" t="n"/>
      <c r="E769" s="65" t="n"/>
    </row>
    <row r="770">
      <c r="A770" s="65" t="n">
        <v>7.1</v>
      </c>
      <c r="B770" s="65" t="n">
        <v>10</v>
      </c>
      <c r="C770" s="65" t="n"/>
      <c r="D770" s="65" t="n"/>
      <c r="E770" s="65" t="n"/>
    </row>
    <row r="771">
      <c r="A771" s="65" t="n">
        <v>7.1</v>
      </c>
      <c r="B771" s="65" t="n">
        <v>10</v>
      </c>
      <c r="C771" s="65" t="n"/>
      <c r="D771" s="65" t="n"/>
      <c r="E771" s="65" t="n"/>
    </row>
    <row r="772">
      <c r="A772" s="65" t="n">
        <v>7.2</v>
      </c>
      <c r="B772" s="65" t="n">
        <v>15</v>
      </c>
      <c r="C772" s="65" t="n"/>
      <c r="D772" s="65" t="n"/>
      <c r="E772" s="65" t="n"/>
    </row>
    <row r="773">
      <c r="A773" s="65" t="n">
        <v>7.5</v>
      </c>
      <c r="B773" s="65" t="n">
        <v>10</v>
      </c>
      <c r="C773" s="65" t="n"/>
      <c r="D773" s="65" t="n"/>
      <c r="E773" s="65" t="n"/>
    </row>
    <row r="774">
      <c r="A774" s="65" t="n">
        <v>6.7</v>
      </c>
      <c r="B774" s="65" t="n">
        <v>10</v>
      </c>
      <c r="C774" s="65" t="n"/>
      <c r="D774" s="65" t="n"/>
      <c r="E774" s="65" t="n"/>
    </row>
    <row r="775">
      <c r="A775" s="65" t="n">
        <v>6.7</v>
      </c>
      <c r="B775" s="65" t="n">
        <v>10</v>
      </c>
      <c r="C775" s="65" t="n"/>
      <c r="D775" s="65" t="n"/>
      <c r="E775" s="65" t="n"/>
    </row>
    <row r="776">
      <c r="A776" s="65" t="n">
        <v>6.6</v>
      </c>
      <c r="B776" s="65" t="n">
        <v>16</v>
      </c>
      <c r="C776" s="65" t="n"/>
      <c r="D776" s="65" t="n"/>
      <c r="E776" s="65" t="n"/>
    </row>
    <row r="777">
      <c r="A777" s="65" t="n">
        <v>6.7</v>
      </c>
      <c r="B777" s="65" t="n">
        <v>94</v>
      </c>
      <c r="C777" s="65" t="n"/>
      <c r="D777" s="65" t="n"/>
      <c r="E777" s="65" t="n"/>
    </row>
    <row r="778">
      <c r="A778" s="65" t="n">
        <v>7</v>
      </c>
      <c r="B778" s="65" t="n">
        <v>35</v>
      </c>
      <c r="C778" s="65" t="n"/>
      <c r="D778" s="65" t="n"/>
      <c r="E778" s="65" t="n"/>
    </row>
    <row r="779">
      <c r="A779" s="65" t="n">
        <v>6.5</v>
      </c>
      <c r="B779" s="65" t="n">
        <v>105</v>
      </c>
      <c r="C779" s="65" t="n"/>
      <c r="D779" s="65" t="n"/>
      <c r="E779" s="65" t="n"/>
    </row>
    <row r="780">
      <c r="A780" s="65" t="n">
        <v>6.8</v>
      </c>
      <c r="B780" s="65" t="n">
        <v>36</v>
      </c>
      <c r="C780" s="65" t="n"/>
      <c r="D780" s="65" t="n"/>
      <c r="E780" s="65" t="n"/>
    </row>
    <row r="781">
      <c r="A781" s="65" t="n">
        <v>6.6</v>
      </c>
      <c r="B781" s="65" t="n">
        <v>10</v>
      </c>
      <c r="C781" s="65" t="n"/>
      <c r="D781" s="65" t="n"/>
      <c r="E781" s="65" t="n"/>
    </row>
    <row r="782">
      <c r="A782" s="65" t="n">
        <v>7.4</v>
      </c>
      <c r="B782" s="65" t="n">
        <v>10</v>
      </c>
      <c r="C782" s="65" t="n"/>
      <c r="D782" s="65" t="n"/>
      <c r="E782" s="65" t="n"/>
    </row>
    <row r="783">
      <c r="A783" s="65" t="n">
        <v>7.2</v>
      </c>
      <c r="B783" s="65" t="n">
        <v>14</v>
      </c>
      <c r="C783" s="65" t="n"/>
      <c r="D783" s="65" t="n"/>
      <c r="E783" s="65" t="n"/>
    </row>
    <row r="784">
      <c r="A784" s="65" t="n">
        <v>6.5</v>
      </c>
      <c r="B784" s="65" t="n">
        <v>5</v>
      </c>
      <c r="C784" s="65" t="n"/>
      <c r="D784" s="65" t="n"/>
      <c r="E784" s="65" t="n"/>
    </row>
    <row r="785">
      <c r="A785" s="65" t="n">
        <v>6.5</v>
      </c>
      <c r="B785" s="65" t="n">
        <v>13.4</v>
      </c>
      <c r="C785" s="65" t="n"/>
      <c r="D785" s="65" t="n"/>
      <c r="E785" s="65" t="n"/>
    </row>
    <row r="786">
      <c r="A786" s="65" t="n">
        <v>6.9</v>
      </c>
      <c r="B786" s="65" t="n">
        <v>188.6</v>
      </c>
      <c r="C786" s="65" t="n"/>
      <c r="D786" s="65" t="n"/>
      <c r="E786" s="65" t="n"/>
    </row>
    <row r="787">
      <c r="A787" s="65" t="n">
        <v>6.6</v>
      </c>
      <c r="B787" s="65" t="n">
        <v>21</v>
      </c>
      <c r="C787" s="65" t="n"/>
      <c r="D787" s="65" t="n"/>
      <c r="E787" s="65" t="n"/>
    </row>
    <row r="788">
      <c r="A788" s="65" t="n">
        <v>6.7</v>
      </c>
      <c r="B788" s="65" t="n">
        <v>65.8</v>
      </c>
      <c r="C788" s="65" t="n"/>
      <c r="D788" s="65" t="n"/>
      <c r="E788" s="65" t="n"/>
    </row>
    <row r="789">
      <c r="A789" s="65" t="n">
        <v>6.5</v>
      </c>
      <c r="B789" s="65" t="n">
        <v>228.4</v>
      </c>
      <c r="C789" s="65" t="n"/>
      <c r="D789" s="65" t="n"/>
      <c r="E789" s="65" t="n"/>
    </row>
    <row r="790">
      <c r="A790" s="65" t="n">
        <v>6.6</v>
      </c>
      <c r="B790" s="65" t="n">
        <v>187.1</v>
      </c>
      <c r="C790" s="65" t="n"/>
      <c r="D790" s="65" t="n"/>
      <c r="E790" s="65" t="n"/>
    </row>
    <row r="791">
      <c r="A791" s="65" t="n">
        <v>6.7</v>
      </c>
      <c r="B791" s="65" t="n">
        <v>25.7</v>
      </c>
      <c r="C791" s="65" t="n"/>
      <c r="D791" s="65" t="n"/>
      <c r="E791" s="65" t="n"/>
    </row>
    <row r="792">
      <c r="A792" s="65" t="n">
        <v>7.3</v>
      </c>
      <c r="B792" s="65" t="n">
        <v>10</v>
      </c>
      <c r="C792" s="65" t="n"/>
      <c r="D792" s="65" t="n"/>
      <c r="E792" s="65" t="n"/>
    </row>
    <row r="793">
      <c r="A793" s="65" t="n">
        <v>7</v>
      </c>
      <c r="B793" s="65" t="n">
        <v>16.6</v>
      </c>
      <c r="C793" s="65" t="n"/>
      <c r="D793" s="65" t="n"/>
      <c r="E793" s="65" t="n"/>
    </row>
    <row r="794">
      <c r="A794" s="65" t="n">
        <v>6.7</v>
      </c>
      <c r="B794" s="65" t="n">
        <v>17.4</v>
      </c>
      <c r="C794" s="65" t="n"/>
      <c r="D794" s="65" t="n"/>
      <c r="E794" s="65" t="n"/>
    </row>
    <row r="795">
      <c r="A795" s="65" t="n">
        <v>7.3</v>
      </c>
      <c r="B795" s="65" t="n">
        <v>10</v>
      </c>
      <c r="C795" s="65" t="n"/>
      <c r="D795" s="65" t="n"/>
      <c r="E795" s="65" t="n"/>
    </row>
    <row r="796">
      <c r="A796" s="65" t="n">
        <v>6.6</v>
      </c>
      <c r="B796" s="65" t="n">
        <v>10</v>
      </c>
      <c r="C796" s="65" t="n"/>
      <c r="D796" s="65" t="n"/>
      <c r="E796" s="65" t="n"/>
    </row>
    <row r="797">
      <c r="A797" s="65" t="n">
        <v>6.5</v>
      </c>
      <c r="B797" s="65" t="n">
        <v>33</v>
      </c>
      <c r="C797" s="65" t="n"/>
      <c r="D797" s="65" t="n"/>
      <c r="E797" s="65" t="n"/>
    </row>
    <row r="798">
      <c r="A798" s="65" t="n">
        <v>6.5</v>
      </c>
      <c r="B798" s="65" t="n">
        <v>8.382</v>
      </c>
      <c r="C798" s="65" t="n"/>
      <c r="D798" s="65" t="n"/>
      <c r="E798" s="65" t="n"/>
    </row>
    <row r="799">
      <c r="A799" s="65" t="n">
        <v>6.8</v>
      </c>
      <c r="B799" s="65" t="n">
        <v>10</v>
      </c>
      <c r="C799" s="65" t="n"/>
      <c r="D799" s="65" t="n"/>
      <c r="E799" s="65" t="n"/>
    </row>
    <row r="800">
      <c r="A800" s="65" t="n">
        <v>6.6</v>
      </c>
      <c r="B800" s="65" t="n">
        <v>35</v>
      </c>
      <c r="C800" s="65" t="n"/>
      <c r="D800" s="65" t="n"/>
      <c r="E800" s="65" t="n"/>
    </row>
    <row r="801">
      <c r="A801" s="65" t="n">
        <v>6.5</v>
      </c>
      <c r="B801" s="65" t="n">
        <v>35</v>
      </c>
      <c r="C801" s="65" t="n"/>
      <c r="D801" s="65" t="n"/>
      <c r="E801" s="65" t="n"/>
    </row>
    <row r="802">
      <c r="A802" s="65" t="n">
        <v>6.6</v>
      </c>
      <c r="B802" s="65" t="n">
        <v>113.7</v>
      </c>
      <c r="C802" s="65" t="n"/>
      <c r="D802" s="65" t="n"/>
      <c r="E802" s="65" t="n"/>
    </row>
    <row r="803">
      <c r="A803" s="65" t="n">
        <v>7</v>
      </c>
      <c r="B803" s="65" t="n">
        <v>10</v>
      </c>
      <c r="C803" s="65" t="n"/>
      <c r="D803" s="65" t="n"/>
      <c r="E803" s="65" t="n"/>
    </row>
    <row r="804">
      <c r="A804" s="65" t="n">
        <v>6.7</v>
      </c>
      <c r="B804" s="65" t="n">
        <v>32</v>
      </c>
      <c r="C804" s="65" t="n"/>
      <c r="D804" s="65" t="n"/>
      <c r="E804" s="65" t="n"/>
    </row>
    <row r="805">
      <c r="A805" s="65" t="n">
        <v>6.7</v>
      </c>
      <c r="B805" s="65" t="n">
        <v>10</v>
      </c>
      <c r="C805" s="65" t="n"/>
      <c r="D805" s="65" t="n"/>
      <c r="E805" s="65" t="n"/>
    </row>
    <row r="806">
      <c r="A806" s="65" t="n">
        <v>6.5</v>
      </c>
      <c r="B806" s="65" t="n">
        <v>25</v>
      </c>
      <c r="C806" s="65" t="n"/>
      <c r="D806" s="65" t="n"/>
      <c r="E806" s="65" t="n"/>
    </row>
    <row r="807">
      <c r="A807" s="65" t="n">
        <v>7.3</v>
      </c>
      <c r="B807" s="65" t="n">
        <v>16</v>
      </c>
      <c r="C807" s="65" t="n"/>
      <c r="D807" s="65" t="n"/>
      <c r="E807" s="65" t="n"/>
    </row>
    <row r="808">
      <c r="A808" s="65" t="n">
        <v>7.4</v>
      </c>
      <c r="B808" s="65" t="n">
        <v>33</v>
      </c>
      <c r="C808" s="65" t="n"/>
      <c r="D808" s="65" t="n"/>
      <c r="E808" s="65" t="n"/>
    </row>
    <row r="809">
      <c r="A809" s="65" t="n">
        <v>8.16</v>
      </c>
      <c r="B809" s="65" t="n">
        <v>27</v>
      </c>
      <c r="C809" s="65" t="n"/>
      <c r="D809" s="65" t="n"/>
      <c r="E809" s="65" t="n"/>
    </row>
    <row r="810">
      <c r="A810" s="65" t="n">
        <v>6.6</v>
      </c>
      <c r="B810" s="65" t="n">
        <v>10</v>
      </c>
      <c r="C810" s="65" t="n"/>
      <c r="D810" s="65" t="n"/>
      <c r="E810" s="65" t="n"/>
    </row>
    <row r="811">
      <c r="A811" s="65" t="n">
        <v>7.2</v>
      </c>
      <c r="B811" s="65" t="n">
        <v>28</v>
      </c>
      <c r="C811" s="65" t="n"/>
      <c r="D811" s="65" t="n"/>
      <c r="E811" s="65" t="n"/>
    </row>
    <row r="812">
      <c r="A812" s="65" t="n">
        <v>7.6</v>
      </c>
      <c r="B812" s="65" t="n">
        <v>10</v>
      </c>
      <c r="C812" s="65" t="n"/>
      <c r="D812" s="65" t="n"/>
      <c r="E812" s="65" t="n"/>
    </row>
    <row r="813">
      <c r="A813" s="65" t="n">
        <v>6.5</v>
      </c>
      <c r="B813" s="65" t="n">
        <v>33</v>
      </c>
      <c r="C813" s="65" t="n"/>
      <c r="D813" s="65" t="n"/>
      <c r="E813" s="65" t="n"/>
    </row>
    <row r="814">
      <c r="A814" s="65" t="n">
        <v>6.8</v>
      </c>
      <c r="B814" s="65" t="n">
        <v>33</v>
      </c>
      <c r="C814" s="65" t="n"/>
      <c r="D814" s="65" t="n"/>
      <c r="E814" s="65" t="n"/>
    </row>
    <row r="815">
      <c r="A815" s="65" t="n">
        <v>6.9</v>
      </c>
      <c r="B815" s="65" t="n">
        <v>174.8</v>
      </c>
      <c r="C815" s="65" t="n"/>
      <c r="D815" s="65" t="n"/>
      <c r="E815" s="65" t="n"/>
    </row>
    <row r="816">
      <c r="A816" s="65" t="n">
        <v>6.6</v>
      </c>
      <c r="B816" s="65" t="n">
        <v>33</v>
      </c>
      <c r="C816" s="65" t="n"/>
      <c r="D816" s="65" t="n"/>
      <c r="E816" s="65" t="n"/>
    </row>
    <row r="817">
      <c r="A817" s="65" t="n">
        <v>7</v>
      </c>
      <c r="B817" s="65" t="n">
        <v>31</v>
      </c>
      <c r="C817" s="65" t="n"/>
      <c r="D817" s="65" t="n"/>
      <c r="E817" s="65" t="n"/>
    </row>
    <row r="818">
      <c r="A818" s="65" t="n">
        <v>7</v>
      </c>
      <c r="B818" s="65" t="n">
        <v>68</v>
      </c>
      <c r="C818" s="65" t="n"/>
      <c r="D818" s="65" t="n"/>
      <c r="E818" s="65" t="n"/>
    </row>
    <row r="819">
      <c r="A819" s="65" t="n">
        <v>6.8</v>
      </c>
      <c r="B819" s="65" t="n">
        <v>12</v>
      </c>
      <c r="C819" s="65" t="n"/>
      <c r="D819" s="65" t="n"/>
      <c r="E819" s="65" t="n"/>
    </row>
    <row r="820">
      <c r="A820" s="65" t="n">
        <v>6.5</v>
      </c>
      <c r="B820" s="65" t="n">
        <v>33</v>
      </c>
      <c r="C820" s="65" t="n"/>
      <c r="D820" s="65" t="n"/>
      <c r="E820" s="65" t="n"/>
    </row>
    <row r="821">
      <c r="A821" s="65" t="n">
        <v>6.8</v>
      </c>
      <c r="B821" s="65" t="n">
        <v>40.2</v>
      </c>
      <c r="C821" s="65" t="n"/>
      <c r="D821" s="65" t="n"/>
      <c r="E821" s="65" t="n"/>
    </row>
    <row r="822">
      <c r="A822" s="65" t="n">
        <v>7.6</v>
      </c>
      <c r="B822" s="65" t="n">
        <v>24</v>
      </c>
      <c r="C822" s="65" t="n"/>
      <c r="D822" s="65" t="n"/>
      <c r="E822" s="65" t="n"/>
    </row>
    <row r="823">
      <c r="A823" s="65" t="n">
        <v>6.5</v>
      </c>
      <c r="B823" s="65" t="n">
        <v>24</v>
      </c>
      <c r="C823" s="65" t="n"/>
      <c r="D823" s="65" t="n"/>
      <c r="E823" s="65" t="n"/>
    </row>
    <row r="824">
      <c r="A824" s="65" t="n">
        <v>7.3</v>
      </c>
      <c r="B824" s="65" t="n">
        <v>33</v>
      </c>
      <c r="C824" s="65" t="n"/>
      <c r="D824" s="65" t="n"/>
      <c r="E824" s="65" t="n"/>
    </row>
    <row r="825">
      <c r="A825" s="65" t="n">
        <v>6.7</v>
      </c>
      <c r="B825" s="65" t="n">
        <v>71.90000000000001</v>
      </c>
      <c r="C825" s="65" t="n"/>
      <c r="D825" s="65" t="n"/>
      <c r="E825" s="65" t="n"/>
    </row>
    <row r="826">
      <c r="A826" s="65" t="n">
        <v>6.7</v>
      </c>
      <c r="B826" s="65" t="n">
        <v>34</v>
      </c>
      <c r="C826" s="65" t="n"/>
      <c r="D826" s="65" t="n"/>
      <c r="E826" s="65" t="n"/>
    </row>
    <row r="827">
      <c r="A827" s="65" t="n">
        <v>7.9</v>
      </c>
      <c r="B827" s="65" t="n">
        <v>4.2</v>
      </c>
      <c r="C827" s="65" t="n"/>
      <c r="D827" s="65" t="n"/>
      <c r="E827" s="65" t="n"/>
    </row>
    <row r="828">
      <c r="A828" s="65" t="n">
        <v>7.4</v>
      </c>
      <c r="B828" s="65" t="n">
        <v>30</v>
      </c>
      <c r="C828" s="65" t="n"/>
      <c r="D828" s="65" t="n"/>
      <c r="E828" s="65" t="n"/>
    </row>
    <row r="829">
      <c r="A829" s="65" t="n">
        <v>6.6</v>
      </c>
      <c r="B829" s="65" t="n">
        <v>4.2</v>
      </c>
      <c r="C829" s="65" t="n"/>
      <c r="D829" s="65" t="n"/>
      <c r="E829" s="65" t="n"/>
    </row>
    <row r="830">
      <c r="A830" s="65" t="n">
        <v>6.7</v>
      </c>
      <c r="B830" s="65" t="n">
        <v>10</v>
      </c>
      <c r="C830" s="65" t="n"/>
      <c r="D830" s="65" t="n"/>
      <c r="E830" s="65" t="n"/>
    </row>
    <row r="831">
      <c r="A831" s="65" t="n">
        <v>7.6</v>
      </c>
      <c r="B831" s="65" t="n">
        <v>10</v>
      </c>
      <c r="C831" s="65" t="n"/>
      <c r="D831" s="65" t="n"/>
      <c r="E831" s="65" t="n"/>
    </row>
    <row r="832">
      <c r="A832" s="65" t="n">
        <v>6.5</v>
      </c>
      <c r="B832" s="65" t="n">
        <v>21</v>
      </c>
      <c r="C832" s="65" t="n"/>
      <c r="D832" s="65" t="n"/>
      <c r="E832" s="65" t="n"/>
    </row>
    <row r="833">
      <c r="A833" s="65" t="n">
        <v>7.6</v>
      </c>
      <c r="B833" s="65" t="n">
        <v>13</v>
      </c>
      <c r="C833" s="65" t="n"/>
      <c r="D833" s="65" t="n"/>
      <c r="E833" s="65" t="n"/>
    </row>
    <row r="834">
      <c r="A834" s="65" t="n">
        <v>6.5</v>
      </c>
      <c r="B834" s="65" t="n">
        <v>30</v>
      </c>
      <c r="C834" s="65" t="n"/>
      <c r="D834" s="65" t="n"/>
      <c r="E834" s="65" t="n"/>
    </row>
    <row r="835">
      <c r="A835" s="65" t="n">
        <v>6.5</v>
      </c>
      <c r="B835" s="65" t="n">
        <v>10</v>
      </c>
      <c r="C835" s="65" t="n"/>
      <c r="D835" s="65" t="n"/>
      <c r="E835" s="65" t="n"/>
    </row>
    <row r="836">
      <c r="A836" s="65" t="n">
        <v>6.5</v>
      </c>
      <c r="B836" s="65" t="n">
        <v>10</v>
      </c>
      <c r="C836" s="65" t="n"/>
      <c r="D836" s="65" t="n"/>
      <c r="E836" s="65" t="n"/>
    </row>
    <row r="837">
      <c r="A837" s="65" t="n">
        <v>6.6</v>
      </c>
      <c r="B837" s="65" t="n">
        <v>54</v>
      </c>
      <c r="C837" s="65" t="n"/>
      <c r="D837" s="65" t="n"/>
      <c r="E837" s="65" t="n"/>
    </row>
    <row r="838">
      <c r="A838" s="65" t="n">
        <v>6.7</v>
      </c>
      <c r="B838" s="65" t="n">
        <v>33</v>
      </c>
      <c r="C838" s="65" t="n"/>
      <c r="D838" s="65" t="n"/>
      <c r="E838" s="65" t="n"/>
    </row>
    <row r="839">
      <c r="A839" s="65" t="n">
        <v>7.1</v>
      </c>
      <c r="B839" s="65" t="n">
        <v>85.7</v>
      </c>
      <c r="C839" s="65" t="n"/>
      <c r="D839" s="65" t="n"/>
      <c r="E839" s="65" t="n"/>
    </row>
    <row r="840">
      <c r="A840" s="65" t="n">
        <v>6.7</v>
      </c>
      <c r="B840" s="65" t="n">
        <v>62</v>
      </c>
      <c r="C840" s="65" t="n"/>
      <c r="D840" s="65" t="n"/>
      <c r="E840" s="65" t="n"/>
    </row>
    <row r="841">
      <c r="A841" s="65" t="n">
        <v>6.8</v>
      </c>
      <c r="B841" s="65" t="n">
        <v>24.9</v>
      </c>
      <c r="C841" s="65" t="n"/>
      <c r="D841" s="65" t="n"/>
      <c r="E841" s="65" t="n"/>
    </row>
    <row r="842">
      <c r="A842" s="65" t="n">
        <v>7.1</v>
      </c>
      <c r="B842" s="65" t="n">
        <v>32.8</v>
      </c>
      <c r="C842" s="65" t="n"/>
      <c r="D842" s="65" t="n"/>
      <c r="E842" s="65" t="n"/>
    </row>
    <row r="843">
      <c r="A843" s="65" t="n">
        <v>6.5</v>
      </c>
      <c r="B843" s="65" t="n">
        <v>125.1</v>
      </c>
      <c r="C843" s="65" t="n"/>
      <c r="D843" s="65" t="n"/>
      <c r="E843" s="65" t="n"/>
    </row>
    <row r="844">
      <c r="A844" s="65" t="n">
        <v>7.5</v>
      </c>
      <c r="B844" s="65" t="n">
        <v>31</v>
      </c>
      <c r="C844" s="65" t="n"/>
      <c r="D844" s="65" t="n"/>
      <c r="E844" s="65" t="n"/>
    </row>
    <row r="845">
      <c r="A845" s="65" t="n">
        <v>7.4</v>
      </c>
      <c r="B845" s="65" t="n">
        <v>225.6</v>
      </c>
      <c r="C845" s="65" t="n"/>
      <c r="D845" s="65" t="n"/>
      <c r="E845" s="65" t="n"/>
    </row>
    <row r="846">
      <c r="A846" s="65" t="n">
        <v>6.6</v>
      </c>
      <c r="B846" s="65" t="n">
        <v>39</v>
      </c>
      <c r="C846" s="65" t="n"/>
      <c r="D846" s="65" t="n"/>
      <c r="E846" s="65" t="n"/>
    </row>
    <row r="847">
      <c r="A847" s="65" t="n">
        <v>6.5</v>
      </c>
      <c r="B847" s="65" t="n">
        <v>5</v>
      </c>
      <c r="C847" s="65" t="n"/>
      <c r="D847" s="65" t="n"/>
      <c r="E847" s="65" t="n"/>
    </row>
    <row r="848">
      <c r="A848" s="65" t="n">
        <v>6.7</v>
      </c>
      <c r="B848" s="65" t="n">
        <v>11</v>
      </c>
      <c r="C848" s="65" t="n"/>
      <c r="D848" s="65" t="n"/>
      <c r="E848" s="65" t="n"/>
    </row>
    <row r="849">
      <c r="A849" s="65" t="n">
        <v>6.6</v>
      </c>
      <c r="B849" s="65" t="n">
        <v>10</v>
      </c>
      <c r="C849" s="65" t="n"/>
      <c r="D849" s="65" t="n"/>
      <c r="E849" s="65" t="n"/>
    </row>
    <row r="850">
      <c r="A850" s="65" t="n">
        <v>7.2</v>
      </c>
      <c r="B850" s="65" t="n">
        <v>21</v>
      </c>
      <c r="C850" s="65" t="n"/>
      <c r="D850" s="65" t="n"/>
      <c r="E850" s="65" t="n"/>
    </row>
    <row r="851">
      <c r="A851" s="65" t="n">
        <v>6.8</v>
      </c>
      <c r="B851" s="65" t="n">
        <v>16</v>
      </c>
      <c r="C851" s="65" t="n"/>
      <c r="D851" s="65" t="n"/>
      <c r="E851" s="65" t="n"/>
    </row>
    <row r="852">
      <c r="A852" s="65" t="n">
        <v>6.8</v>
      </c>
      <c r="B852" s="65" t="n">
        <v>14</v>
      </c>
      <c r="C852" s="65" t="n"/>
      <c r="D852" s="65" t="n"/>
      <c r="E852" s="65" t="n"/>
    </row>
    <row r="853">
      <c r="A853" s="65" t="n">
        <v>6.5</v>
      </c>
      <c r="B853" s="65" t="n">
        <v>123.8</v>
      </c>
      <c r="C853" s="65" t="n"/>
      <c r="D853" s="65" t="n"/>
      <c r="E853" s="65" t="n"/>
    </row>
    <row r="854">
      <c r="A854" s="65" t="n">
        <v>7.8</v>
      </c>
      <c r="B854" s="65" t="n">
        <v>10</v>
      </c>
      <c r="C854" s="65" t="n"/>
      <c r="D854" s="65" t="n"/>
      <c r="E854" s="65" t="n"/>
    </row>
    <row r="855">
      <c r="A855" s="65" t="n">
        <v>7</v>
      </c>
      <c r="B855" s="65" t="n">
        <v>33</v>
      </c>
      <c r="C855" s="65" t="n"/>
      <c r="D855" s="65" t="n"/>
      <c r="E855" s="65" t="n"/>
    </row>
    <row r="856">
      <c r="A856" s="65" t="n">
        <v>7.5</v>
      </c>
      <c r="B856" s="65" t="n">
        <v>33</v>
      </c>
      <c r="C856" s="65" t="n"/>
      <c r="D856" s="65" t="n"/>
      <c r="E856" s="65" t="n"/>
    </row>
    <row r="857">
      <c r="A857" s="65" t="n">
        <v>7</v>
      </c>
      <c r="B857" s="65" t="n">
        <v>37</v>
      </c>
      <c r="C857" s="65" t="n"/>
      <c r="D857" s="65" t="n"/>
      <c r="E857" s="65" t="n"/>
    </row>
    <row r="858">
      <c r="A858" s="65" t="n">
        <v>6.5</v>
      </c>
      <c r="B858" s="65" t="n">
        <v>33</v>
      </c>
      <c r="C858" s="65" t="n"/>
      <c r="D858" s="65" t="n"/>
      <c r="E858" s="65" t="n"/>
    </row>
    <row r="859">
      <c r="A859" s="65" t="n">
        <v>6.6</v>
      </c>
      <c r="B859" s="65" t="n">
        <v>131.8</v>
      </c>
      <c r="C859" s="65" t="n"/>
      <c r="D859" s="65" t="n"/>
      <c r="E859" s="65" t="n"/>
    </row>
    <row r="860">
      <c r="A860" s="65" t="n">
        <v>6.5</v>
      </c>
      <c r="B860" s="65" t="n">
        <v>10</v>
      </c>
      <c r="C860" s="65" t="n"/>
      <c r="D860" s="65" t="n"/>
      <c r="E860" s="65" t="n"/>
    </row>
    <row r="861">
      <c r="A861" s="65" t="n">
        <v>7.6</v>
      </c>
      <c r="B861" s="65" t="n">
        <v>33</v>
      </c>
      <c r="C861" s="65" t="n"/>
      <c r="D861" s="65" t="n"/>
      <c r="E861" s="65" t="n"/>
    </row>
    <row r="862">
      <c r="A862" s="65" t="n">
        <v>6.6</v>
      </c>
      <c r="B862" s="65" t="n">
        <v>62</v>
      </c>
      <c r="C862" s="65" t="n"/>
      <c r="D862" s="65" t="n"/>
      <c r="E862" s="65" t="n"/>
    </row>
    <row r="863">
      <c r="A863" s="65" t="n">
        <v>6.7</v>
      </c>
      <c r="B863" s="65" t="n">
        <v>24</v>
      </c>
      <c r="C863" s="65" t="n"/>
      <c r="D863" s="65" t="n"/>
      <c r="E863" s="65" t="n"/>
    </row>
    <row r="864">
      <c r="A864" s="65" t="n">
        <v>8.4</v>
      </c>
      <c r="B864" s="65" t="n">
        <v>33</v>
      </c>
      <c r="C864" s="65" t="n"/>
      <c r="D864" s="65" t="n"/>
      <c r="E864" s="65" t="n"/>
    </row>
    <row r="865">
      <c r="A865" s="65" t="n">
        <v>6.7</v>
      </c>
      <c r="B865" s="65" t="n">
        <v>17</v>
      </c>
      <c r="C865" s="65" t="n"/>
      <c r="D865" s="65" t="n"/>
      <c r="E865" s="65" t="n"/>
    </row>
    <row r="866">
      <c r="A866" s="65" t="n">
        <v>6.8</v>
      </c>
      <c r="B866" s="65" t="n">
        <v>50</v>
      </c>
      <c r="C866" s="65" t="n"/>
      <c r="D866" s="65" t="n"/>
      <c r="E866" s="65" t="n"/>
    </row>
    <row r="867">
      <c r="A867" s="65" t="n">
        <v>6.5</v>
      </c>
      <c r="B867" s="65" t="n">
        <v>33</v>
      </c>
      <c r="C867" s="65" t="n"/>
      <c r="D867" s="65" t="n"/>
      <c r="E867" s="65" t="n"/>
    </row>
    <row r="868">
      <c r="A868" s="65" t="n">
        <v>6.8</v>
      </c>
      <c r="B868" s="65" t="n">
        <v>51.798</v>
      </c>
      <c r="C868" s="65" t="n"/>
      <c r="D868" s="65" t="n"/>
      <c r="E868" s="65" t="n"/>
    </row>
    <row r="869">
      <c r="A869" s="65" t="n">
        <v>7.1</v>
      </c>
      <c r="B869" s="65" t="n">
        <v>35</v>
      </c>
      <c r="C869" s="65" t="n"/>
      <c r="D869" s="65" t="n"/>
      <c r="E869" s="65" t="n"/>
    </row>
    <row r="870">
      <c r="A870" s="65" t="n">
        <v>7.4</v>
      </c>
      <c r="B870" s="65" t="n">
        <v>36</v>
      </c>
      <c r="C870" s="65" t="n"/>
      <c r="D870" s="65" t="n"/>
      <c r="E870" s="65" t="n"/>
    </row>
    <row r="871">
      <c r="A871" s="65" t="n">
        <v>6.6</v>
      </c>
      <c r="B871" s="65" t="n">
        <v>10</v>
      </c>
      <c r="C871" s="65" t="n"/>
      <c r="D871" s="65" t="n"/>
      <c r="E871" s="65" t="n"/>
    </row>
    <row r="872">
      <c r="A872" s="65" t="n">
        <v>7.7</v>
      </c>
      <c r="B872" s="65" t="n">
        <v>16</v>
      </c>
      <c r="C872" s="65" t="n"/>
      <c r="D872" s="65" t="n"/>
      <c r="E872" s="65" t="n"/>
    </row>
    <row r="873">
      <c r="A873" s="65" t="n">
        <v>6.9</v>
      </c>
      <c r="B873" s="65" t="n">
        <v>28</v>
      </c>
      <c r="C873" s="65" t="n"/>
      <c r="D873" s="65" t="n"/>
      <c r="E873" s="65" t="n"/>
    </row>
    <row r="874">
      <c r="A874" s="65" t="n">
        <v>7.7</v>
      </c>
      <c r="B874" s="65" t="n">
        <v>60</v>
      </c>
      <c r="C874" s="65" t="n"/>
      <c r="D874" s="65" t="n"/>
      <c r="E874" s="65" t="n"/>
    </row>
    <row r="875">
      <c r="A875" s="65" t="n">
        <v>6.9</v>
      </c>
      <c r="B875" s="65" t="n">
        <v>36.4</v>
      </c>
      <c r="C875" s="65" t="n"/>
      <c r="D875" s="65" t="n"/>
      <c r="E875" s="65" t="n"/>
    </row>
    <row r="876">
      <c r="A876" s="65" t="n">
        <v>7.1</v>
      </c>
      <c r="B876" s="65" t="n">
        <v>103</v>
      </c>
      <c r="C876" s="65" t="n"/>
      <c r="D876" s="65" t="n"/>
      <c r="E876" s="65" t="n"/>
    </row>
    <row r="877">
      <c r="A877" s="65" t="n">
        <v>6.8</v>
      </c>
      <c r="B877" s="65" t="n">
        <v>33</v>
      </c>
      <c r="C877" s="65" t="n"/>
      <c r="D877" s="65" t="n"/>
      <c r="E877" s="65" t="n"/>
    </row>
    <row r="878">
      <c r="A878" s="65" t="n">
        <v>7.5</v>
      </c>
      <c r="B878" s="65" t="n">
        <v>33</v>
      </c>
      <c r="C878" s="65" t="n"/>
      <c r="D878" s="65" t="n"/>
      <c r="E878" s="65" t="n"/>
    </row>
    <row r="879">
      <c r="A879" s="65" t="n">
        <v>6.5</v>
      </c>
      <c r="B879" s="65" t="n">
        <v>31</v>
      </c>
      <c r="C879" s="65" t="n"/>
      <c r="D879" s="65" t="n"/>
      <c r="E879" s="65" t="n"/>
    </row>
    <row r="880">
      <c r="A880" s="65" t="n">
        <v>7</v>
      </c>
      <c r="B880" s="65" t="n">
        <v>30</v>
      </c>
      <c r="C880" s="65" t="n"/>
      <c r="D880" s="65" t="n"/>
      <c r="E880" s="65" t="n"/>
    </row>
    <row r="881">
      <c r="A881" s="65" t="n">
        <v>6.5</v>
      </c>
      <c r="B881" s="65" t="n">
        <v>33</v>
      </c>
      <c r="C881" s="65" t="n"/>
      <c r="D881" s="65" t="n"/>
      <c r="E881" s="65" t="n"/>
    </row>
    <row r="882">
      <c r="A882" s="65" t="n">
        <v>6.8</v>
      </c>
      <c r="B882" s="65" t="n">
        <v>50.4</v>
      </c>
      <c r="C882" s="65" t="n"/>
      <c r="D882" s="65" t="n"/>
      <c r="E882" s="65" t="n"/>
    </row>
    <row r="883">
      <c r="A883" s="65" t="n">
        <v>6.8</v>
      </c>
      <c r="B883" s="65" t="n">
        <v>33</v>
      </c>
      <c r="C883" s="65" t="n"/>
      <c r="D883" s="65" t="n"/>
      <c r="E883" s="65" t="n"/>
    </row>
    <row r="884">
      <c r="A884" s="65" t="n">
        <v>6.6</v>
      </c>
      <c r="B884" s="65" t="n">
        <v>33</v>
      </c>
      <c r="C884" s="65" t="n"/>
      <c r="D884" s="65" t="n"/>
      <c r="E884" s="65" t="n"/>
    </row>
    <row r="885">
      <c r="A885" s="65" t="n">
        <v>7.8</v>
      </c>
      <c r="B885" s="65" t="n">
        <v>33</v>
      </c>
      <c r="C885" s="65" t="n"/>
      <c r="D885" s="65" t="n"/>
      <c r="E885" s="65" t="n"/>
    </row>
    <row r="886">
      <c r="A886" s="65" t="n">
        <v>6.5</v>
      </c>
      <c r="B886" s="65" t="n">
        <v>33</v>
      </c>
      <c r="C886" s="65" t="n"/>
      <c r="D886" s="65" t="n"/>
      <c r="E886" s="65" t="n"/>
    </row>
    <row r="887">
      <c r="A887" s="65" t="n">
        <v>7.8</v>
      </c>
      <c r="B887" s="65" t="n">
        <v>30</v>
      </c>
      <c r="C887" s="65" t="n"/>
      <c r="D887" s="65" t="n"/>
      <c r="E887" s="65" t="n"/>
    </row>
    <row r="888">
      <c r="A888" s="65" t="n">
        <v>8</v>
      </c>
      <c r="B888" s="65" t="n">
        <v>33</v>
      </c>
      <c r="C888" s="65" t="n"/>
      <c r="D888" s="65" t="n"/>
      <c r="E888" s="65" t="n"/>
    </row>
    <row r="889">
      <c r="A889" s="65" t="n">
        <v>6.5</v>
      </c>
      <c r="B889" s="65" t="n">
        <v>17</v>
      </c>
      <c r="C889" s="65" t="n"/>
      <c r="D889" s="65" t="n"/>
      <c r="E889" s="65" t="n"/>
    </row>
    <row r="890">
      <c r="A890" s="65" t="n">
        <v>7</v>
      </c>
      <c r="B890" s="65" t="n">
        <v>50</v>
      </c>
      <c r="C890" s="65" t="n"/>
      <c r="D890" s="65" t="n"/>
      <c r="E890" s="65" t="n"/>
    </row>
    <row r="891">
      <c r="A891" s="65" t="n">
        <v>6.8</v>
      </c>
      <c r="B891" s="65" t="n">
        <v>38</v>
      </c>
      <c r="C891" s="65" t="n"/>
      <c r="D891" s="65" t="n"/>
      <c r="E891" s="65" t="n"/>
    </row>
    <row r="892">
      <c r="A892" s="65" t="n">
        <v>6.7</v>
      </c>
      <c r="B892" s="65" t="n">
        <v>10</v>
      </c>
      <c r="C892" s="65" t="n"/>
      <c r="D892" s="65" t="n"/>
      <c r="E892" s="65" t="n"/>
    </row>
    <row r="893">
      <c r="A893" s="65" t="n">
        <v>7</v>
      </c>
      <c r="B893" s="65" t="n">
        <v>23</v>
      </c>
      <c r="C893" s="65" t="n"/>
      <c r="D893" s="65" t="n"/>
      <c r="E893" s="65" t="n"/>
    </row>
    <row r="894">
      <c r="A894" s="65" t="n">
        <v>6.5</v>
      </c>
      <c r="B894" s="65" t="n">
        <v>34</v>
      </c>
      <c r="C894" s="65" t="n"/>
      <c r="D894" s="65" t="n"/>
      <c r="E894" s="65" t="n"/>
    </row>
    <row r="895">
      <c r="A895" s="65" t="n">
        <v>6.8</v>
      </c>
      <c r="B895" s="65" t="n">
        <v>16</v>
      </c>
      <c r="C895" s="65" t="n"/>
      <c r="D895" s="65" t="n"/>
      <c r="E895" s="65" t="n"/>
    </row>
    <row r="896">
      <c r="A896" s="65" t="n">
        <v>6.5</v>
      </c>
      <c r="B896" s="65" t="n">
        <v>45.8</v>
      </c>
      <c r="C896" s="65" t="n"/>
      <c r="D896" s="65" t="n"/>
      <c r="E896" s="65" t="n"/>
    </row>
    <row r="897">
      <c r="A897" s="65" t="n">
        <v>6.8</v>
      </c>
      <c r="B897" s="65" t="n">
        <v>10</v>
      </c>
      <c r="C897" s="65" t="n"/>
      <c r="D897" s="65" t="n"/>
      <c r="E897" s="65" t="n"/>
    </row>
    <row r="898">
      <c r="A898" s="65" t="n">
        <v>6.6</v>
      </c>
      <c r="B898" s="65" t="n">
        <v>33</v>
      </c>
      <c r="C898" s="65" t="n"/>
      <c r="D898" s="65" t="n"/>
      <c r="E898" s="65" t="n"/>
    </row>
    <row r="899">
      <c r="A899" s="65" t="n">
        <v>6.5</v>
      </c>
      <c r="B899" s="65" t="n">
        <v>10</v>
      </c>
      <c r="C899" s="65" t="n"/>
      <c r="D899" s="65" t="n"/>
      <c r="E899" s="65" t="n"/>
    </row>
    <row r="900">
      <c r="A900" s="65" t="n">
        <v>6.6</v>
      </c>
      <c r="B900" s="65" t="n">
        <v>10</v>
      </c>
      <c r="C900" s="65" t="n"/>
      <c r="D900" s="65" t="n"/>
      <c r="E900" s="65" t="n"/>
    </row>
    <row r="901">
      <c r="A901" s="65" t="n">
        <v>6.5</v>
      </c>
      <c r="B901" s="65" t="n">
        <v>42.9</v>
      </c>
      <c r="C901" s="65" t="n"/>
      <c r="D901" s="65" t="n"/>
      <c r="E901" s="65" t="n"/>
    </row>
    <row r="902">
      <c r="A902" s="65" t="n">
        <v>6.5</v>
      </c>
      <c r="B902" s="65" t="n">
        <v>10</v>
      </c>
      <c r="C902" s="65" t="n"/>
      <c r="D902" s="65" t="n"/>
      <c r="E902" s="65" t="n"/>
    </row>
    <row r="903">
      <c r="A903" s="65" t="n">
        <v>7.9</v>
      </c>
      <c r="B903" s="65" t="n">
        <v>10</v>
      </c>
      <c r="C903" s="65" t="n"/>
      <c r="D903" s="65" t="n"/>
      <c r="E903" s="65" t="n"/>
    </row>
    <row r="904">
      <c r="A904" s="65" t="n">
        <v>6.5</v>
      </c>
      <c r="B904" s="65" t="n">
        <v>10</v>
      </c>
      <c r="C904" s="65" t="n"/>
      <c r="D904" s="65" t="n"/>
      <c r="E904" s="65" t="n"/>
    </row>
    <row r="905">
      <c r="A905" s="65" t="n">
        <v>6.7</v>
      </c>
      <c r="B905" s="65" t="n">
        <v>33</v>
      </c>
      <c r="C905" s="65" t="n"/>
      <c r="D905" s="65" t="n"/>
      <c r="E905" s="65" t="n"/>
    </row>
    <row r="906">
      <c r="A906" s="65" t="n">
        <v>6.7</v>
      </c>
      <c r="B906" s="65" t="n">
        <v>33</v>
      </c>
      <c r="C906" s="65" t="n"/>
      <c r="D906" s="65" t="n"/>
      <c r="E906" s="65" t="n"/>
    </row>
    <row r="907">
      <c r="A907" s="65" t="n">
        <v>7.9</v>
      </c>
      <c r="B907" s="65" t="n">
        <v>33</v>
      </c>
      <c r="C907" s="65" t="n"/>
      <c r="D907" s="65" t="n"/>
      <c r="E907" s="65" t="n"/>
    </row>
    <row r="908">
      <c r="A908" s="65" t="n">
        <v>7.2</v>
      </c>
      <c r="B908" s="65" t="n">
        <v>225</v>
      </c>
      <c r="C908" s="65" t="n"/>
      <c r="D908" s="65" t="n"/>
      <c r="E908" s="65" t="n"/>
    </row>
    <row r="909">
      <c r="A909" s="65" t="n">
        <v>7.6</v>
      </c>
      <c r="B909" s="65" t="n">
        <v>26</v>
      </c>
      <c r="C909" s="65" t="n"/>
      <c r="D909" s="65" t="n"/>
      <c r="E909" s="65" t="n"/>
    </row>
    <row r="910">
      <c r="A910" s="65" t="n">
        <v>6.6</v>
      </c>
      <c r="B910" s="65" t="n">
        <v>10</v>
      </c>
      <c r="C910" s="65" t="n"/>
      <c r="D910" s="65" t="n"/>
      <c r="E910" s="65" t="n"/>
    </row>
    <row r="911">
      <c r="A911" s="65" t="n">
        <v>6.6</v>
      </c>
      <c r="B911" s="65" t="n">
        <v>33</v>
      </c>
      <c r="C911" s="65" t="n"/>
      <c r="D911" s="65" t="n"/>
      <c r="E911" s="65" t="n"/>
    </row>
    <row r="912">
      <c r="A912" s="65" t="n">
        <v>6.8</v>
      </c>
      <c r="B912" s="65" t="n">
        <v>61.1</v>
      </c>
      <c r="C912" s="65" t="n"/>
      <c r="D912" s="65" t="n"/>
      <c r="E912" s="65" t="n"/>
    </row>
    <row r="913">
      <c r="A913" s="65" t="n">
        <v>7.2</v>
      </c>
      <c r="B913" s="65" t="n">
        <v>183.4</v>
      </c>
      <c r="C913" s="65" t="n"/>
      <c r="D913" s="65" t="n"/>
      <c r="E913" s="65" t="n"/>
    </row>
    <row r="914">
      <c r="A914" s="65" t="n">
        <v>6.9</v>
      </c>
      <c r="B914" s="65" t="n">
        <v>33</v>
      </c>
      <c r="C914" s="65" t="n"/>
      <c r="D914" s="65" t="n"/>
      <c r="E914" s="65" t="n"/>
    </row>
    <row r="915">
      <c r="A915" s="65" t="n">
        <v>6.5</v>
      </c>
      <c r="B915" s="65" t="n">
        <v>56</v>
      </c>
      <c r="C915" s="65" t="n"/>
      <c r="D915" s="65" t="n"/>
      <c r="E915" s="65" t="n"/>
    </row>
    <row r="916">
      <c r="A916" s="65" t="n">
        <v>7.3</v>
      </c>
      <c r="B916" s="65" t="n">
        <v>33</v>
      </c>
      <c r="C916" s="65" t="n"/>
      <c r="D916" s="65" t="n"/>
      <c r="E916" s="65" t="n"/>
    </row>
    <row r="917">
      <c r="A917" s="65" t="n">
        <v>7</v>
      </c>
      <c r="B917" s="65" t="n">
        <v>43.6</v>
      </c>
      <c r="C917" s="65" t="n"/>
      <c r="D917" s="65" t="n"/>
      <c r="E917" s="65" t="n"/>
    </row>
    <row r="918">
      <c r="A918" s="65" t="n">
        <v>6.6</v>
      </c>
      <c r="B918" s="65" t="n">
        <v>128.1</v>
      </c>
      <c r="C918" s="65" t="n"/>
      <c r="D918" s="65" t="n"/>
      <c r="E918" s="65" t="n"/>
    </row>
    <row r="919">
      <c r="A919" s="65" t="n">
        <v>7.5</v>
      </c>
      <c r="B919" s="65" t="n">
        <v>33</v>
      </c>
      <c r="C919" s="65" t="n"/>
      <c r="D919" s="65" t="n"/>
      <c r="E919" s="65" t="n"/>
    </row>
    <row r="920">
      <c r="A920" s="65" t="n">
        <v>7</v>
      </c>
      <c r="B920" s="65" t="n">
        <v>33</v>
      </c>
      <c r="C920" s="65" t="n"/>
      <c r="D920" s="65" t="n"/>
      <c r="E920" s="65" t="n"/>
    </row>
    <row r="921">
      <c r="A921" s="65" t="n">
        <v>6.9</v>
      </c>
      <c r="B921" s="65" t="n">
        <v>47.5</v>
      </c>
      <c r="C921" s="65" t="n"/>
      <c r="D921" s="65" t="n"/>
      <c r="E921" s="65" t="n"/>
    </row>
    <row r="922">
      <c r="A922" s="65" t="n">
        <v>7.2</v>
      </c>
      <c r="B922" s="65" t="n">
        <v>10</v>
      </c>
      <c r="C922" s="65" t="n"/>
      <c r="D922" s="65" t="n"/>
      <c r="E922" s="65" t="n"/>
    </row>
    <row r="923">
      <c r="A923" s="65" t="n">
        <v>6.5</v>
      </c>
      <c r="B923" s="65" t="n">
        <v>228.4</v>
      </c>
      <c r="C923" s="65" t="n"/>
      <c r="D923" s="65" t="n"/>
      <c r="E923" s="65" t="n"/>
    </row>
    <row r="924">
      <c r="A924" s="65" t="n">
        <v>7.1</v>
      </c>
      <c r="B924" s="65" t="n">
        <v>13.73</v>
      </c>
      <c r="C924" s="65" t="n"/>
      <c r="D924" s="65" t="n"/>
      <c r="E924" s="65" t="n"/>
    </row>
    <row r="925">
      <c r="A925" s="65" t="n">
        <v>7.5</v>
      </c>
      <c r="B925" s="65" t="n">
        <v>60.6</v>
      </c>
      <c r="C925" s="65" t="n"/>
      <c r="D925" s="65" t="n"/>
      <c r="E925" s="65" t="n"/>
    </row>
    <row r="926">
      <c r="A926" s="65" t="n">
        <v>6.5</v>
      </c>
      <c r="B926" s="65" t="n">
        <v>17</v>
      </c>
      <c r="C926" s="65" t="n"/>
      <c r="D926" s="65" t="n"/>
      <c r="E926" s="65" t="n"/>
    </row>
    <row r="927">
      <c r="A927" s="65" t="n">
        <v>7.7</v>
      </c>
      <c r="B927" s="65" t="n">
        <v>33</v>
      </c>
      <c r="C927" s="65" t="n"/>
      <c r="D927" s="65" t="n"/>
      <c r="E927" s="65" t="n"/>
    </row>
    <row r="928">
      <c r="A928" s="65" t="n">
        <v>6.6</v>
      </c>
      <c r="B928" s="65" t="n">
        <v>33</v>
      </c>
      <c r="C928" s="65" t="n"/>
      <c r="D928" s="65" t="n"/>
      <c r="E928" s="65" t="n"/>
    </row>
    <row r="929">
      <c r="A929" s="65" t="n">
        <v>6.9</v>
      </c>
      <c r="B929" s="65" t="n">
        <v>20</v>
      </c>
      <c r="C929" s="65" t="n"/>
      <c r="D929" s="65" t="n"/>
      <c r="E929" s="65" t="n"/>
    </row>
    <row r="930">
      <c r="A930" s="65" t="n">
        <v>7.6</v>
      </c>
      <c r="B930" s="65" t="n">
        <v>17</v>
      </c>
      <c r="C930" s="65" t="n"/>
      <c r="D930" s="65" t="n"/>
      <c r="E930" s="65" t="n"/>
    </row>
    <row r="931">
      <c r="A931" s="65" t="n">
        <v>6.7</v>
      </c>
      <c r="B931" s="65" t="n">
        <v>10</v>
      </c>
      <c r="C931" s="65" t="n"/>
      <c r="D931" s="65" t="n"/>
      <c r="E931" s="65" t="n"/>
    </row>
    <row r="932">
      <c r="A932" s="65" t="n">
        <v>7</v>
      </c>
      <c r="B932" s="65" t="n">
        <v>70</v>
      </c>
      <c r="C932" s="65" t="n"/>
      <c r="D932" s="65" t="n"/>
      <c r="E932" s="65" t="n"/>
    </row>
    <row r="933">
      <c r="A933" s="65" t="n">
        <v>6.6</v>
      </c>
      <c r="B933" s="65" t="n">
        <v>27</v>
      </c>
      <c r="C933" s="65" t="n"/>
      <c r="D933" s="65" t="n"/>
      <c r="E933" s="65" t="n"/>
    </row>
    <row r="934">
      <c r="A934" s="65" t="n">
        <v>7.1</v>
      </c>
      <c r="B934" s="65" t="n">
        <v>73.7</v>
      </c>
      <c r="C934" s="65" t="n"/>
      <c r="D934" s="65" t="n"/>
      <c r="E934" s="65" t="n"/>
    </row>
    <row r="935">
      <c r="A935" s="65" t="n">
        <v>7.1</v>
      </c>
      <c r="B935" s="65" t="n">
        <v>138</v>
      </c>
      <c r="C935" s="65" t="n"/>
      <c r="D935" s="65" t="n"/>
      <c r="E935" s="65" t="n"/>
    </row>
    <row r="936">
      <c r="A936" s="65" t="n">
        <v>6.8</v>
      </c>
      <c r="B936" s="65" t="n">
        <v>164.2</v>
      </c>
      <c r="C936" s="65" t="n"/>
      <c r="D936" s="65" t="n"/>
      <c r="E936" s="65" t="n"/>
    </row>
    <row r="937">
      <c r="A937" s="65" t="n">
        <v>7.4</v>
      </c>
      <c r="B937" s="65" t="n">
        <v>150</v>
      </c>
      <c r="C937" s="65" t="n"/>
      <c r="D937" s="65" t="n"/>
      <c r="E937" s="65" t="n"/>
    </row>
    <row r="938">
      <c r="A938" s="65" t="n">
        <v>6.8</v>
      </c>
      <c r="B938" s="65" t="n">
        <v>87.2</v>
      </c>
      <c r="C938" s="65" t="n"/>
      <c r="D938" s="65" t="n"/>
      <c r="E938" s="65" t="n"/>
    </row>
    <row r="939">
      <c r="A939" s="65" t="n">
        <v>6.6</v>
      </c>
      <c r="B939" s="65" t="n">
        <v>15</v>
      </c>
      <c r="C939" s="65" t="n"/>
      <c r="D939" s="65" t="n"/>
      <c r="E939" s="65" t="n"/>
    </row>
    <row r="940">
      <c r="A940" s="65" t="n">
        <v>6.9</v>
      </c>
      <c r="B940" s="65" t="n">
        <v>33</v>
      </c>
      <c r="C940" s="65" t="n"/>
      <c r="D940" s="65" t="n"/>
      <c r="E940" s="65" t="n"/>
    </row>
    <row r="941">
      <c r="A941" s="65" t="n">
        <v>6.9</v>
      </c>
      <c r="B941" s="65" t="n">
        <v>56.6</v>
      </c>
      <c r="C941" s="65" t="n"/>
      <c r="D941" s="65" t="n"/>
      <c r="E941" s="65" t="n"/>
    </row>
    <row r="942">
      <c r="A942" s="65" t="n">
        <v>7.1</v>
      </c>
      <c r="B942" s="65" t="n">
        <v>33</v>
      </c>
      <c r="C942" s="65" t="n"/>
      <c r="D942" s="65" t="n"/>
      <c r="E942" s="65" t="n"/>
    </row>
    <row r="943">
      <c r="A943" s="65" t="n">
        <v>6.6</v>
      </c>
      <c r="B943" s="65" t="n">
        <v>33</v>
      </c>
      <c r="C943" s="65" t="n"/>
      <c r="D943" s="65" t="n"/>
      <c r="E943" s="65" t="n"/>
    </row>
    <row r="944">
      <c r="A944" s="65" t="n">
        <v>7.3</v>
      </c>
      <c r="B944" s="65" t="n">
        <v>90.09999999999999</v>
      </c>
      <c r="C944" s="65" t="n"/>
      <c r="D944" s="65" t="n"/>
      <c r="E944" s="65" t="n"/>
    </row>
    <row r="945">
      <c r="A945" s="65" t="n">
        <v>6.6</v>
      </c>
      <c r="B945" s="65" t="n">
        <v>67.2</v>
      </c>
      <c r="C945" s="65" t="n"/>
      <c r="D945" s="65" t="n"/>
      <c r="E945" s="65" t="n"/>
    </row>
    <row r="946">
      <c r="A946" s="65" t="n">
        <v>7</v>
      </c>
      <c r="B946" s="65" t="n">
        <v>114.1</v>
      </c>
      <c r="C946" s="65" t="n"/>
      <c r="D946" s="65" t="n"/>
      <c r="E946" s="65" t="n"/>
    </row>
    <row r="947">
      <c r="A947" s="65" t="n">
        <v>6.8</v>
      </c>
      <c r="B947" s="65" t="n">
        <v>144.3</v>
      </c>
      <c r="C947" s="65" t="n"/>
      <c r="D947" s="65" t="n"/>
      <c r="E947" s="65" t="n"/>
    </row>
    <row r="948">
      <c r="A948" s="65" t="n">
        <v>7.7</v>
      </c>
      <c r="B948" s="65" t="n">
        <v>33</v>
      </c>
      <c r="C948" s="65" t="n"/>
      <c r="D948" s="65" t="n"/>
      <c r="E948" s="65" t="n"/>
    </row>
    <row r="949">
      <c r="A949" s="65" t="n">
        <v>7</v>
      </c>
      <c r="B949" s="65" t="n">
        <v>33</v>
      </c>
      <c r="C949" s="65" t="n"/>
      <c r="D949" s="65" t="n"/>
      <c r="E949" s="65" t="n"/>
    </row>
    <row r="950">
      <c r="A950" s="65" t="n">
        <v>6.7</v>
      </c>
      <c r="B950" s="65" t="n">
        <v>33</v>
      </c>
      <c r="C950" s="65" t="n"/>
      <c r="D950" s="65" t="n"/>
      <c r="E950" s="65" t="n"/>
    </row>
    <row r="951">
      <c r="A951" s="65" t="n">
        <v>6.6</v>
      </c>
      <c r="B951" s="65" t="n">
        <v>151.6</v>
      </c>
      <c r="C951" s="65" t="n"/>
      <c r="D951" s="65" t="n"/>
      <c r="E951" s="65" t="n"/>
    </row>
    <row r="952">
      <c r="A952" s="65" t="n">
        <v>6.6</v>
      </c>
      <c r="B952" s="65" t="n">
        <v>27</v>
      </c>
      <c r="C952" s="65" t="n"/>
      <c r="D952" s="65" t="n"/>
      <c r="E952" s="65" t="n"/>
    </row>
    <row r="953">
      <c r="A953" s="65" t="n">
        <v>6.8</v>
      </c>
      <c r="B953" s="65" t="n">
        <v>50</v>
      </c>
      <c r="C953" s="65" t="n"/>
      <c r="D953" s="65" t="n"/>
      <c r="E953" s="65" t="n"/>
    </row>
    <row r="954">
      <c r="A954" s="65" t="n">
        <v>7.2</v>
      </c>
      <c r="B954" s="65" t="n">
        <v>33</v>
      </c>
      <c r="C954" s="65" t="n"/>
      <c r="D954" s="65" t="n"/>
      <c r="E954" s="65" t="n"/>
    </row>
    <row r="955">
      <c r="A955" s="65" t="n">
        <v>6.7</v>
      </c>
      <c r="B955" s="65" t="n">
        <v>33</v>
      </c>
      <c r="C955" s="65" t="n"/>
      <c r="D955" s="65" t="n"/>
      <c r="E955" s="65" t="n"/>
    </row>
    <row r="956">
      <c r="A956" s="65" t="n">
        <v>7</v>
      </c>
      <c r="B956" s="65" t="n">
        <v>10</v>
      </c>
      <c r="C956" s="65" t="n"/>
      <c r="D956" s="65" t="n"/>
      <c r="E956" s="65" t="n"/>
    </row>
    <row r="957">
      <c r="A957" s="65" t="n">
        <v>7</v>
      </c>
      <c r="B957" s="65" t="n">
        <v>110.2</v>
      </c>
      <c r="C957" s="65" t="n"/>
      <c r="D957" s="65" t="n"/>
      <c r="E957" s="65" t="n"/>
    </row>
    <row r="958">
      <c r="A958" s="65" t="n">
        <v>6.6</v>
      </c>
      <c r="B958" s="65" t="n">
        <v>33</v>
      </c>
      <c r="C958" s="65" t="n"/>
      <c r="D958" s="65" t="n"/>
      <c r="E958" s="65" t="n"/>
    </row>
    <row r="959">
      <c r="A959" s="65" t="n">
        <v>6.6</v>
      </c>
      <c r="B959" s="65" t="n">
        <v>24</v>
      </c>
      <c r="C959" s="65" t="n"/>
      <c r="D959" s="65" t="n"/>
      <c r="E959" s="65" t="n"/>
    </row>
    <row r="960">
      <c r="A960" s="65" t="n">
        <v>6.7</v>
      </c>
      <c r="B960" s="65" t="n">
        <v>33</v>
      </c>
      <c r="C960" s="65" t="n"/>
      <c r="D960" s="65" t="n"/>
      <c r="E960" s="65" t="n"/>
    </row>
    <row r="961">
      <c r="A961" s="65" t="n">
        <v>6.6</v>
      </c>
      <c r="B961" s="65" t="n">
        <v>61.4</v>
      </c>
      <c r="C961" s="65" t="n"/>
      <c r="D961" s="65" t="n"/>
      <c r="E961" s="65" t="n"/>
    </row>
    <row r="962">
      <c r="A962" s="65" t="n">
        <v>7.5</v>
      </c>
      <c r="B962" s="65" t="n">
        <v>33</v>
      </c>
      <c r="C962" s="65" t="n"/>
      <c r="D962" s="65" t="n"/>
      <c r="E962" s="65" t="n"/>
    </row>
    <row r="963">
      <c r="A963" s="65" t="n">
        <v>6.6</v>
      </c>
      <c r="B963" s="65" t="n">
        <v>164.6</v>
      </c>
      <c r="C963" s="65" t="n"/>
      <c r="D963" s="65" t="n"/>
      <c r="E963" s="65" t="n"/>
    </row>
    <row r="964">
      <c r="A964" s="65" t="n">
        <v>7</v>
      </c>
      <c r="B964" s="65" t="n">
        <v>55.7</v>
      </c>
      <c r="C964" s="65" t="n"/>
      <c r="D964" s="65" t="n"/>
      <c r="E964" s="65" t="n"/>
    </row>
    <row r="965">
      <c r="A965" s="65" t="n">
        <v>6.6</v>
      </c>
      <c r="B965" s="65" t="n">
        <v>9</v>
      </c>
      <c r="C965" s="65" t="n"/>
      <c r="D965" s="65" t="n"/>
      <c r="E965" s="65" t="n"/>
    </row>
    <row r="966">
      <c r="A966" s="65" t="n">
        <v>7.1</v>
      </c>
      <c r="B966" s="65" t="n">
        <v>42</v>
      </c>
      <c r="C966" s="65" t="n"/>
      <c r="D966" s="65" t="n"/>
      <c r="E966" s="65" t="n"/>
    </row>
    <row r="967">
      <c r="A967" s="65" t="n">
        <v>6.7</v>
      </c>
      <c r="B967" s="65" t="n">
        <v>23.4</v>
      </c>
      <c r="C967" s="65" t="n"/>
      <c r="D967" s="65" t="n"/>
      <c r="E967" s="65" t="n"/>
    </row>
    <row r="968">
      <c r="A968" s="65" t="n">
        <v>6.6</v>
      </c>
      <c r="B968" s="65" t="n">
        <v>34.8</v>
      </c>
      <c r="C968" s="65" t="n"/>
      <c r="D968" s="65" t="n"/>
      <c r="E968" s="65" t="n"/>
    </row>
    <row r="969">
      <c r="A969" s="65" t="n">
        <v>6.6</v>
      </c>
      <c r="B969" s="65" t="n">
        <v>33</v>
      </c>
      <c r="C969" s="65" t="n"/>
      <c r="D969" s="65" t="n"/>
      <c r="E969" s="65" t="n"/>
    </row>
    <row r="970">
      <c r="A970" s="65" t="n">
        <v>7.2</v>
      </c>
      <c r="B970" s="65" t="n">
        <v>179.3</v>
      </c>
      <c r="C970" s="65" t="n"/>
      <c r="D970" s="65" t="n"/>
      <c r="E970" s="65" t="n"/>
    </row>
    <row r="971">
      <c r="A971" s="65" t="n">
        <v>7.8</v>
      </c>
      <c r="B971" s="65" t="n">
        <v>33</v>
      </c>
      <c r="C971" s="65" t="n"/>
      <c r="D971" s="65" t="n"/>
      <c r="E971" s="65" t="n"/>
    </row>
    <row r="972">
      <c r="A972" s="65" t="n">
        <v>7</v>
      </c>
      <c r="B972" s="65" t="n">
        <v>24</v>
      </c>
      <c r="C972" s="65" t="n"/>
      <c r="D972" s="65" t="n"/>
      <c r="E972" s="65" t="n"/>
    </row>
    <row r="973">
      <c r="A973" s="65" t="n">
        <v>6.6</v>
      </c>
      <c r="B973" s="65" t="n">
        <v>33</v>
      </c>
      <c r="C973" s="65" t="n"/>
      <c r="D973" s="65" t="n"/>
      <c r="E973" s="65" t="n"/>
    </row>
    <row r="974">
      <c r="A974" s="65" t="n">
        <v>7</v>
      </c>
      <c r="B974" s="65" t="n">
        <v>123.1</v>
      </c>
      <c r="C974" s="65" t="n"/>
      <c r="D974" s="65" t="n"/>
      <c r="E974" s="65" t="n"/>
    </row>
    <row r="975">
      <c r="A975" s="65" t="n">
        <v>6.5</v>
      </c>
      <c r="B975" s="65" t="n">
        <v>176.4</v>
      </c>
      <c r="C975" s="65" t="n"/>
      <c r="D975" s="65" t="n"/>
      <c r="E975" s="65" t="n"/>
    </row>
    <row r="976">
      <c r="A976" s="65" t="n">
        <v>7.5</v>
      </c>
      <c r="B976" s="65" t="n">
        <v>33</v>
      </c>
      <c r="C976" s="65" t="n"/>
      <c r="D976" s="65" t="n"/>
      <c r="E976" s="65" t="n"/>
    </row>
    <row r="977">
      <c r="A977" s="65" t="n">
        <v>7.2</v>
      </c>
      <c r="B977" s="65" t="n">
        <v>112</v>
      </c>
      <c r="C977" s="65" t="n"/>
      <c r="D977" s="65" t="n"/>
      <c r="E977" s="65" t="n"/>
    </row>
    <row r="978">
      <c r="A978" s="65" t="n">
        <v>7.1</v>
      </c>
      <c r="B978" s="65" t="n">
        <v>58</v>
      </c>
      <c r="C978" s="65" t="n"/>
      <c r="D978" s="65" t="n"/>
      <c r="E978" s="65" t="n"/>
    </row>
    <row r="979">
      <c r="A979" s="65" t="n">
        <v>7.8</v>
      </c>
      <c r="B979" s="65" t="n">
        <v>167.3</v>
      </c>
      <c r="C979" s="65" t="n"/>
      <c r="D979" s="65" t="n"/>
      <c r="E979" s="65" t="n"/>
    </row>
    <row r="980">
      <c r="A980" s="65" t="n">
        <v>6.5</v>
      </c>
      <c r="B980" s="65" t="n">
        <v>105.6</v>
      </c>
      <c r="C980" s="65" t="n"/>
      <c r="D980" s="65" t="n"/>
      <c r="E980" s="65" t="n"/>
    </row>
    <row r="981">
      <c r="A981" s="65" t="n">
        <v>6.8</v>
      </c>
      <c r="B981" s="65" t="n">
        <v>198.7</v>
      </c>
      <c r="C981" s="65" t="n"/>
      <c r="D981" s="65" t="n"/>
      <c r="E981" s="65" t="n"/>
    </row>
    <row r="982">
      <c r="A982" s="65" t="n">
        <v>6.6</v>
      </c>
      <c r="B982" s="65" t="n">
        <v>22.8</v>
      </c>
      <c r="C982" s="65" t="n"/>
      <c r="D982" s="65" t="n"/>
      <c r="E982" s="65" t="n"/>
    </row>
    <row r="983">
      <c r="A983" s="65" t="n">
        <v>6.9</v>
      </c>
      <c r="B983" s="65" t="n">
        <v>33</v>
      </c>
      <c r="C983" s="65" t="n"/>
      <c r="D983" s="65" t="n"/>
      <c r="E983" s="65" t="n"/>
    </row>
    <row r="984">
      <c r="A984" s="65" t="n">
        <v>7</v>
      </c>
      <c r="B984" s="65" t="n">
        <v>19.9</v>
      </c>
      <c r="C984" s="65" t="n"/>
      <c r="D984" s="65" t="n"/>
      <c r="E984" s="65" t="n"/>
    </row>
    <row r="985">
      <c r="A985" s="65" t="n">
        <v>6.8</v>
      </c>
      <c r="B985" s="65" t="n">
        <v>19</v>
      </c>
      <c r="C985" s="65" t="n"/>
      <c r="D985" s="65" t="n"/>
      <c r="E985" s="65" t="n"/>
    </row>
    <row r="986">
      <c r="A986" s="65" t="n">
        <v>6.5</v>
      </c>
      <c r="B986" s="65" t="n">
        <v>70</v>
      </c>
      <c r="C986" s="65" t="n"/>
      <c r="D986" s="65" t="n"/>
      <c r="E986" s="65" t="n"/>
    </row>
    <row r="987">
      <c r="A987" s="65" t="n">
        <v>6.8</v>
      </c>
      <c r="B987" s="65" t="n">
        <v>57</v>
      </c>
      <c r="C987" s="65" t="n"/>
      <c r="D987" s="65" t="n"/>
      <c r="E987" s="65" t="n"/>
    </row>
    <row r="988">
      <c r="A988" s="65" t="n">
        <v>6.5</v>
      </c>
      <c r="B988" s="65" t="n">
        <v>196</v>
      </c>
      <c r="C988" s="65" t="n"/>
      <c r="D988" s="65" t="n"/>
      <c r="E988" s="65" t="n"/>
    </row>
    <row r="989">
      <c r="A989" s="65" t="n">
        <v>7.3</v>
      </c>
      <c r="B989" s="65" t="n">
        <v>10</v>
      </c>
      <c r="C989" s="65" t="n"/>
      <c r="D989" s="65" t="n"/>
      <c r="E989" s="65" t="n"/>
    </row>
    <row r="990">
      <c r="A990" s="65" t="n">
        <v>6.5</v>
      </c>
      <c r="B990" s="65" t="n">
        <v>100.8</v>
      </c>
      <c r="C990" s="65" t="n"/>
      <c r="D990" s="65" t="n"/>
      <c r="E990" s="65" t="n"/>
    </row>
    <row r="991">
      <c r="A991" s="65" t="n">
        <v>6.7</v>
      </c>
      <c r="B991" s="65" t="n">
        <v>5</v>
      </c>
      <c r="C991" s="65" t="n"/>
      <c r="D991" s="65" t="n"/>
      <c r="E991" s="65" t="n"/>
    </row>
    <row r="992">
      <c r="A992" s="65" t="n">
        <v>7.7</v>
      </c>
      <c r="B992" s="65" t="n">
        <v>33</v>
      </c>
      <c r="C992" s="65" t="n"/>
      <c r="D992" s="65" t="n"/>
      <c r="E992" s="65" t="n"/>
    </row>
    <row r="993">
      <c r="A993" s="65" t="n">
        <v>6.5</v>
      </c>
      <c r="B993" s="65" t="n">
        <v>69.09999999999999</v>
      </c>
      <c r="C993" s="65" t="n"/>
      <c r="D993" s="65" t="n"/>
      <c r="E993" s="65" t="n"/>
    </row>
    <row r="994">
      <c r="A994" s="65" t="n">
        <v>6.9</v>
      </c>
      <c r="B994" s="65" t="n">
        <v>10</v>
      </c>
      <c r="C994" s="65" t="n"/>
      <c r="D994" s="65" t="n"/>
      <c r="E994" s="65" t="n"/>
    </row>
    <row r="995">
      <c r="A995" s="65" t="n">
        <v>7.1</v>
      </c>
      <c r="B995" s="65" t="n">
        <v>33</v>
      </c>
      <c r="C995" s="65" t="n"/>
      <c r="D995" s="65" t="n"/>
      <c r="E995" s="65" t="n"/>
    </row>
    <row r="996">
      <c r="A996" s="65" t="n">
        <v>6.5</v>
      </c>
      <c r="B996" s="65" t="n">
        <v>10</v>
      </c>
      <c r="C996" s="65" t="n"/>
      <c r="D996" s="65" t="n"/>
      <c r="E996" s="65" t="n"/>
    </row>
    <row r="997">
      <c r="A997" s="65" t="n">
        <v>7.2</v>
      </c>
      <c r="B997" s="65" t="n">
        <v>33</v>
      </c>
      <c r="C997" s="65" t="n"/>
      <c r="D997" s="65" t="n"/>
      <c r="E997" s="65" t="n"/>
    </row>
    <row r="998">
      <c r="A998" s="65" t="n">
        <v>6.5</v>
      </c>
      <c r="B998" s="65" t="n">
        <v>226.5</v>
      </c>
      <c r="C998" s="65" t="n"/>
      <c r="D998" s="65" t="n"/>
      <c r="E998" s="65" t="n"/>
    </row>
    <row r="999">
      <c r="A999" s="65" t="n">
        <v>6.7</v>
      </c>
      <c r="B999" s="65" t="n">
        <v>49.2</v>
      </c>
      <c r="C999" s="65" t="n"/>
      <c r="D999" s="65" t="n"/>
      <c r="E999" s="65" t="n"/>
    </row>
    <row r="1000">
      <c r="A1000" s="65" t="n">
        <v>6.9</v>
      </c>
      <c r="B1000" s="65" t="n">
        <v>33</v>
      </c>
      <c r="C1000" s="65" t="n"/>
      <c r="D1000" s="65" t="n"/>
      <c r="E1000" s="65" t="n"/>
    </row>
    <row r="1001">
      <c r="A1001" s="65" t="n">
        <v>7.7</v>
      </c>
      <c r="B1001" s="65" t="n">
        <v>33</v>
      </c>
      <c r="C1001" s="65" t="n"/>
      <c r="D1001" s="65" t="n"/>
      <c r="E1001" s="65" t="n"/>
    </row>
    <row r="1002">
      <c r="A1002" s="65" t="n">
        <v>6.7</v>
      </c>
      <c r="B1002" s="65" t="n">
        <v>22</v>
      </c>
      <c r="C1002" s="65" t="n"/>
      <c r="D1002" s="65" t="n"/>
      <c r="E1002" s="65" t="n"/>
    </row>
    <row r="1003">
      <c r="A1003" s="65" t="n">
        <v>6.6</v>
      </c>
      <c r="B1003" s="65" t="n">
        <v>10</v>
      </c>
      <c r="C1003" s="65" t="n"/>
      <c r="D1003" s="65" t="n"/>
      <c r="E1003" s="65" t="n"/>
    </row>
    <row r="1004">
      <c r="A1004" s="65" t="n">
        <v>6.8</v>
      </c>
      <c r="B1004" s="65" t="n">
        <v>24</v>
      </c>
      <c r="C1004" s="65" t="n"/>
      <c r="D1004" s="65" t="n"/>
      <c r="E1004" s="65" t="n"/>
    </row>
    <row r="1005">
      <c r="A1005" s="65" t="n">
        <v>6.8</v>
      </c>
      <c r="B1005" s="65" t="n">
        <v>33</v>
      </c>
      <c r="C1005" s="65" t="n"/>
      <c r="D1005" s="65" t="n"/>
      <c r="E1005" s="65" t="n"/>
    </row>
    <row r="1006">
      <c r="A1006" s="65" t="n">
        <v>6.6</v>
      </c>
      <c r="B1006" s="65" t="n">
        <v>33</v>
      </c>
      <c r="C1006" s="65" t="n"/>
      <c r="D1006" s="65" t="n"/>
      <c r="E1006" s="65" t="n"/>
    </row>
    <row r="1007">
      <c r="A1007" s="65" t="n">
        <v>6.6</v>
      </c>
      <c r="B1007" s="65" t="n">
        <v>33</v>
      </c>
      <c r="C1007" s="65" t="n"/>
      <c r="D1007" s="65" t="n"/>
      <c r="E1007" s="65" t="n"/>
    </row>
    <row r="1008">
      <c r="A1008" s="65" t="n">
        <v>6.8</v>
      </c>
      <c r="B1008" s="65" t="n">
        <v>20</v>
      </c>
      <c r="C1008" s="65" t="n"/>
      <c r="D1008" s="65" t="n"/>
      <c r="E1008" s="65" t="n"/>
    </row>
    <row r="1009">
      <c r="A1009" s="65" t="n">
        <v>6.9</v>
      </c>
      <c r="B1009" s="65" t="n">
        <v>33</v>
      </c>
      <c r="C1009" s="65" t="n"/>
      <c r="D1009" s="65" t="n"/>
      <c r="E1009" s="65" t="n"/>
    </row>
    <row r="1010">
      <c r="A1010" s="65" t="n">
        <v>7</v>
      </c>
      <c r="B1010" s="65" t="n">
        <v>33</v>
      </c>
      <c r="C1010" s="65" t="n"/>
      <c r="D1010" s="65" t="n"/>
      <c r="E1010" s="65" t="n"/>
    </row>
    <row r="1011">
      <c r="A1011" s="65" t="n">
        <v>6.6</v>
      </c>
      <c r="B1011" s="65" t="n">
        <v>33</v>
      </c>
      <c r="C1011" s="65" t="n"/>
      <c r="D1011" s="65" t="n"/>
      <c r="E1011" s="65" t="n"/>
    </row>
    <row r="1012">
      <c r="A1012" s="65" t="n">
        <v>6.8</v>
      </c>
      <c r="B1012" s="65" t="n">
        <v>18.3</v>
      </c>
      <c r="C1012" s="65" t="n"/>
      <c r="D1012" s="65" t="n"/>
      <c r="E1012" s="65" t="n"/>
    </row>
    <row r="1013">
      <c r="A1013" s="65" t="n">
        <v>7.9</v>
      </c>
      <c r="B1013" s="65" t="n">
        <v>587.3</v>
      </c>
      <c r="C1013" s="65" t="n"/>
      <c r="D1013" s="65" t="n"/>
      <c r="E1013" s="65" t="n"/>
    </row>
    <row r="1014">
      <c r="A1014" s="65" t="n">
        <v>7.1</v>
      </c>
      <c r="B1014" s="65" t="n">
        <v>33</v>
      </c>
      <c r="C1014" s="65" t="n"/>
      <c r="D1014" s="65" t="n"/>
      <c r="E1014" s="65" t="n"/>
    </row>
    <row r="1015">
      <c r="A1015" s="65" t="n">
        <v>7.3</v>
      </c>
      <c r="B1015" s="65" t="n">
        <v>26.3</v>
      </c>
      <c r="C1015" s="65" t="n"/>
      <c r="D1015" s="65" t="n"/>
      <c r="E1015" s="65" t="n"/>
    </row>
    <row r="1016">
      <c r="A1016" s="65" t="n">
        <v>7.9</v>
      </c>
      <c r="B1016" s="65" t="n">
        <v>33</v>
      </c>
      <c r="C1016" s="65" t="n"/>
      <c r="D1016" s="65" t="n"/>
      <c r="E1016" s="65" t="n"/>
    </row>
    <row r="1017">
      <c r="A1017" s="65" t="n">
        <v>6.7</v>
      </c>
      <c r="B1017" s="65" t="n">
        <v>200.1</v>
      </c>
      <c r="C1017" s="65" t="n"/>
      <c r="D1017" s="65" t="n"/>
      <c r="E1017" s="65" t="n"/>
    </row>
    <row r="1018">
      <c r="A1018" s="65" t="n">
        <v>7.2</v>
      </c>
      <c r="B1018" s="65" t="n">
        <v>44</v>
      </c>
      <c r="C1018" s="65" t="n"/>
      <c r="D1018" s="65" t="n"/>
      <c r="E1018" s="65" t="n"/>
    </row>
    <row r="1019">
      <c r="A1019" s="65" t="n">
        <v>6.6</v>
      </c>
      <c r="B1019" s="65" t="n">
        <v>49.5</v>
      </c>
      <c r="C1019" s="65" t="n"/>
      <c r="D1019" s="65" t="n"/>
      <c r="E1019" s="65" t="n"/>
    </row>
    <row r="1020">
      <c r="A1020" s="65" t="n">
        <v>6.7</v>
      </c>
      <c r="B1020" s="65" t="n">
        <v>164.4</v>
      </c>
      <c r="C1020" s="65" t="n"/>
      <c r="D1020" s="65" t="n"/>
      <c r="E1020" s="65" t="n"/>
    </row>
    <row r="1021">
      <c r="A1021" s="65" t="n">
        <v>6.7</v>
      </c>
      <c r="B1021" s="65" t="n">
        <v>33</v>
      </c>
      <c r="C1021" s="65" t="n"/>
      <c r="D1021" s="65" t="n"/>
      <c r="E1021" s="65" t="n"/>
    </row>
    <row r="1022">
      <c r="A1022" s="65" t="n">
        <v>6.6</v>
      </c>
      <c r="B1022" s="65" t="n">
        <v>33</v>
      </c>
      <c r="C1022" s="65" t="n"/>
      <c r="D1022" s="65" t="n"/>
      <c r="E1022" s="65" t="n"/>
    </row>
    <row r="1023">
      <c r="A1023" s="65" t="n">
        <v>7.1</v>
      </c>
      <c r="B1023" s="65" t="n">
        <v>21.1</v>
      </c>
      <c r="C1023" s="65" t="n"/>
      <c r="D1023" s="65" t="n"/>
      <c r="E1023" s="65" t="n"/>
    </row>
    <row r="1024">
      <c r="A1024" s="65" t="n">
        <v>7.5</v>
      </c>
      <c r="B1024" s="65" t="n">
        <v>10</v>
      </c>
      <c r="C1024" s="65" t="n"/>
      <c r="D1024" s="65" t="n"/>
      <c r="E1024" s="65" t="n"/>
    </row>
    <row r="1025">
      <c r="A1025" s="65" t="n">
        <v>6.5</v>
      </c>
      <c r="B1025" s="65" t="n">
        <v>31.9</v>
      </c>
      <c r="C1025" s="65" t="n"/>
      <c r="D1025" s="65" t="n"/>
      <c r="E1025" s="65" t="n"/>
    </row>
    <row r="1026">
      <c r="A1026" s="65" t="n">
        <v>6.5</v>
      </c>
      <c r="B1026" s="65" t="n">
        <v>19.2</v>
      </c>
      <c r="C1026" s="65" t="n"/>
      <c r="D1026" s="65" t="n"/>
      <c r="E1026" s="65" t="n"/>
    </row>
    <row r="1027">
      <c r="A1027" s="65" t="n">
        <v>8.09</v>
      </c>
      <c r="B1027" s="65" t="n">
        <v>33</v>
      </c>
      <c r="C1027" s="65" t="n"/>
      <c r="D1027" s="65" t="n"/>
      <c r="E1027" s="65" t="n"/>
    </row>
    <row r="1028">
      <c r="A1028" s="65" t="n">
        <v>6.7</v>
      </c>
      <c r="B1028" s="65" t="n">
        <v>40.8</v>
      </c>
      <c r="C1028" s="65" t="n"/>
      <c r="D1028" s="65" t="n"/>
      <c r="E1028" s="65" t="n"/>
    </row>
    <row r="1029">
      <c r="A1029" s="65" t="n">
        <v>7.2</v>
      </c>
      <c r="B1029" s="65" t="n">
        <v>42.6</v>
      </c>
      <c r="C1029" s="65" t="n"/>
      <c r="D1029" s="65" t="n"/>
      <c r="E1029" s="65" t="n"/>
    </row>
    <row r="1030">
      <c r="A1030" s="65" t="n">
        <v>6.6</v>
      </c>
      <c r="B1030" s="65" t="n">
        <v>11.1</v>
      </c>
      <c r="C1030" s="65" t="n"/>
      <c r="D1030" s="65" t="n"/>
      <c r="E1030" s="65" t="n"/>
    </row>
    <row r="1031">
      <c r="A1031" s="65" t="n">
        <v>6.6</v>
      </c>
      <c r="B1031" s="65" t="n">
        <v>33</v>
      </c>
      <c r="C1031" s="65" t="n"/>
      <c r="D1031" s="65" t="n"/>
      <c r="E1031" s="65" t="n"/>
    </row>
    <row r="1032">
      <c r="A1032" s="65" t="n">
        <v>7.9</v>
      </c>
      <c r="B1032" s="65" t="n">
        <v>24</v>
      </c>
      <c r="C1032" s="65" t="n"/>
      <c r="D1032" s="65" t="n"/>
      <c r="E1032" s="65" t="n"/>
    </row>
    <row r="1033">
      <c r="A1033" s="65" t="n">
        <v>7.1</v>
      </c>
      <c r="B1033" s="65" t="n">
        <v>141.9</v>
      </c>
      <c r="C1033" s="65" t="n"/>
      <c r="D1033" s="65" t="n"/>
      <c r="E1033" s="65" t="n"/>
    </row>
    <row r="1034">
      <c r="A1034" s="65" t="n">
        <v>6.5</v>
      </c>
      <c r="B1034" s="65" t="n">
        <v>63.4</v>
      </c>
      <c r="C1034" s="65" t="n"/>
      <c r="D1034" s="65" t="n"/>
      <c r="E1034" s="65" t="n"/>
    </row>
    <row r="1035">
      <c r="A1035" s="65" t="n">
        <v>7.9</v>
      </c>
      <c r="B1035" s="65" t="n">
        <v>33</v>
      </c>
      <c r="C1035" s="65" t="n"/>
      <c r="D1035" s="65" t="n"/>
      <c r="E1035" s="65" t="n"/>
    </row>
    <row r="1036">
      <c r="A1036" s="65" t="n">
        <v>7.2</v>
      </c>
      <c r="B1036" s="65" t="n">
        <v>10</v>
      </c>
      <c r="C1036" s="65" t="n"/>
      <c r="D1036" s="65" t="n"/>
      <c r="E1036" s="65" t="n"/>
    </row>
    <row r="1037">
      <c r="A1037" s="65" t="n">
        <v>6.7</v>
      </c>
      <c r="B1037" s="65" t="n">
        <v>19.9</v>
      </c>
      <c r="C1037" s="65" t="n"/>
      <c r="D1037" s="65" t="n"/>
      <c r="E1037" s="65" t="n"/>
    </row>
    <row r="1038">
      <c r="A1038" s="65" t="n">
        <v>7.2</v>
      </c>
      <c r="B1038" s="65" t="n">
        <v>159.3</v>
      </c>
      <c r="C1038" s="65" t="n"/>
      <c r="D1038" s="65" t="n"/>
      <c r="E1038" s="65" t="n"/>
    </row>
    <row r="1039">
      <c r="A1039" s="65" t="n">
        <v>6.8</v>
      </c>
      <c r="B1039" s="65" t="n">
        <v>19.7</v>
      </c>
      <c r="C1039" s="65" t="n"/>
      <c r="D1039" s="65" t="n"/>
      <c r="E1039" s="65" t="n"/>
    </row>
    <row r="1040">
      <c r="A1040" s="65" t="n">
        <v>7.1</v>
      </c>
      <c r="B1040" s="65" t="n">
        <v>28.4</v>
      </c>
      <c r="C1040" s="65" t="n"/>
      <c r="D1040" s="65" t="n"/>
      <c r="E1040" s="65" t="n"/>
    </row>
    <row r="1041">
      <c r="A1041" s="65" t="n">
        <v>8</v>
      </c>
      <c r="B1041" s="65" t="n">
        <v>33</v>
      </c>
      <c r="C1041" s="65" t="n"/>
      <c r="D1041" s="65" t="n"/>
      <c r="E1041" s="65" t="n"/>
    </row>
    <row r="1042">
      <c r="A1042" s="65" t="n">
        <v>6.8</v>
      </c>
      <c r="B1042" s="65" t="n">
        <v>33</v>
      </c>
      <c r="C1042" s="65" t="n"/>
      <c r="D1042" s="65" t="n"/>
      <c r="E1042" s="65" t="n"/>
    </row>
    <row r="1043">
      <c r="A1043" s="65" t="n">
        <v>6.5</v>
      </c>
      <c r="B1043" s="65" t="n">
        <v>16.7</v>
      </c>
      <c r="C1043" s="65" t="n"/>
      <c r="D1043" s="65" t="n"/>
      <c r="E1043" s="65" t="n"/>
    </row>
    <row r="1044">
      <c r="A1044" s="65" t="n">
        <v>7</v>
      </c>
      <c r="B1044" s="65" t="n">
        <v>24.4</v>
      </c>
      <c r="C1044" s="65" t="n"/>
      <c r="D1044" s="65" t="n"/>
      <c r="E1044" s="65" t="n"/>
    </row>
    <row r="1045">
      <c r="A1045" s="65" t="n">
        <v>6.5</v>
      </c>
      <c r="B1045" s="65" t="n">
        <v>59.9</v>
      </c>
      <c r="C1045" s="65" t="n"/>
      <c r="D1045" s="65" t="n"/>
      <c r="E1045" s="65" t="n"/>
    </row>
    <row r="1046">
      <c r="A1046" s="65" t="n">
        <v>7.4</v>
      </c>
      <c r="B1046" s="65" t="n">
        <v>23</v>
      </c>
      <c r="C1046" s="65" t="n"/>
      <c r="D1046" s="65" t="n"/>
      <c r="E1046" s="65" t="n"/>
    </row>
    <row r="1047">
      <c r="A1047" s="65" t="n">
        <v>6.6</v>
      </c>
      <c r="B1047" s="65" t="n">
        <v>12.2</v>
      </c>
      <c r="C1047" s="65" t="n"/>
      <c r="D1047" s="65" t="n"/>
      <c r="E1047" s="65" t="n"/>
    </row>
    <row r="1048">
      <c r="A1048" s="65" t="n">
        <v>6.6</v>
      </c>
      <c r="B1048" s="65" t="n">
        <v>119.6</v>
      </c>
      <c r="C1048" s="65" t="n"/>
      <c r="D1048" s="65" t="n"/>
      <c r="E1048" s="65" t="n"/>
    </row>
    <row r="1049">
      <c r="A1049" s="65" t="n">
        <v>7.2</v>
      </c>
      <c r="B1049" s="65" t="n">
        <v>33</v>
      </c>
      <c r="C1049" s="65" t="n"/>
      <c r="D1049" s="65" t="n"/>
      <c r="E1049" s="65" t="n"/>
    </row>
    <row r="1050">
      <c r="A1050" s="65" t="n">
        <v>6.6</v>
      </c>
      <c r="B1050" s="65" t="n">
        <v>18.7</v>
      </c>
      <c r="C1050" s="65" t="n"/>
      <c r="D1050" s="65" t="n"/>
      <c r="E1050" s="65" t="n"/>
    </row>
    <row r="1051">
      <c r="A1051" s="65" t="n">
        <v>7.7</v>
      </c>
      <c r="B1051" s="65" t="n">
        <v>30.1</v>
      </c>
      <c r="C1051" s="65" t="n"/>
      <c r="D1051" s="65" t="n"/>
      <c r="E1051" s="65" t="n"/>
    </row>
    <row r="1052">
      <c r="A1052" s="65" t="n">
        <v>6.7</v>
      </c>
      <c r="B1052" s="65" t="n">
        <v>127.9</v>
      </c>
      <c r="C1052" s="65" t="n"/>
      <c r="D1052" s="65" t="n"/>
      <c r="E1052" s="65" t="n"/>
    </row>
    <row r="1053">
      <c r="A1053" s="65" t="n">
        <v>8</v>
      </c>
      <c r="B1053" s="65" t="n">
        <v>45.6</v>
      </c>
      <c r="C1053" s="65" t="n"/>
      <c r="D1053" s="65" t="n"/>
      <c r="E1053" s="65" t="n"/>
    </row>
    <row r="1054">
      <c r="A1054" s="65" t="n">
        <v>6.8</v>
      </c>
      <c r="B1054" s="65" t="n">
        <v>12.5</v>
      </c>
      <c r="C1054" s="65" t="n"/>
      <c r="D1054" s="65" t="n"/>
      <c r="E1054" s="65" t="n"/>
    </row>
    <row r="1055">
      <c r="A1055" s="65" t="n">
        <v>6.6</v>
      </c>
      <c r="B1055" s="65" t="n">
        <v>139.4</v>
      </c>
      <c r="C1055" s="65" t="n"/>
      <c r="D1055" s="65" t="n"/>
      <c r="E1055" s="65" t="n"/>
    </row>
    <row r="1056">
      <c r="A1056" s="65" t="n">
        <v>6.5</v>
      </c>
      <c r="B1056" s="65" t="n">
        <v>14.2</v>
      </c>
      <c r="C1056" s="65" t="n"/>
      <c r="D1056" s="65" t="n"/>
      <c r="E1056" s="65" t="n"/>
    </row>
    <row r="1057">
      <c r="A1057" s="65" t="n">
        <v>7.1</v>
      </c>
      <c r="B1057" s="65" t="n">
        <v>11</v>
      </c>
      <c r="C1057" s="65" t="n"/>
      <c r="D1057" s="65" t="n"/>
      <c r="E1057" s="65" t="n"/>
    </row>
    <row r="1058">
      <c r="A1058" s="65" t="n">
        <v>7.7</v>
      </c>
      <c r="B1058" s="65" t="n">
        <v>20.2</v>
      </c>
      <c r="C1058" s="65" t="n"/>
      <c r="D1058" s="65" t="n"/>
      <c r="E1058" s="65" t="n"/>
    </row>
    <row r="1059">
      <c r="A1059" s="65" t="n">
        <v>6.9</v>
      </c>
      <c r="B1059" s="65" t="n">
        <v>11.2</v>
      </c>
      <c r="C1059" s="65" t="n"/>
      <c r="D1059" s="65" t="n"/>
      <c r="E1059" s="65" t="n"/>
    </row>
    <row r="1060">
      <c r="A1060" s="65" t="n">
        <v>6.6</v>
      </c>
      <c r="B1060" s="65" t="n">
        <v>14</v>
      </c>
      <c r="C1060" s="65" t="n"/>
      <c r="D1060" s="65" t="n"/>
      <c r="E1060" s="65" t="n"/>
    </row>
    <row r="1061">
      <c r="A1061" s="65" t="n">
        <v>7.1</v>
      </c>
      <c r="B1061" s="65" t="n">
        <v>16</v>
      </c>
      <c r="C1061" s="65" t="n"/>
      <c r="D1061" s="65" t="n"/>
      <c r="E1061" s="65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style="34" min="1" max="1"/>
  </cols>
  <sheetData>
    <row r="1">
      <c r="A1" s="63" t="inlineStr">
        <is>
          <t>LAB ASSIGNMENT 3 - EARTHQUAKE DATA</t>
        </is>
      </c>
    </row>
    <row r="3">
      <c r="A3" s="63" t="inlineStr">
        <is>
          <t>Workbook Sheet Order</t>
        </is>
      </c>
    </row>
    <row r="4">
      <c r="A4" s="33" t="inlineStr">
        <is>
          <t>1. Data</t>
        </is>
      </c>
    </row>
    <row r="5">
      <c r="A5" s="33" t="inlineStr">
        <is>
          <t>2. Task 1 - Exploration</t>
        </is>
      </c>
    </row>
    <row r="6">
      <c r="A6" s="33" t="inlineStr">
        <is>
          <t>3. Task 2 - Quality Audit</t>
        </is>
      </c>
    </row>
    <row r="7">
      <c r="A7" s="33" t="inlineStr">
        <is>
          <t>4. Dashboard</t>
        </is>
      </c>
    </row>
    <row r="8">
      <c r="A8" s="33" t="inlineStr">
        <is>
          <t>5. Data Quality Summary</t>
        </is>
      </c>
    </row>
    <row r="9">
      <c r="A9" s="33" t="inlineStr">
        <is>
          <t>6. README</t>
        </is>
      </c>
    </row>
    <row r="11">
      <c r="A11" s="63" t="inlineStr">
        <is>
          <t>Purpose</t>
        </is>
      </c>
    </row>
    <row r="12">
      <c r="A12" s="33" t="inlineStr">
        <is>
          <t>This workbook contains the earthquake dataset, Task 1 exploration, Task 2 quality audit, dashboard, and data quality summary.</t>
        </is>
      </c>
    </row>
    <row r="14">
      <c r="A14" s="63" t="inlineStr">
        <is>
          <t>Data Coverage</t>
        </is>
      </c>
    </row>
    <row r="15">
      <c r="A15" s="33" t="inlineStr">
        <is>
          <t>The earthquake dataset contains records from 1995 to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9.7" customHeight="1" s="34">
      <c r="A1" s="37" t="inlineStr">
        <is>
          <t>PivotTable Summaries</t>
        </is>
      </c>
    </row>
    <row r="2" ht="41.75" customHeight="1" s="34">
      <c r="A2" s="47" t="inlineStr">
        <is>
          <t>These summaries are built from the Excel Data table and helper columns so they recalculate with the dataset. Use Excel Insert &gt; PivotTable on EarthquakeData for a native PivotTable if your Excel version requires the PivotTable object.</t>
        </is>
      </c>
    </row>
    <row r="4" ht="16.15" customHeight="1" s="34">
      <c r="A4" s="40" t="inlineStr">
        <is>
          <t>Event Count by Alert Level</t>
        </is>
      </c>
      <c r="D4" s="40" t="inlineStr">
        <is>
          <t>Event Count by magType (raw)</t>
        </is>
      </c>
      <c r="G4" s="40" t="inlineStr">
        <is>
          <t>Event Count by magType (normalized)</t>
        </is>
      </c>
    </row>
    <row r="5" ht="15" customHeight="1" s="34">
      <c r="A5" s="53" t="inlineStr">
        <is>
          <t>Alert</t>
        </is>
      </c>
      <c r="B5" s="53" t="inlineStr">
        <is>
          <t>Count</t>
        </is>
      </c>
      <c r="D5" s="53" t="inlineStr">
        <is>
          <t>magType</t>
        </is>
      </c>
      <c r="E5" s="53" t="inlineStr">
        <is>
          <t>Count</t>
        </is>
      </c>
      <c r="G5" s="53" t="inlineStr">
        <is>
          <t>magType</t>
        </is>
      </c>
      <c r="H5" s="53" t="inlineStr">
        <is>
          <t>Count</t>
        </is>
      </c>
    </row>
    <row r="6" ht="15" customHeight="1" s="34">
      <c r="A6" s="33" t="inlineStr">
        <is>
          <t>Blank</t>
        </is>
      </c>
      <c r="B6" s="33">
        <f>COUNTBLANK(Data!F2:F1001)</f>
        <v/>
      </c>
      <c r="D6" s="33" t="inlineStr">
        <is>
          <t>Mi</t>
        </is>
      </c>
      <c r="E6" s="33">
        <f>COUNTIF(Data!M2:M1001,D6)</f>
        <v/>
      </c>
      <c r="G6" s="33" t="inlineStr">
        <is>
          <t>mb</t>
        </is>
      </c>
      <c r="H6" s="33">
        <f>COUNTIF(Data!V2:V1001,G6)</f>
        <v/>
      </c>
    </row>
    <row r="7" ht="15" customHeight="1" s="34">
      <c r="A7" s="33" t="inlineStr">
        <is>
          <t>green</t>
        </is>
      </c>
      <c r="B7" s="33">
        <f>COUNTIF(Data!F2:F1001,A7)</f>
        <v/>
      </c>
      <c r="D7" s="33" t="inlineStr">
        <is>
          <t>mb</t>
        </is>
      </c>
      <c r="E7" s="33">
        <f>COUNTIF(Data!M2:M1001,D7)</f>
        <v/>
      </c>
      <c r="G7" s="33" t="inlineStr">
        <is>
          <t>md</t>
        </is>
      </c>
      <c r="H7" s="33">
        <f>COUNTIF(Data!V2:V1001,G7)</f>
        <v/>
      </c>
    </row>
    <row r="8" ht="15" customHeight="1" s="34">
      <c r="A8" s="33" t="inlineStr">
        <is>
          <t>yellow</t>
        </is>
      </c>
      <c r="B8" s="33">
        <f>COUNTIF(Data!F2:F1001,A8)</f>
        <v/>
      </c>
      <c r="D8" s="33" t="inlineStr">
        <is>
          <t>md</t>
        </is>
      </c>
      <c r="E8" s="33">
        <f>COUNTIF(Data!M2:M1001,D8)</f>
        <v/>
      </c>
      <c r="G8" s="33" t="inlineStr">
        <is>
          <t>mi</t>
        </is>
      </c>
      <c r="H8" s="33">
        <f>COUNTIF(Data!V2:V1001,G8)</f>
        <v/>
      </c>
    </row>
    <row r="9" ht="15" customHeight="1" s="34">
      <c r="A9" s="33" t="inlineStr">
        <is>
          <t>orange</t>
        </is>
      </c>
      <c r="B9" s="33">
        <f>COUNTIF(Data!F2:F1001,A9)</f>
        <v/>
      </c>
      <c r="D9" s="33" t="inlineStr">
        <is>
          <t>ml</t>
        </is>
      </c>
      <c r="E9" s="33">
        <f>COUNTIF(Data!M2:M1001,D9)</f>
        <v/>
      </c>
      <c r="G9" s="33" t="inlineStr">
        <is>
          <t>ml</t>
        </is>
      </c>
      <c r="H9" s="33">
        <f>COUNTIF(Data!V2:V1001,G9)</f>
        <v/>
      </c>
    </row>
    <row r="10" ht="15" customHeight="1" s="34">
      <c r="A10" s="33" t="inlineStr">
        <is>
          <t>red</t>
        </is>
      </c>
      <c r="B10" s="33">
        <f>COUNTIF(Data!F2:F1001,A10)</f>
        <v/>
      </c>
      <c r="D10" s="33" t="inlineStr">
        <is>
          <t>ms</t>
        </is>
      </c>
      <c r="E10" s="33">
        <f>COUNTIF(Data!M2:M1001,D10)</f>
        <v/>
      </c>
      <c r="G10" s="33" t="inlineStr">
        <is>
          <t>ms</t>
        </is>
      </c>
      <c r="H10" s="33">
        <f>COUNTIF(Data!V2:V1001,G10)</f>
        <v/>
      </c>
    </row>
    <row r="11" ht="15" customHeight="1" s="34">
      <c r="D11" s="33" t="inlineStr">
        <is>
          <t>mw</t>
        </is>
      </c>
      <c r="E11" s="33">
        <f>COUNTIF(Data!M2:M1001,D11)</f>
        <v/>
      </c>
      <c r="G11" s="33" t="inlineStr">
        <is>
          <t>mw</t>
        </is>
      </c>
      <c r="H11" s="33">
        <f>COUNTIF(Data!V2:V1001,G11)</f>
        <v/>
      </c>
    </row>
    <row r="12" ht="15" customHeight="1" s="34">
      <c r="D12" s="33" t="inlineStr">
        <is>
          <t>mwb</t>
        </is>
      </c>
      <c r="E12" s="33">
        <f>COUNTIF(Data!M2:M1001,D12)</f>
        <v/>
      </c>
      <c r="G12" s="33" t="inlineStr">
        <is>
          <t>mwb</t>
        </is>
      </c>
      <c r="H12" s="33">
        <f>COUNTIF(Data!V2:V1001,G12)</f>
        <v/>
      </c>
    </row>
    <row r="13" ht="15" customHeight="1" s="34">
      <c r="D13" s="33" t="inlineStr">
        <is>
          <t>mwc</t>
        </is>
      </c>
      <c r="E13" s="33">
        <f>COUNTIF(Data!M2:M1001,D13)</f>
        <v/>
      </c>
      <c r="G13" s="33" t="inlineStr">
        <is>
          <t>mwc</t>
        </is>
      </c>
      <c r="H13" s="33">
        <f>COUNTIF(Data!V2:V1001,G13)</f>
        <v/>
      </c>
    </row>
    <row r="14" ht="16.15" customHeight="1" s="34">
      <c r="A14" s="40" t="inlineStr">
        <is>
          <t>Event Count by Title Pattern</t>
        </is>
      </c>
      <c r="D14" s="40" t="inlineStr">
        <is>
          <t>Duplicate Status</t>
        </is>
      </c>
      <c r="E14" s="33">
        <f>COUNTIF(Data!M2:M1001,D14)</f>
        <v/>
      </c>
      <c r="G14" s="33" t="inlineStr">
        <is>
          <t>mww</t>
        </is>
      </c>
      <c r="H14" s="33">
        <f>COUNTIF(Data!V2:V1001,G14)</f>
        <v/>
      </c>
    </row>
    <row r="15" ht="15" customHeight="1" s="34">
      <c r="A15" s="53" t="inlineStr">
        <is>
          <t>Pattern</t>
        </is>
      </c>
      <c r="B15" s="53" t="inlineStr">
        <is>
          <t>Count</t>
        </is>
      </c>
      <c r="D15" s="53" t="inlineStr">
        <is>
          <t>Status</t>
        </is>
      </c>
      <c r="E15" s="53" t="inlineStr">
        <is>
          <t>Count</t>
        </is>
      </c>
    </row>
    <row r="16" ht="15" customHeight="1" s="34">
      <c r="A16" s="33" t="inlineStr">
        <is>
          <t>Distance-prefix pattern</t>
        </is>
      </c>
      <c r="B16" s="33">
        <f>COUNTIF(Data!U2:U1001,A16)</f>
        <v/>
      </c>
      <c r="D16" s="33" t="inlineStr">
        <is>
          <t>Unique</t>
        </is>
      </c>
      <c r="E16" s="33">
        <f>COUNTIF(Data!W2:W1001,D16)</f>
        <v/>
      </c>
    </row>
    <row r="17" ht="15" customHeight="1" s="34">
      <c r="A17" s="33" t="inlineStr">
        <is>
          <t>Named-region pattern</t>
        </is>
      </c>
      <c r="B17" s="33">
        <f>COUNTIF(Data!U2:U1001,A17)</f>
        <v/>
      </c>
      <c r="D17" s="33" t="inlineStr">
        <is>
          <t>Duplicate</t>
        </is>
      </c>
      <c r="E17" s="33">
        <f>COUNTIF(Data!W2:W1001,D17)</f>
        <v/>
      </c>
    </row>
    <row r="21" ht="16.15" customHeight="1" s="34">
      <c r="A21" s="40" t="inlineStr">
        <is>
          <t>Events by Year</t>
        </is>
      </c>
    </row>
    <row r="22" ht="15" customHeight="1" s="34">
      <c r="A22" s="53" t="inlineStr">
        <is>
          <t>Year</t>
        </is>
      </c>
      <c r="B22" s="53" t="inlineStr">
        <is>
          <t>Count</t>
        </is>
      </c>
    </row>
    <row r="23" ht="15" customHeight="1" s="34">
      <c r="A23" s="33" t="n">
        <v>1995</v>
      </c>
      <c r="B23" s="33">
        <f>COUNTIF(Data!X2:X1001,A23)</f>
        <v/>
      </c>
    </row>
    <row r="24" ht="15" customHeight="1" s="34">
      <c r="A24" s="33" t="n">
        <v>1996</v>
      </c>
      <c r="B24" s="33">
        <f>COUNTIF(Data!X2:X1001,A24)</f>
        <v/>
      </c>
    </row>
    <row r="25" ht="15" customHeight="1" s="34">
      <c r="A25" s="33" t="n">
        <v>1997</v>
      </c>
      <c r="B25" s="33">
        <f>COUNTIF(Data!X2:X1001,A25)</f>
        <v/>
      </c>
    </row>
    <row r="26" ht="15" customHeight="1" s="34">
      <c r="A26" s="33" t="n">
        <v>1998</v>
      </c>
      <c r="B26" s="33">
        <f>COUNTIF(Data!X2:X1001,A26)</f>
        <v/>
      </c>
    </row>
    <row r="27" ht="15" customHeight="1" s="34">
      <c r="A27" s="33" t="n">
        <v>1999</v>
      </c>
      <c r="B27" s="33">
        <f>COUNTIF(Data!X2:X1001,A27)</f>
        <v/>
      </c>
    </row>
    <row r="28" ht="15" customHeight="1" s="34">
      <c r="A28" s="33" t="n">
        <v>2000</v>
      </c>
      <c r="B28" s="33">
        <f>COUNTIF(Data!X2:X1001,A28)</f>
        <v/>
      </c>
    </row>
    <row r="29" ht="15" customHeight="1" s="34">
      <c r="A29" s="33" t="n">
        <v>2001</v>
      </c>
      <c r="B29" s="33">
        <f>COUNTIF(Data!X2:X1001,A29)</f>
        <v/>
      </c>
    </row>
    <row r="30" ht="15" customHeight="1" s="34">
      <c r="A30" s="33" t="inlineStr">
        <is>
          <t>Filter</t>
        </is>
      </c>
      <c r="E30" s="33" t="inlineStr">
        <is>
          <t>Filter</t>
        </is>
      </c>
    </row>
    <row r="31" ht="15" customHeight="1" s="34"/>
    <row r="32" ht="15" customHeight="1" s="34">
      <c r="A32" s="54" t="inlineStr">
        <is>
          <t>alert</t>
        </is>
      </c>
      <c r="B32" s="55" t="inlineStr">
        <is>
          <t>Count - title</t>
        </is>
      </c>
      <c r="E32" s="54" t="inlineStr">
        <is>
          <t>magType_Normalized</t>
        </is>
      </c>
      <c r="F32" s="55" t="inlineStr">
        <is>
          <t>Count - title</t>
        </is>
      </c>
    </row>
    <row r="33" ht="15" customHeight="1" s="34">
      <c r="A33" s="56" t="inlineStr">
        <is>
          <t>green</t>
        </is>
      </c>
      <c r="B33" s="57" t="n">
        <v>353</v>
      </c>
      <c r="E33" s="56" t="inlineStr">
        <is>
          <t>mb</t>
        </is>
      </c>
      <c r="F33" s="57" t="n">
        <v>4</v>
      </c>
    </row>
    <row r="34" ht="15" customHeight="1" s="34">
      <c r="A34" s="58" t="inlineStr">
        <is>
          <t>orange</t>
        </is>
      </c>
      <c r="B34" s="59" t="n">
        <v>24</v>
      </c>
      <c r="E34" s="58" t="inlineStr">
        <is>
          <t>md</t>
        </is>
      </c>
      <c r="F34" s="59" t="n">
        <v>2</v>
      </c>
    </row>
    <row r="35" ht="15" customHeight="1" s="34">
      <c r="A35" s="58" t="inlineStr">
        <is>
          <t>red</t>
        </is>
      </c>
      <c r="B35" s="59" t="n">
        <v>13</v>
      </c>
      <c r="E35" s="58" t="inlineStr">
        <is>
          <t>mi</t>
        </is>
      </c>
      <c r="F35" s="59" t="n">
        <v>5</v>
      </c>
    </row>
    <row r="36" ht="15" customHeight="1" s="34">
      <c r="A36" s="58" t="inlineStr">
        <is>
          <t>yellow</t>
        </is>
      </c>
      <c r="B36" s="59" t="n">
        <v>59</v>
      </c>
      <c r="E36" s="58" t="inlineStr">
        <is>
          <t>ml</t>
        </is>
      </c>
      <c r="F36" s="59" t="n">
        <v>1</v>
      </c>
    </row>
    <row r="37" ht="15" customHeight="1" s="34">
      <c r="A37" s="58" t="inlineStr">
        <is>
          <t>(empty)</t>
        </is>
      </c>
      <c r="B37" s="60" t="n">
        <v>551</v>
      </c>
      <c r="E37" s="58" t="inlineStr">
        <is>
          <t>ms</t>
        </is>
      </c>
      <c r="F37" s="59" t="n">
        <v>3</v>
      </c>
    </row>
    <row r="38" ht="15" customHeight="1" s="34">
      <c r="A38" s="61" t="inlineStr">
        <is>
          <t>Total Result</t>
        </is>
      </c>
      <c r="B38" s="62" t="n">
        <v>1000</v>
      </c>
      <c r="E38" s="58" t="inlineStr">
        <is>
          <t>mw</t>
        </is>
      </c>
      <c r="F38" s="59" t="n">
        <v>51</v>
      </c>
    </row>
    <row r="39" ht="15" customHeight="1" s="34">
      <c r="A39" s="33" t="n">
        <v>2011</v>
      </c>
      <c r="B39" s="33">
        <f>COUNTIF(Data!X2:X1001,A39)</f>
        <v/>
      </c>
      <c r="E39" s="58" t="inlineStr">
        <is>
          <t>mwb</t>
        </is>
      </c>
      <c r="F39" s="59" t="n">
        <v>100</v>
      </c>
    </row>
    <row r="40" ht="15" customHeight="1" s="34">
      <c r="A40" s="33" t="n">
        <v>2012</v>
      </c>
      <c r="B40" s="33">
        <f>COUNTIF(Data!X2:X1001,A40)</f>
        <v/>
      </c>
      <c r="E40" s="58" t="inlineStr">
        <is>
          <t>mwc</t>
        </is>
      </c>
      <c r="F40" s="59" t="n">
        <v>332</v>
      </c>
    </row>
    <row r="41" ht="15" customHeight="1" s="34">
      <c r="A41" s="33" t="n">
        <v>2013</v>
      </c>
      <c r="B41" s="33">
        <f>COUNTIF(Data!X2:X1001,A41)</f>
        <v/>
      </c>
      <c r="E41" s="58" t="inlineStr">
        <is>
          <t>mww</t>
        </is>
      </c>
      <c r="F41" s="60" t="n">
        <v>502</v>
      </c>
    </row>
    <row r="42" ht="15" customHeight="1" s="34">
      <c r="A42" s="33" t="n">
        <v>2014</v>
      </c>
      <c r="B42" s="33">
        <f>COUNTIF(Data!X2:X1001,A42)</f>
        <v/>
      </c>
      <c r="E42" s="61" t="inlineStr">
        <is>
          <t>Total Result</t>
        </is>
      </c>
      <c r="F42" s="62" t="n">
        <v>1000</v>
      </c>
    </row>
    <row r="43" ht="15" customHeight="1" s="34">
      <c r="A43" s="33" t="n">
        <v>2015</v>
      </c>
      <c r="B43" s="33">
        <f>COUNTIF(Data!X2:X1001,A43)</f>
        <v/>
      </c>
    </row>
    <row r="44" ht="15" customHeight="1" s="34">
      <c r="A44" s="33" t="n">
        <v>2016</v>
      </c>
      <c r="B44" s="33">
        <f>COUNTIF(Data!X2:X1001,A44)</f>
        <v/>
      </c>
    </row>
    <row r="45" ht="15" customHeight="1" s="34">
      <c r="A45" s="33" t="n">
        <v>2017</v>
      </c>
      <c r="B45" s="33">
        <f>COUNTIF(Data!X2:X1001,A45)</f>
        <v/>
      </c>
    </row>
    <row r="46" ht="15" customHeight="1" s="34">
      <c r="A46" s="33" t="n">
        <v>2018</v>
      </c>
      <c r="B46" s="33">
        <f>COUNTIF(Data!X2:X1001,A46)</f>
        <v/>
      </c>
    </row>
    <row r="47" ht="15" customHeight="1" s="34">
      <c r="A47" s="33" t="n">
        <v>2019</v>
      </c>
      <c r="B47" s="33">
        <f>COUNTIF(Data!X2:X1001,A47)</f>
        <v/>
      </c>
    </row>
    <row r="48" ht="15" customHeight="1" s="34">
      <c r="A48" s="33" t="n">
        <v>2020</v>
      </c>
      <c r="B48" s="33">
        <f>COUNTIF(Data!X2:X1001,A48)</f>
        <v/>
      </c>
    </row>
    <row r="49" ht="15" customHeight="1" s="34">
      <c r="A49" s="33" t="n">
        <v>2021</v>
      </c>
      <c r="B49" s="33">
        <f>COUNTIF(Data!X2:X1001,A49)</f>
        <v/>
      </c>
    </row>
    <row r="50" ht="15" customHeight="1" s="34">
      <c r="A50" s="33" t="n">
        <v>2022</v>
      </c>
      <c r="B50" s="33">
        <f>COUNTIF(Data!X2:X1001,A50)</f>
        <v/>
      </c>
    </row>
    <row r="51" ht="15" customHeight="1" s="34">
      <c r="A51" s="33" t="n">
        <v>2023</v>
      </c>
      <c r="B51" s="33">
        <f>COUNTIF(Data!X2:X1001,A51)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2026-09-07T16:04:47Z</dcterms:created>
  <dcterms:modified xmlns:dcterms="http://purl.org/dc/terms/" xmlns:xsi="http://www.w3.org/2001/XMLSchema-instance" xsi:type="dcterms:W3CDTF">2026-09-07T16:46:46Z</dcterms:modified>
  <cp:revision>1</cp:revision>
</cp:coreProperties>
</file>